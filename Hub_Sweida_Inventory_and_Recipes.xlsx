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59838aae1dc49d7" /></Relationships>
</file>

<file path=xl/workbook.xml><?xml version="1.0" encoding="utf-8"?>
<x:workbook xmlns:x="http://schemas.openxmlformats.org/spreadsheetml/2006/main">
  <x:sheets>
    <x:sheet xmlns:r="http://schemas.openxmlformats.org/officeDocument/2006/relationships" name="مواد المخزون" sheetId="1" r:id="R384db36068324b36"/>
    <x:sheet xmlns:r="http://schemas.openxmlformats.org/officeDocument/2006/relationships" name="دليل الإدخال" sheetId="2" r:id="R55aeccbc40ab4fb8"/>
    <x:sheet xmlns:r="http://schemas.openxmlformats.org/officeDocument/2006/relationships" name="المصادر" sheetId="3" r:id="R55d9ac1300174452"/>
    <x:sheet xmlns:r="http://schemas.openxmlformats.org/officeDocument/2006/relationships" name="وصفات المنتجات" sheetId="4" r:id="Rd2099f4e4bfb49a9"/>
    <x:sheet xmlns:r="http://schemas.openxmlformats.org/officeDocument/2006/relationships" name="قائمة المنتجات" sheetId="5" r:id="R2b8fe8e864bc488d"/>
    <x:sheet xmlns:r="http://schemas.openxmlformats.org/officeDocument/2006/relationships" name="دليل الوصفات" sheetId="6" r:id="R585b1fc67d8b424d"/>
    <x:sheet xmlns:r="http://schemas.openxmlformats.org/officeDocument/2006/relationships" name="مواد ناقصة للوصفات" sheetId="7" r:id="Rf313962f88ae4876"/>
    <x:sheet xmlns:r="http://schemas.openxmlformats.org/officeDocument/2006/relationships" name="مراجع الوصفات" sheetId="8" r:id="R4fcce50296e04103"/>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00"/>
    <x:numFmt numFmtId="201" formatCode="#,##0"/>
    <x:numFmt numFmtId="202" formatCode="0.000"/>
    <x:numFmt numFmtId="203" formatCode="0.00"/>
  </x:numFmts>
  <x:fonts count="7">
    <x:font>
      <x:sz val="11"/>
      <x:name val="Carlito"/>
    </x:font>
    <x:font>
      <x:b/>
      <x:sz val="11"/>
      <x:color rgb="FFFFFFFF"/>
      <x:name val="Carlito"/>
    </x:font>
    <x:font>
      <x:sz val="10"/>
      <x:name val="Carlito"/>
    </x:font>
    <x:font>
      <x:b/>
      <x:sz val="14"/>
      <x:color rgb="FFFFFFFF"/>
      <x:name val="Carlito"/>
    </x:font>
    <x:font>
      <x:b/>
      <x:sz val="15"/>
      <x:color rgb="FFFFFFFF"/>
      <x:name val="Carlito"/>
    </x:font>
    <x:font>
      <x:b/>
      <x:sz val="11"/>
      <x:color rgb="FF183A36"/>
      <x:name val="Carlito"/>
    </x:font>
    <x:font>
      <x:sz val="11"/>
      <x:color rgb="FF5C4A1A"/>
      <x:name val="Carlito"/>
    </x:font>
  </x:fonts>
  <x:fills count="9">
    <x:fill>
      <x:patternFill patternType="none"/>
    </x:fill>
    <x:fill>
      <x:patternFill patternType="gray125"/>
    </x:fill>
    <x:fill>
      <x:patternFill patternType="solid">
        <x:fgColor rgb="FF0F5F57"/>
      </x:patternFill>
    </x:fill>
    <x:fill>
      <x:patternFill patternType="solid">
        <x:fgColor rgb="FFC88A2B"/>
      </x:patternFill>
    </x:fill>
    <x:fill>
      <x:patternFill patternType="solid">
        <x:fgColor rgb="FF0F5F57"/>
      </x:patternFill>
    </x:fill>
    <x:fill>
      <x:patternFill patternType="solid">
        <x:fgColor rgb="FFFFFDF5"/>
      </x:patternFill>
    </x:fill>
    <x:fill>
      <x:patternFill patternType="solid">
        <x:fgColor rgb="FFF1F4F3"/>
      </x:patternFill>
    </x:fill>
    <x:fill>
      <x:patternFill patternType="solid">
        <x:fgColor rgb="FFDDEBE7"/>
      </x:patternFill>
    </x:fill>
    <x:fill>
      <x:patternFill patternType="solid">
        <x:fgColor rgb="FFFFF8E6"/>
      </x:patternFill>
    </x:fill>
  </x:fills>
  <x:borders count="18">
    <x:border/>
    <x:border/>
    <x:border>
      <x:left/>
      <x:top/>
    </x:border>
    <x:border>
      <x:top/>
    </x:border>
    <x:border>
      <x:right/>
      <x:top/>
    </x:border>
    <x:border>
      <x:left/>
    </x:border>
    <x:border>
      <x:right/>
    </x:border>
    <x:border>
      <x:left/>
      <x:bottom/>
    </x:border>
    <x:border>
      <x:bottom/>
    </x:border>
    <x:border>
      <x:right/>
      <x:bottom/>
    </x:border>
    <x:border>
      <x:left/>
      <x:top/>
    </x:border>
    <x:border>
      <x:top/>
    </x:border>
    <x:border>
      <x:right/>
      <x:top/>
    </x:border>
    <x:border>
      <x:left/>
    </x:border>
    <x:border>
      <x:right/>
    </x:border>
    <x:border>
      <x:left/>
      <x:bottom/>
    </x:border>
    <x:border>
      <x:bottom/>
    </x:border>
    <x:border>
      <x:right/>
      <x:bottom/>
    </x:border>
  </x:borders>
  <x:cellStyleXfs count="1">
    <x:xf numFmtId="0" fontId="0" fillId="0" borderId="0"/>
  </x:cellStyleXfs>
  <x:cellXfs count="107">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center"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center" wrapText="1"/>
    </x:xf>
    <x:xf numFmtId="0" fontId="2" fillId="0" borderId="0" xfId="0" applyNumberFormat="1" applyFont="1" applyFill="1" applyBorder="1" applyAlignment="1">
      <x:alignment horizontal="right" vertical="center" wrapText="1"/>
    </x:xf>
    <x:xf numFmtId="0" fontId="2" fillId="0" borderId="1" xfId="0" applyNumberFormat="1" applyFont="1" applyFill="1" applyBorder="1" applyAlignment="1">
      <x:alignment horizontal="right" vertical="center" wrapText="1"/>
    </x:xf>
    <x:xf numFmtId="0" fontId="2" fillId="0" borderId="0" xfId="0" applyNumberFormat="1" applyFont="1" applyFill="1" applyBorder="1" applyAlignment="1">
      <x:alignment horizontal="left" vertical="center" wrapText="1"/>
    </x:xf>
    <x:xf numFmtId="0" fontId="2" fillId="0" borderId="1" xfId="0" applyNumberFormat="1" applyFont="1" applyFill="1" applyBorder="1" applyAlignment="1">
      <x:alignment horizontal="left" vertical="center" wrapText="1"/>
    </x:xf>
    <x:xf numFmtId="200" fontId="2" fillId="0" borderId="0" xfId="0" applyNumberFormat="1" applyFont="1" applyFill="1" applyBorder="1" applyAlignment="1">
      <x:alignment horizontal="right" vertical="center" wrapText="1"/>
    </x:xf>
    <x:xf numFmtId="200" fontId="2" fillId="0" borderId="1" xfId="0" applyNumberFormat="1" applyFont="1" applyFill="1" applyBorder="1" applyAlignment="1">
      <x:alignment horizontal="right" vertical="center" wrapText="1"/>
    </x:xf>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1" xfId="0" applyNumberFormat="1" applyFont="1" applyFill="1" applyBorder="1"/>
    <x:xf numFmtId="0" fontId="3" fillId="2" borderId="1" xfId="0" applyNumberFormat="1" applyFont="1" applyFill="1" applyBorder="1" applyAlignment="1">
      <x:alignment horizontal="center"/>
    </x:xf>
    <x:xf numFmtId="0" fontId="3" fillId="2"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horizontal="right" wrapText="1"/>
    </x:xf>
    <x:xf numFmtId="0" fontId="0" fillId="0" borderId="0" xfId="0" applyNumberFormat="1" applyFont="1" applyFill="1" applyBorder="1" applyAlignment="1">
      <x:alignment horizontal="righ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horizontal="right" wrapText="1"/>
    </x:xf>
    <x:xf numFmtId="0" fontId="0" fillId="0" borderId="1" xfId="0" applyNumberFormat="1" applyFont="1" applyFill="1" applyBorder="1" applyAlignment="1">
      <x:alignment horizontal="right" vertical="top" wrapText="1"/>
    </x:xf>
    <x:xf numFmtId="0" fontId="0" fillId="3" borderId="0" xfId="0" applyNumberFormat="1" applyFont="1" applyFill="1" applyBorder="1" applyAlignment="1">
      <x:alignment horizontal="right" vertical="top" wrapText="1"/>
    </x:xf>
    <x:xf numFmtId="0" fontId="1" fillId="3" borderId="0" xfId="0" applyNumberFormat="1" applyFont="1" applyFill="1" applyBorder="1" applyAlignment="1">
      <x:alignment horizontal="right" vertical="top" wrapText="1"/>
    </x:xf>
    <x:xf numFmtId="0" fontId="0" fillId="3" borderId="1" xfId="0" applyNumberFormat="1" applyFont="1" applyFill="1" applyBorder="1" applyAlignment="1">
      <x:alignment horizontal="right" vertical="top" wrapText="1"/>
    </x:xf>
    <x:xf numFmtId="0" fontId="1" fillId="3" borderId="1" xfId="0" applyNumberFormat="1" applyFont="1" applyFill="1" applyBorder="1" applyAlignment="1">
      <x:alignment horizontal="righ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0" borderId="0" xfId="0" applyNumberFormat="1" applyFont="1" applyFill="1" applyBorder="1"/>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wrapText="1"/>
    </x:xf>
    <x:xf numFmtId="0" fontId="1" fillId="4" borderId="0" xfId="0" applyNumberFormat="1" applyFont="1" applyFill="1" applyBorder="1" applyAlignment="1">
      <x:alignment horizontal="center" wrapText="1"/>
    </x:xf>
    <x:xf numFmtId="0" fontId="1" fillId="4" borderId="0" xfId="0" applyNumberFormat="1" applyFont="1" applyFill="1" applyBorder="1" applyAlignment="1">
      <x:alignment horizontal="center" vertical="center" wrapText="1"/>
    </x:xf>
    <x:xf numFmtId="201" fontId="0" fillId="0" borderId="0" xfId="0" applyNumberFormat="1" applyFont="1" applyFill="1" applyBorder="1" applyAlignment="1">
      <x:alignment wrapText="1"/>
    </x:xf>
    <x:xf numFmtId="0" fontId="1" fillId="4" borderId="2" xfId="0" applyNumberFormat="1" applyFont="1" applyFill="1" applyBorder="1" applyAlignment="1">
      <x:alignment horizontal="center" vertical="center" wrapText="1"/>
    </x:xf>
    <x:xf numFmtId="0" fontId="1" fillId="4" borderId="3" xfId="0" applyNumberFormat="1" applyFont="1" applyFill="1" applyBorder="1" applyAlignment="1">
      <x:alignment horizontal="center" vertical="center" wrapText="1"/>
    </x:xf>
    <x:xf numFmtId="0" fontId="1" fillId="4" borderId="4" xfId="0" applyNumberFormat="1" applyFont="1" applyFill="1" applyBorder="1" applyAlignment="1">
      <x:alignment horizontal="center" vertical="center" wrapText="1"/>
    </x:xf>
    <x:xf numFmtId="0" fontId="0" fillId="0" borderId="5" xfId="0" applyNumberFormat="1" applyFont="1" applyFill="1" applyBorder="1" applyAlignment="1">
      <x:alignment wrapText="1"/>
    </x:xf>
    <x:xf numFmtId="0" fontId="0" fillId="0" xfId="0" applyNumberFormat="1" applyFont="1" applyFill="1" applyBorder="0" applyAlignment="1">
      <x:alignment wrapText="1"/>
    </x:xf>
    <x:xf numFmtId="201" fontId="0" fillId="0" xfId="0" applyNumberFormat="1" applyFont="1" applyFill="1" applyBorder="0"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201"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201" fontId="0" fillId="0" borderId="0" xfId="0" applyNumberFormat="1" applyFont="1" applyFill="1" applyBorder="1"/>
    <x:xf numFmtId="200" fontId="0" fillId="0" borderId="0" xfId="0" applyNumberFormat="1" applyFont="1" applyFill="1" applyBorder="1"/>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1" fillId="4" borderId="10" xfId="0" applyNumberFormat="1" applyFont="1" applyFill="1" applyBorder="1" applyAlignment="1">
      <x:alignment horizontal="center" vertical="center" wrapText="1"/>
    </x:xf>
    <x:xf numFmtId="0" fontId="1" fillId="4" borderId="11" xfId="0" applyNumberFormat="1" applyFont="1" applyFill="1" applyBorder="1" applyAlignment="1">
      <x:alignment horizontal="center" vertical="center" wrapText="1"/>
    </x:xf>
    <x:xf numFmtId="0" fontId="1" fillId="4" borderId="12" xfId="0" applyNumberFormat="1" applyFont="1" applyFill="1" applyBorder="1" applyAlignment="1">
      <x:alignment horizontal="center" vertical="center" wrapText="1"/>
    </x:xf>
    <x:xf numFmtId="0" fontId="0" fillId="0" borderId="13" xfId="0" applyNumberFormat="1" applyFont="1" applyFill="1" applyBorder="1" applyAlignment="1">
      <x:alignment wrapText="1"/>
    </x:xf>
    <x:xf numFmtId="202" fontId="0" fillId="0" xfId="0" applyNumberFormat="1" applyFont="1" applyFill="1" applyBorder="0" applyAlignment="1">
      <x:alignment wrapText="1"/>
    </x:xf>
    <x:xf numFmtId="203" fontId="0" fillId="0" xfId="0" applyNumberFormat="1" applyFont="1" applyFill="1" applyBorder="0" applyAlignment="1">
      <x:alignment wrapText="1"/>
    </x:xf>
    <x:xf numFmtId="200" fontId="0" fillId="0" xfId="0" applyNumberFormat="1" applyFont="1" applyFill="1" applyBorder="0"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202" fontId="0" fillId="0" borderId="16" xfId="0" applyNumberFormat="1" applyFont="1" applyFill="1" applyBorder="1" applyAlignment="1">
      <x:alignment wrapText="1"/>
    </x:xf>
    <x:xf numFmtId="203" fontId="0" fillId="0" borderId="16" xfId="0" applyNumberFormat="1" applyFont="1" applyFill="1" applyBorder="1" applyAlignment="1">
      <x:alignment wrapText="1"/>
    </x:xf>
    <x:xf numFmtId="20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5" borderId="13" xfId="0" applyNumberFormat="1" applyFont="1" applyFill="1" applyBorder="1" applyAlignment="1">
      <x:alignment wrapText="1"/>
    </x:xf>
    <x:xf numFmtId="0" fontId="0" fillId="5" xfId="0" applyNumberFormat="1" applyFont="1" applyFill="1" applyBorder="0" applyAlignment="1">
      <x:alignment wrapText="1"/>
    </x:xf>
    <x:xf numFmtId="0" fontId="0" fillId="5" borderId="15" xfId="0" applyNumberFormat="1" applyFont="1" applyFill="1" applyBorder="1" applyAlignment="1">
      <x:alignment wrapText="1"/>
    </x:xf>
    <x:xf numFmtId="0" fontId="0" fillId="5" borderId="16" xfId="0" applyNumberFormat="1" applyFont="1" applyFill="1" applyBorder="1" applyAlignment="1">
      <x:alignment wrapText="1"/>
    </x:xf>
    <x:xf numFmtId="202" fontId="0" fillId="5" xfId="0" applyNumberFormat="1" applyFont="1" applyFill="1" applyBorder="0" applyAlignment="1">
      <x:alignment wrapText="1"/>
    </x:xf>
    <x:xf numFmtId="202" fontId="0" fillId="5" borderId="16" xfId="0" applyNumberFormat="1" applyFont="1" applyFill="1" applyBorder="1" applyAlignment="1">
      <x:alignment wrapText="1"/>
    </x:xf>
    <x:xf numFmtId="203" fontId="0" fillId="5" xfId="0" applyNumberFormat="1" applyFont="1" applyFill="1" applyBorder="0" applyAlignment="1">
      <x:alignment wrapText="1"/>
    </x:xf>
    <x:xf numFmtId="203" fontId="0" fillId="5" borderId="16" xfId="0" applyNumberFormat="1" applyFont="1" applyFill="1" applyBorder="1" applyAlignment="1">
      <x:alignment wrapText="1"/>
    </x:xf>
    <x:xf numFmtId="0" fontId="0" fillId="6" xfId="0" applyNumberFormat="1" applyFont="1" applyFill="1" applyBorder="0" applyAlignment="1">
      <x:alignment wrapText="1"/>
    </x:xf>
    <x:xf numFmtId="0" fontId="0" fillId="6" borderId="16" xfId="0" applyNumberFormat="1" applyFont="1" applyFill="1" applyBorder="1" applyAlignment="1">
      <x:alignment wrapText="1"/>
    </x:xf>
    <x:xf numFmtId="202" fontId="0" fillId="6" xfId="0" applyNumberFormat="1" applyFont="1" applyFill="1" applyBorder="0" applyAlignment="1">
      <x:alignment wrapText="1"/>
    </x:xf>
    <x:xf numFmtId="202" fontId="0" fillId="6" borderId="16" xfId="0" applyNumberFormat="1" applyFont="1" applyFill="1" applyBorder="1" applyAlignment="1">
      <x:alignment wrapText="1"/>
    </x:xf>
    <x:xf numFmtId="200" fontId="0" fillId="6" xfId="0" applyNumberFormat="1" applyFont="1" applyFill="1" applyBorder="0" applyAlignment="1">
      <x:alignment wrapText="1"/>
    </x:xf>
    <x:xf numFmtId="200" fontId="0" fillId="6" borderId="16" xfId="0" applyNumberFormat="1" applyFont="1" applyFill="1" applyBorder="1" applyAlignment="1">
      <x:alignment wrapText="1"/>
    </x:xf>
    <x:xf numFmtId="0" fontId="0" fillId="6" borderId="14" xfId="0" applyNumberFormat="1" applyFont="1" applyFill="1" applyBorder="1" applyAlignment="1">
      <x:alignment wrapText="1"/>
    </x:xf>
    <x:xf numFmtId="0" fontId="0" fillId="6" borderId="17" xfId="0" applyNumberFormat="1" applyFont="1" applyFill="1" applyBorder="1" applyAlignment="1">
      <x:alignment wrapText="1"/>
    </x:xf>
    <x:xf numFmtId="0" fontId="4" fillId="4" borderId="0" xfId="0" applyNumberFormat="1" applyFont="1" applyFill="1" applyBorder="1"/>
    <x:xf numFmtId="0" fontId="4" fillId="4" borderId="0" xfId="0" applyNumberFormat="1" applyFont="1" applyFill="1" applyBorder="1" applyAlignment="1">
      <x:alignment horizontal="center"/>
    </x:xf>
    <x:xf numFmtId="0" fontId="4" fillId="4"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0" xfId="0" applyNumberFormat="1" applyFont="1" applyFill="1" applyBorder="1" applyAlignment="1">
      <x:alignment wrapText="1"/>
    </x:xf>
    <x:xf numFmtId="0" fontId="5" fillId="7" borderId="0" xfId="0" applyNumberFormat="1" applyFont="1" applyFill="1" applyBorder="1" applyAlignment="1">
      <x:alignment horizontal="center" wrapText="1"/>
    </x:xf>
    <x:xf numFmtId="0" fontId="5" fillId="7" borderId="0" xfId="0" applyNumberFormat="1" applyFont="1" applyFill="1" applyBorder="1" applyAlignment="1">
      <x:alignment horizontal="center" vertical="center"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wrapText="1"/>
    </x:xf>
    <x:xf numFmtId="0" fontId="6" fillId="8" borderId="0" xfId="0" applyNumberFormat="1" applyFont="1" applyFill="1" applyBorder="1" applyAlignment="1">
      <x:alignment vertical="top" wrapText="1"/>
    </x:xf>
  </x:cellXfs>
  <x:cellStyles count="1">
    <x:cellStyle name="Normal" xfId="0"/>
  </x:cellStyles>
  <x:dxfs count="6">
    <x:dxf>
      <x:fill>
        <x:patternFill>
          <x:bgColor rgb="FFFFF4E5"/>
        </x:patternFill>
      </x:fill>
    </x:dxf>
    <x:dxf>
      <x:font>
        <x:b/>
        <x:color rgb="FF1F6D38"/>
      </x:font>
      <x:fill>
        <x:patternFill patternType="solid">
          <x:bgColor rgb="FFDFF2E3"/>
        </x:patternFill>
      </x:fill>
    </x:dxf>
    <x:dxf>
      <x:font>
        <x:color rgb="FF815C00"/>
      </x:font>
      <x:fill>
        <x:patternFill patternType="solid">
          <x:bgColor rgb="FFFFF1C9"/>
        </x:patternFill>
      </x:fill>
    </x:dxf>
    <x:dxf>
      <x:font>
        <x:color rgb="FF666666"/>
      </x:font>
      <x:fill>
        <x:patternFill patternType="solid">
          <x:bgColor rgb="FFE9E9E9"/>
        </x:patternFill>
      </x:fill>
    </x:dxf>
    <x:dxf>
      <x:font>
        <x:b/>
        <x:color rgb="FF1F6D38"/>
      </x:font>
      <x:fill>
        <x:patternFill patternType="solid">
          <x:bgColor rgb="FFDFF2E3"/>
        </x:patternFill>
      </x:fill>
    </x:dxf>
    <x:dxf>
      <x:font>
        <x:b/>
        <x:color rgb="FFA12626"/>
      </x:font>
      <x:fill>
        <x:patternFill patternType="solid">
          <x:bgColor rgb="FFFBE1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e813d84a2094fa3" /><Relationship Type="http://schemas.openxmlformats.org/officeDocument/2006/relationships/theme" Target="/xl/theme/theme1.xml" Id="Rc1584782fd2740aa" /><Relationship Type="http://schemas.openxmlformats.org/officeDocument/2006/relationships/sharedStrings" Target="/xl/sharedStrings.xml" Id="R518ac08f774244be" /><Relationship Type="http://schemas.openxmlformats.org/officeDocument/2006/relationships/worksheet" Target="/xl/worksheets/sheet1.xml" Id="R384db36068324b36" /><Relationship Type="http://schemas.openxmlformats.org/officeDocument/2006/relationships/worksheet" Target="/xl/worksheets/sheet2.xml" Id="R55aeccbc40ab4fb8" /><Relationship Type="http://schemas.openxmlformats.org/officeDocument/2006/relationships/worksheet" Target="/xl/worksheets/sheet3.xml" Id="R55d9ac1300174452" /><Relationship Type="http://schemas.openxmlformats.org/officeDocument/2006/relationships/worksheet" Target="/xl/worksheets/sheet4.xml" Id="Rd2099f4e4bfb49a9" /><Relationship Type="http://schemas.openxmlformats.org/officeDocument/2006/relationships/worksheet" Target="/xl/worksheets/sheet5.xml" Id="R2b8fe8e864bc488d" /><Relationship Type="http://schemas.openxmlformats.org/officeDocument/2006/relationships/worksheet" Target="/xl/worksheets/sheet6.xml" Id="R585b1fc67d8b424d" /><Relationship Type="http://schemas.openxmlformats.org/officeDocument/2006/relationships/worksheet" Target="/xl/worksheets/sheet7.xml" Id="Rf313962f88ae4876" /><Relationship Type="http://schemas.openxmlformats.org/officeDocument/2006/relationships/worksheet" Target="/xl/worksheets/sheet8.xml" Id="R4fcce50296e04103" /></Relationships>
</file>

<file path=xl/tables/table1.xml><?xml version="1.0" encoding="utf-8"?>
<x:table xmlns:x="http://schemas.openxmlformats.org/spreadsheetml/2006/main" id="1" name="InventoryItemsTable" displayName="InventoryItemsTable" ref="A1:J253" headerRowCount="1">
  <x:tableColumns count="10">
    <x:tableColumn id="1" name="مادة مخزون"/>
    <x:tableColumn id="2" name="Name EN"/>
    <x:tableColumn id="3" name="Code"/>
    <x:tableColumn id="4" name="نوع المادة"/>
    <x:tableColumn id="5" name="وحدة القياس"/>
    <x:tableColumn id="6" name="الكمية الحالية"/>
    <x:tableColumn id="7" name="حد التنبيه"/>
    <x:tableColumn id="8" name="الكلفة التقديرية للوحدة"/>
    <x:tableColumn id="9" name="المورد المفضل"/>
    <x:tableColumn id="10" name="ملاحظات"/>
  </x:tableColumns>
  <x:tableStyleInfo name="TableStyleMedium2" showRowStripes="1"/>
</x:table>
</file>

<file path=xl/tables/table2.xml><?xml version="1.0" encoding="utf-8"?>
<x:table xmlns:x="http://schemas.openxmlformats.org/spreadsheetml/2006/main" id="3" name="ProductRecipesTable" displayName="ProductRecipesTable" ref="A1:O301" headerRowCount="1">
  <x:tableColumns count="15">
    <x:tableColumn id="1" name="حالة الاستيراد"/>
    <x:tableColumn id="2" name="اسم المنتج"/>
    <x:tableColumn id="3" name="مفتاح المنتج"/>
    <x:tableColumn id="4" name="مادة المخزون"/>
    <x:tableColumn id="5" name="كود مادة المخزون"/>
    <x:tableColumn id="6" name="الكمية المدخلة"/>
    <x:tableColumn id="7" name="وحدة الإدخال"/>
    <x:tableColumn id="8" name="وحدة المخزون"/>
    <x:tableColumn id="9" name="الكمية الموحّدة"/>
    <x:tableColumn id="10" name="نسبة الهدر %"/>
    <x:tableColumn id="11" name="نشط"/>
    <x:tableColumn id="12" name="كلفة وحدة المخزون"/>
    <x:tableColumn id="13" name="كلفة السطر"/>
    <x:tableColumn id="14" name="ملاحظات"/>
    <x:tableColumn id="15" name="التحقق"/>
  </x:tableColumns>
  <x:tableStyleInfo name="TableStyleMedium2" showRowStripes="1"/>
</x:table>
</file>

<file path=xl/tables/table3.xml><?xml version="1.0" encoding="utf-8"?>
<x:table xmlns:x="http://schemas.openxmlformats.org/spreadsheetml/2006/main" id="2" name="ProductsReferenceTable" displayName="ProductsReferenceTable" ref="A1:E79" headerRowCount="1">
  <x:tableColumns count="5">
    <x:tableColumn id="1" name="اسم المنتج"/>
    <x:tableColumn id="2" name="مفتاح المنتج"/>
    <x:tableColumn id="3" name="الفئة"/>
    <x:tableColumn id="4" name="السعر ل.س"/>
    <x:tableColumn id="5" name="المصدر/ملاحظة"/>
  </x:tableColumns>
  <x:tableStyleInfo name="TableStyleMedium2" showRowStripes="1"/>
</x:table>
</file>

<file path=xl/tables/table4.xml><?xml version="1.0" encoding="utf-8"?>
<x:table xmlns:x="http://schemas.openxmlformats.org/spreadsheetml/2006/main" id="4" name="MissingRecipeItemsTable" displayName="MissingRecipeItemsTable" ref="A1:E9" headerRowCount="1">
  <x:tableColumns count="5">
    <x:tableColumn id="1" name="المادة الناقصة"/>
    <x:tableColumn id="2" name="سبب الإضافة"/>
    <x:tableColumn id="3" name="الوحدة المقترحة"/>
    <x:tableColumn id="4" name="المنتجات المرتبطة"/>
    <x:tableColumn id="5" name="ملاحظة"/>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366b915e4154fa3" /></Relationships>
</file>

<file path=xl/worksheets/_rels/sheet4.xml.rels>&#65279;<?xml version="1.0" encoding="utf-8"?><Relationships xmlns="http://schemas.openxmlformats.org/package/2006/relationships"><Relationship Type="http://schemas.openxmlformats.org/officeDocument/2006/relationships/table" Target="/xl/tables/table2.xml" Id="Rf33c0fa63a924cb0" /></Relationships>
</file>

<file path=xl/worksheets/_rels/sheet5.xml.rels>&#65279;<?xml version="1.0" encoding="utf-8"?><Relationships xmlns="http://schemas.openxmlformats.org/package/2006/relationships"><Relationship Type="http://schemas.openxmlformats.org/officeDocument/2006/relationships/table" Target="/xl/tables/table3.xml" Id="R384fd98836474ebb" /></Relationships>
</file>

<file path=xl/worksheets/_rels/sheet7.xml.rels>&#65279;<?xml version="1.0" encoding="utf-8"?><Relationships xmlns="http://schemas.openxmlformats.org/package/2006/relationships"><Relationship Type="http://schemas.openxmlformats.org/officeDocument/2006/relationships/table" Target="/xl/tables/table4.xml" Id="R5489ed56aafd4e95" /></Relationships>
</file>

<file path=xl/worksheets/sheet1.xml><?xml version="1.0" encoding="utf-8"?>
<x:worksheet xmlns:x="http://schemas.openxmlformats.org/spreadsheetml/2006/main">
  <x:sheetFormatPr defaultRowHeight="15"/>
  <x:cols>
    <x:col min="1" max="1" width="24" hidden="0" customWidth="1"/>
    <x:col min="2" max="2" width="24" hidden="0" customWidth="1"/>
    <x:col min="3" max="3" width="25" hidden="0" customWidth="1"/>
    <x:col min="4" max="4" width="20" hidden="0" customWidth="1"/>
    <x:col min="5" max="5" width="14" hidden="0" customWidth="1"/>
    <x:col min="6" max="6" width="14" hidden="0" customWidth="1"/>
    <x:col min="7" max="7" width="14" hidden="0" customWidth="1"/>
    <x:col min="8" max="8" width="20" hidden="0" customWidth="1"/>
    <x:col min="9" max="9" width="20" hidden="0" customWidth="1"/>
    <x:col min="10" max="10" width="42" hidden="0" customWidth="1"/>
  </x:cols>
  <x:sheetData>
    <x:row r="1" ht="30" customHeight="1">
      <x:c r="A1" s="6" t="str">
        <x:v>مادة مخزون</x:v>
      </x:c>
      <x:c r="B1" s="6" t="str">
        <x:v>Name EN</x:v>
      </x:c>
      <x:c r="C1" s="6" t="str">
        <x:v>Code</x:v>
      </x:c>
      <x:c r="D1" s="6" t="str">
        <x:v>نوع المادة</x:v>
      </x:c>
      <x:c r="E1" s="6" t="str">
        <x:v>وحدة القياس</x:v>
      </x:c>
      <x:c r="F1" s="6" t="str">
        <x:v>الكمية الحالية</x:v>
      </x:c>
      <x:c r="G1" s="6" t="str">
        <x:v>حد التنبيه</x:v>
      </x:c>
      <x:c r="H1" s="6" t="str">
        <x:v>الكلفة التقديرية للوحدة</x:v>
      </x:c>
      <x:c r="I1" s="6" t="str">
        <x:v>المورد المفضل</x:v>
      </x:c>
      <x:c r="J1" s="6" t="str">
        <x:v>ملاحظات</x:v>
      </x:c>
    </x:row>
    <x:row r="2">
      <x:c r="A2" s="18" t="str">
        <x:v>بطاطا</x:v>
      </x:c>
      <x:c r="B2" s="20" t="str">
        <x:v>Potato</x:v>
      </x:c>
      <x:c r="C2" s="20" t="str">
        <x:v>ING-VEG-POTATO</x:v>
      </x:c>
      <x:c r="D2" s="18" t="str">
        <x:v>مكوّن</x:v>
      </x:c>
      <x:c r="E2" s="18" t="str">
        <x:v>كغ</x:v>
      </x:c>
      <x:c r="F2" s="22"/>
      <x:c r="G2" s="22"/>
      <x:c r="H2" s="22" t="n">
        <x:v>7000</x:v>
      </x:c>
      <x:c r="I2" s="18"/>
      <x:c r="J2" s="18" t="str">
        <x:v>مرجع سعر المشروع: 7,000 ل.س/كغ.</x:v>
      </x:c>
    </x:row>
    <x:row r="3">
      <x:c r="A3" s="18" t="str">
        <x:v>بصل</x:v>
      </x:c>
      <x:c r="B3" s="20" t="str">
        <x:v>Onion</x:v>
      </x:c>
      <x:c r="C3" s="20" t="str">
        <x:v>ING-VEG-ONION</x:v>
      </x:c>
      <x:c r="D3" s="18" t="str">
        <x:v>مكوّن</x:v>
      </x:c>
      <x:c r="E3" s="18" t="str">
        <x:v>كغ</x:v>
      </x:c>
      <x:c r="F3" s="22"/>
      <x:c r="G3" s="22"/>
      <x:c r="H3" s="22" t="n">
        <x:v>12000</x:v>
      </x:c>
      <x:c r="I3" s="18"/>
      <x:c r="J3" s="18" t="str">
        <x:v>مرجع سعر المشروع: 12,000 ل.س/كغ.</x:v>
      </x:c>
    </x:row>
    <x:row r="4">
      <x:c r="A4" s="18" t="str">
        <x:v>كوسا</x:v>
      </x:c>
      <x:c r="B4" s="20" t="str">
        <x:v>Zucchini</x:v>
      </x:c>
      <x:c r="C4" s="20" t="str">
        <x:v>ING-VEG-ZUCCHINI</x:v>
      </x:c>
      <x:c r="D4" s="18" t="str">
        <x:v>مكوّن</x:v>
      </x:c>
      <x:c r="E4" s="18" t="str">
        <x:v>كغ</x:v>
      </x:c>
      <x:c r="F4" s="22"/>
      <x:c r="G4" s="22"/>
      <x:c r="H4" s="22" t="n">
        <x:v>8000</x:v>
      </x:c>
      <x:c r="I4" s="18"/>
      <x:c r="J4" s="18" t="str">
        <x:v>مرجع سعر المشروع: 8,000 ل.س/كغ.</x:v>
      </x:c>
    </x:row>
    <x:row r="5">
      <x:c r="A5" s="18" t="str">
        <x:v>ليمون</x:v>
      </x:c>
      <x:c r="B5" s="20" t="str">
        <x:v>Lemon</x:v>
      </x:c>
      <x:c r="C5" s="20" t="str">
        <x:v>ING-FRT-LEMON</x:v>
      </x:c>
      <x:c r="D5" s="18" t="str">
        <x:v>مكوّن</x:v>
      </x:c>
      <x:c r="E5" s="18" t="str">
        <x:v>كغ</x:v>
      </x:c>
      <x:c r="F5" s="22"/>
      <x:c r="G5" s="22"/>
      <x:c r="H5" s="22" t="n">
        <x:v>30000</x:v>
      </x:c>
      <x:c r="I5" s="18"/>
      <x:c r="J5" s="18" t="str">
        <x:v>مرجع سعر المشروع: 30,000 ل.س/كغ.</x:v>
      </x:c>
    </x:row>
    <x:row r="6">
      <x:c r="A6" s="18" t="str">
        <x:v>بندورة</x:v>
      </x:c>
      <x:c r="B6" s="20" t="str">
        <x:v>Tomato</x:v>
      </x:c>
      <x:c r="C6" s="20" t="str">
        <x:v>ING-VEG-TOMATO</x:v>
      </x:c>
      <x:c r="D6" s="18" t="str">
        <x:v>مكوّن</x:v>
      </x:c>
      <x:c r="E6" s="18" t="str">
        <x:v>كغ</x:v>
      </x:c>
      <x:c r="F6" s="22"/>
      <x:c r="G6" s="22"/>
      <x:c r="H6" s="22" t="n">
        <x:v>9000</x:v>
      </x:c>
      <x:c r="I6" s="18"/>
      <x:c r="J6" s="18" t="str">
        <x:v>مرجع سعر المشروع: 9,000 ل.س/كغ.</x:v>
      </x:c>
    </x:row>
    <x:row r="7">
      <x:c r="A7" s="18" t="str">
        <x:v>فاصوليا خضراء</x:v>
      </x:c>
      <x:c r="B7" s="20" t="str">
        <x:v>Green Beans</x:v>
      </x:c>
      <x:c r="C7" s="20" t="str">
        <x:v>ING-VEG-GREENBEAN</x:v>
      </x:c>
      <x:c r="D7" s="18" t="str">
        <x:v>مكوّن</x:v>
      </x:c>
      <x:c r="E7" s="18" t="str">
        <x:v>كغ</x:v>
      </x:c>
      <x:c r="F7" s="22"/>
      <x:c r="G7" s="22"/>
      <x:c r="H7" s="22" t="n">
        <x:v>15500</x:v>
      </x:c>
      <x:c r="I7" s="18"/>
      <x:c r="J7" s="18" t="str">
        <x:v>مرجع سعر المشروع: 15,500 ل.س/كغ.</x:v>
      </x:c>
    </x:row>
    <x:row r="8">
      <x:c r="A8" s="18" t="str">
        <x:v>فجل</x:v>
      </x:c>
      <x:c r="B8" s="20" t="str">
        <x:v>Radish</x:v>
      </x:c>
      <x:c r="C8" s="20" t="str">
        <x:v>ING-VEG-RADISH</x:v>
      </x:c>
      <x:c r="D8" s="18" t="str">
        <x:v>مكوّن</x:v>
      </x:c>
      <x:c r="E8" s="18" t="str">
        <x:v>عبوة</x:v>
      </x:c>
      <x:c r="F8" s="22"/>
      <x:c r="G8" s="22"/>
      <x:c r="H8" s="22" t="n">
        <x:v>2000</x:v>
      </x:c>
      <x:c r="I8" s="18"/>
      <x:c r="J8" s="18" t="str">
        <x:v>العبوة المقصودة جرزة، نحو 4–5 حبات.</x:v>
      </x:c>
    </x:row>
    <x:row r="9">
      <x:c r="A9" s="18" t="str">
        <x:v>باذنجان</x:v>
      </x:c>
      <x:c r="B9" s="20" t="str">
        <x:v>Eggplant</x:v>
      </x:c>
      <x:c r="C9" s="20" t="str">
        <x:v>ING-VEG-EGGPLANT</x:v>
      </x:c>
      <x:c r="D9" s="18" t="str">
        <x:v>مكوّن</x:v>
      </x:c>
      <x:c r="E9" s="18" t="str">
        <x:v>كغ</x:v>
      </x:c>
      <x:c r="F9" s="22"/>
      <x:c r="G9" s="22"/>
      <x:c r="H9" s="22" t="n">
        <x:v>5000</x:v>
      </x:c>
      <x:c r="I9" s="18"/>
      <x:c r="J9" s="18" t="str">
        <x:v>مرجع سعر المشروع: 5,000 ل.س/كغ.</x:v>
      </x:c>
    </x:row>
    <x:row r="10">
      <x:c r="A10" s="18" t="str">
        <x:v>فليفلة حارة</x:v>
      </x:c>
      <x:c r="B10" s="20" t="str">
        <x:v>Hot Pepper</x:v>
      </x:c>
      <x:c r="C10" s="20" t="str">
        <x:v>ING-VEG-HOTPEPPER</x:v>
      </x:c>
      <x:c r="D10" s="18" t="str">
        <x:v>مكوّن</x:v>
      </x:c>
      <x:c r="E10" s="18" t="str">
        <x:v>كغ</x:v>
      </x:c>
      <x:c r="F10" s="22"/>
      <x:c r="G10" s="22"/>
      <x:c r="H10" s="22" t="n">
        <x:v>10000</x:v>
      </x:c>
      <x:c r="I10" s="18"/>
      <x:c r="J10" s="18" t="str">
        <x:v>مرجع سعر المشروع: 10,000 ل.س/كغ.</x:v>
      </x:c>
    </x:row>
    <x:row r="11">
      <x:c r="A11" s="18" t="str">
        <x:v>فليفلة حلوة</x:v>
      </x:c>
      <x:c r="B11" s="20" t="str">
        <x:v>Bell Pepper</x:v>
      </x:c>
      <x:c r="C11" s="20" t="str">
        <x:v>ING-VEG-BELLPEPPER</x:v>
      </x:c>
      <x:c r="D11" s="18" t="str">
        <x:v>مكوّن</x:v>
      </x:c>
      <x:c r="E11" s="18" t="str">
        <x:v>كغ</x:v>
      </x:c>
      <x:c r="F11" s="22"/>
      <x:c r="G11" s="22"/>
      <x:c r="H11" s="22" t="n">
        <x:v>9000</x:v>
      </x:c>
      <x:c r="I11" s="18"/>
      <x:c r="J11" s="18" t="str">
        <x:v>مرجع سعر المشروع: 9,000 ل.س/كغ.</x:v>
      </x:c>
    </x:row>
    <x:row r="12">
      <x:c r="A12" s="18" t="str">
        <x:v>خيار / بعجور</x:v>
      </x:c>
      <x:c r="B12" s="20" t="str">
        <x:v>Cucumber</x:v>
      </x:c>
      <x:c r="C12" s="20" t="str">
        <x:v>ING-VEG-CUCUMBER</x:v>
      </x:c>
      <x:c r="D12" s="18" t="str">
        <x:v>مكوّن</x:v>
      </x:c>
      <x:c r="E12" s="18" t="str">
        <x:v>كغ</x:v>
      </x:c>
      <x:c r="F12" s="22"/>
      <x:c r="G12" s="22"/>
      <x:c r="H12" s="22" t="n">
        <x:v>5000</x:v>
      </x:c>
      <x:c r="I12" s="18"/>
      <x:c r="J12" s="18" t="str">
        <x:v>مرجع السعر سُجّل باسم بعجور: 5,000 ل.س/كغ.</x:v>
      </x:c>
    </x:row>
    <x:row r="13">
      <x:c r="A13" s="18" t="str">
        <x:v>بازيلا خضراء</x:v>
      </x:c>
      <x:c r="B13" s="20" t="str">
        <x:v>Green Peas</x:v>
      </x:c>
      <x:c r="C13" s="20" t="str">
        <x:v>ING-VEG-GREENPEAS</x:v>
      </x:c>
      <x:c r="D13" s="18" t="str">
        <x:v>مكوّن</x:v>
      </x:c>
      <x:c r="E13" s="18" t="str">
        <x:v>كغ</x:v>
      </x:c>
      <x:c r="F13" s="22"/>
      <x:c r="G13" s="22"/>
      <x:c r="H13" s="22" t="n">
        <x:v>8000</x:v>
      </x:c>
      <x:c r="I13" s="18"/>
      <x:c r="J13" s="18" t="str">
        <x:v>مرجع سعر المشروع: 8,000 ل.س/كغ.</x:v>
      </x:c>
    </x:row>
    <x:row r="14">
      <x:c r="A14" s="18" t="str">
        <x:v>ملفوف أحمر</x:v>
      </x:c>
      <x:c r="B14" s="20" t="str">
        <x:v>Red Cabbage</x:v>
      </x:c>
      <x:c r="C14" s="20" t="str">
        <x:v>ING-VEG-REDCABBAGE</x:v>
      </x:c>
      <x:c r="D14" s="18" t="str">
        <x:v>مكوّن</x:v>
      </x:c>
      <x:c r="E14" s="18" t="str">
        <x:v>كغ</x:v>
      </x:c>
      <x:c r="F14" s="22"/>
      <x:c r="G14" s="22"/>
      <x:c r="H14" s="22" t="n">
        <x:v>6000</x:v>
      </x:c>
      <x:c r="I14" s="18"/>
      <x:c r="J14" s="18" t="str">
        <x:v>مرجع سعر المشروع: 6,000 ل.س/كغ.</x:v>
      </x:c>
    </x:row>
    <x:row r="15">
      <x:c r="A15" s="18" t="str">
        <x:v>ملفوف أخضر</x:v>
      </x:c>
      <x:c r="B15" s="20" t="str">
        <x:v>Green Cabbage</x:v>
      </x:c>
      <x:c r="C15" s="20" t="str">
        <x:v>ING-VEG-GREENCABBAGE</x:v>
      </x:c>
      <x:c r="D15" s="18" t="str">
        <x:v>مكوّن</x:v>
      </x:c>
      <x:c r="E15" s="18" t="str">
        <x:v>كغ</x:v>
      </x:c>
      <x:c r="F15" s="22"/>
      <x:c r="G15" s="22"/>
      <x:c r="H15" s="22" t="n">
        <x:v>5000</x:v>
      </x:c>
      <x:c r="I15" s="18"/>
      <x:c r="J15" s="18" t="str">
        <x:v>مرجع سعر المشروع: 5,000 ل.س/كغ.</x:v>
      </x:c>
    </x:row>
    <x:row r="16">
      <x:c r="A16" s="18" t="str">
        <x:v>خس</x:v>
      </x:c>
      <x:c r="B16" s="20" t="str">
        <x:v>Lettuce</x:v>
      </x:c>
      <x:c r="C16" s="20" t="str">
        <x:v>ING-VEG-LETTUCE</x:v>
      </x:c>
      <x:c r="D16" s="18" t="str">
        <x:v>مكوّن</x:v>
      </x:c>
      <x:c r="E16" s="18" t="str">
        <x:v>عبوة</x:v>
      </x:c>
      <x:c r="F16" s="22"/>
      <x:c r="G16" s="22"/>
      <x:c r="H16" s="22" t="n">
        <x:v>8000</x:v>
      </x:c>
      <x:c r="I16" s="18"/>
      <x:c r="J16" s="18" t="str">
        <x:v>العبوة المقصودة جرزة خس.</x:v>
      </x:c>
    </x:row>
    <x:row r="17">
      <x:c r="A17" s="18" t="str">
        <x:v>جزر</x:v>
      </x:c>
      <x:c r="B17" s="20" t="str">
        <x:v>Carrot</x:v>
      </x:c>
      <x:c r="C17" s="20" t="str">
        <x:v>ING-VEG-CARROT</x:v>
      </x:c>
      <x:c r="D17" s="18" t="str">
        <x:v>مكوّن</x:v>
      </x:c>
      <x:c r="E17" s="18" t="str">
        <x:v>كغ</x:v>
      </x:c>
      <x:c r="F17" s="22"/>
      <x:c r="G17" s="22"/>
      <x:c r="H17" s="22" t="n">
        <x:v>9000</x:v>
      </x:c>
      <x:c r="I17" s="18"/>
      <x:c r="J17" s="18" t="str">
        <x:v>مرجع سعر المشروع: 9,000 ل.س/كغ.</x:v>
      </x:c>
    </x:row>
    <x:row r="18">
      <x:c r="A18" s="18" t="str">
        <x:v>شمندر</x:v>
      </x:c>
      <x:c r="B18" s="20" t="str">
        <x:v>Beetroot</x:v>
      </x:c>
      <x:c r="C18" s="20" t="str">
        <x:v>ING-VEG-BEET</x:v>
      </x:c>
      <x:c r="D18" s="18" t="str">
        <x:v>مكوّن</x:v>
      </x:c>
      <x:c r="E18" s="18" t="str">
        <x:v>كغ</x:v>
      </x:c>
      <x:c r="F18" s="22"/>
      <x:c r="G18" s="22"/>
      <x:c r="H18" s="22"/>
      <x:c r="I18" s="18"/>
      <x:c r="J18" s="18" t="str"/>
    </x:row>
    <x:row r="19">
      <x:c r="A19" s="18" t="str">
        <x:v>سبانخ</x:v>
      </x:c>
      <x:c r="B19" s="20" t="str">
        <x:v>Spinach</x:v>
      </x:c>
      <x:c r="C19" s="20" t="str">
        <x:v>ING-VEG-SPINACH</x:v>
      </x:c>
      <x:c r="D19" s="18" t="str">
        <x:v>مكوّن</x:v>
      </x:c>
      <x:c r="E19" s="18" t="str">
        <x:v>كغ</x:v>
      </x:c>
      <x:c r="F19" s="22"/>
      <x:c r="G19" s="22"/>
      <x:c r="H19" s="22"/>
      <x:c r="I19" s="18"/>
      <x:c r="J19" s="18" t="str"/>
    </x:row>
    <x:row r="20">
      <x:c r="A20" s="18" t="str">
        <x:v>كرفس</x:v>
      </x:c>
      <x:c r="B20" s="20" t="str">
        <x:v>Celery</x:v>
      </x:c>
      <x:c r="C20" s="20" t="str">
        <x:v>ING-HERB-CELERY</x:v>
      </x:c>
      <x:c r="D20" s="18" t="str">
        <x:v>مكوّن</x:v>
      </x:c>
      <x:c r="E20" s="18" t="str">
        <x:v>عبوة</x:v>
      </x:c>
      <x:c r="F20" s="22"/>
      <x:c r="G20" s="22"/>
      <x:c r="H20" s="22"/>
      <x:c r="I20" s="18"/>
      <x:c r="J20" s="18" t="str"/>
    </x:row>
    <x:row r="21">
      <x:c r="A21" s="18" t="str">
        <x:v>بصل أخضر</x:v>
      </x:c>
      <x:c r="B21" s="20" t="str">
        <x:v>Spring Onion</x:v>
      </x:c>
      <x:c r="C21" s="20" t="str">
        <x:v>ING-HERB-SPRINGONION</x:v>
      </x:c>
      <x:c r="D21" s="18" t="str">
        <x:v>مكوّن</x:v>
      </x:c>
      <x:c r="E21" s="18" t="str">
        <x:v>عبوة</x:v>
      </x:c>
      <x:c r="F21" s="22"/>
      <x:c r="G21" s="22"/>
      <x:c r="H21" s="22"/>
      <x:c r="I21" s="18"/>
      <x:c r="J21" s="18" t="str"/>
    </x:row>
    <x:row r="22">
      <x:c r="A22" s="18" t="str">
        <x:v>ثوم طازج</x:v>
      </x:c>
      <x:c r="B22" s="20" t="str">
        <x:v>Fresh Garlic</x:v>
      </x:c>
      <x:c r="C22" s="20" t="str">
        <x:v>ING-VEG-GARLIC</x:v>
      </x:c>
      <x:c r="D22" s="18" t="str">
        <x:v>مكوّن</x:v>
      </x:c>
      <x:c r="E22" s="18" t="str">
        <x:v>كغ</x:v>
      </x:c>
      <x:c r="F22" s="22"/>
      <x:c r="G22" s="22"/>
      <x:c r="H22" s="22" t="n">
        <x:v>8000</x:v>
      </x:c>
      <x:c r="I22" s="18"/>
      <x:c r="J22" s="18" t="str">
        <x:v>مرجع سعر المشروع: 8,000 ل.س/كغ.</x:v>
      </x:c>
    </x:row>
    <x:row r="23">
      <x:c r="A23" s="18" t="str">
        <x:v>فطر طازج</x:v>
      </x:c>
      <x:c r="B23" s="20" t="str">
        <x:v>Fresh Mushroom</x:v>
      </x:c>
      <x:c r="C23" s="20" t="str">
        <x:v>ING-VEG-MUSHROOM</x:v>
      </x:c>
      <x:c r="D23" s="18" t="str">
        <x:v>مكوّن</x:v>
      </x:c>
      <x:c r="E23" s="18" t="str">
        <x:v>كغ</x:v>
      </x:c>
      <x:c r="F23" s="22"/>
      <x:c r="G23" s="22"/>
      <x:c r="H23" s="22"/>
      <x:c r="I23" s="18"/>
      <x:c r="J23" s="18" t="str"/>
    </x:row>
    <x:row r="24">
      <x:c r="A24" s="18" t="str">
        <x:v>ذرة حلوة</x:v>
      </x:c>
      <x:c r="B24" s="20" t="str">
        <x:v>Sweet Corn</x:v>
      </x:c>
      <x:c r="C24" s="20" t="str">
        <x:v>ING-VEG-SWEETCORN</x:v>
      </x:c>
      <x:c r="D24" s="18" t="str">
        <x:v>مكوّن</x:v>
      </x:c>
      <x:c r="E24" s="18" t="str">
        <x:v>كغ</x:v>
      </x:c>
      <x:c r="F24" s="22"/>
      <x:c r="G24" s="22"/>
      <x:c r="H24" s="22"/>
      <x:c r="I24" s="18"/>
      <x:c r="J24" s="18" t="str"/>
    </x:row>
    <x:row r="25">
      <x:c r="A25" s="18" t="str">
        <x:v>عرانيس ذرة</x:v>
      </x:c>
      <x:c r="B25" s="20" t="str">
        <x:v>Corn on the Cob</x:v>
      </x:c>
      <x:c r="C25" s="20" t="str">
        <x:v>ING-VEG-CORNCOB</x:v>
      </x:c>
      <x:c r="D25" s="18" t="str">
        <x:v>مكوّن</x:v>
      </x:c>
      <x:c r="E25" s="18" t="str">
        <x:v>قطعة</x:v>
      </x:c>
      <x:c r="F25" s="22"/>
      <x:c r="G25" s="22"/>
      <x:c r="H25" s="22"/>
      <x:c r="I25" s="18"/>
      <x:c r="J25" s="18" t="str"/>
    </x:row>
    <x:row r="26">
      <x:c r="A26" s="18" t="str">
        <x:v>ورق عنب</x:v>
      </x:c>
      <x:c r="B26" s="20" t="str">
        <x:v>Grape Leaves</x:v>
      </x:c>
      <x:c r="C26" s="20" t="str">
        <x:v>ING-VEG-GRAPELEAF</x:v>
      </x:c>
      <x:c r="D26" s="18" t="str">
        <x:v>مكوّن</x:v>
      </x:c>
      <x:c r="E26" s="18" t="str">
        <x:v>كغ</x:v>
      </x:c>
      <x:c r="F26" s="22"/>
      <x:c r="G26" s="22"/>
      <x:c r="H26" s="22"/>
      <x:c r="I26" s="18"/>
      <x:c r="J26" s="18" t="str"/>
    </x:row>
    <x:row r="27">
      <x:c r="A27" s="18" t="str">
        <x:v>نعنع طازج</x:v>
      </x:c>
      <x:c r="B27" s="20" t="str">
        <x:v>Fresh Mint</x:v>
      </x:c>
      <x:c r="C27" s="20" t="str">
        <x:v>ING-HERB-MINT</x:v>
      </x:c>
      <x:c r="D27" s="18" t="str">
        <x:v>مكوّن</x:v>
      </x:c>
      <x:c r="E27" s="18" t="str">
        <x:v>عبوة</x:v>
      </x:c>
      <x:c r="F27" s="22"/>
      <x:c r="G27" s="22"/>
      <x:c r="H27" s="22" t="n">
        <x:v>1500</x:v>
      </x:c>
      <x:c r="I27" s="18"/>
      <x:c r="J27" s="18" t="str">
        <x:v>سُجّل السعر لجرزة نعنع أو بقدونس: 1,500 ل.س.</x:v>
      </x:c>
    </x:row>
    <x:row r="28">
      <x:c r="A28" s="18" t="str">
        <x:v>بقدونس</x:v>
      </x:c>
      <x:c r="B28" s="20" t="str">
        <x:v>Parsley</x:v>
      </x:c>
      <x:c r="C28" s="20" t="str">
        <x:v>ING-HERB-PARSLEY</x:v>
      </x:c>
      <x:c r="D28" s="18" t="str">
        <x:v>مكوّن</x:v>
      </x:c>
      <x:c r="E28" s="18" t="str">
        <x:v>عبوة</x:v>
      </x:c>
      <x:c r="F28" s="22"/>
      <x:c r="G28" s="22"/>
      <x:c r="H28" s="22" t="n">
        <x:v>1500</x:v>
      </x:c>
      <x:c r="I28" s="18"/>
      <x:c r="J28" s="18" t="str">
        <x:v>سُجّل السعر لجرزة نعنع أو بقدونس: 1,500 ل.س.</x:v>
      </x:c>
    </x:row>
    <x:row r="29">
      <x:c r="A29" s="18" t="str">
        <x:v>كزبرة خضراء</x:v>
      </x:c>
      <x:c r="B29" s="20" t="str">
        <x:v>Fresh Coriander</x:v>
      </x:c>
      <x:c r="C29" s="20" t="str">
        <x:v>ING-HERB-CILANTRO</x:v>
      </x:c>
      <x:c r="D29" s="18" t="str">
        <x:v>مكوّن</x:v>
      </x:c>
      <x:c r="E29" s="18" t="str">
        <x:v>عبوة</x:v>
      </x:c>
      <x:c r="F29" s="22"/>
      <x:c r="G29" s="22"/>
      <x:c r="H29" s="22"/>
      <x:c r="I29" s="18"/>
      <x:c r="J29" s="18" t="str"/>
    </x:row>
    <x:row r="30">
      <x:c r="A30" s="18" t="str">
        <x:v>حبق / ريحان</x:v>
      </x:c>
      <x:c r="B30" s="20" t="str">
        <x:v>Fresh Basil</x:v>
      </x:c>
      <x:c r="C30" s="20" t="str">
        <x:v>ING-HERB-BASIL</x:v>
      </x:c>
      <x:c r="D30" s="18" t="str">
        <x:v>مكوّن</x:v>
      </x:c>
      <x:c r="E30" s="18" t="str">
        <x:v>عبوة</x:v>
      </x:c>
      <x:c r="F30" s="22"/>
      <x:c r="G30" s="22"/>
      <x:c r="H30" s="22"/>
      <x:c r="I30" s="18"/>
      <x:c r="J30" s="18" t="str">
        <x:v>أساسي لسندويشات حبق ومشروب الجن بالحبق.</x:v>
      </x:c>
    </x:row>
    <x:row r="31">
      <x:c r="A31" s="18" t="str">
        <x:v>زعتر بري طازج</x:v>
      </x:c>
      <x:c r="B31" s="20" t="str">
        <x:v>Fresh Wild Thyme</x:v>
      </x:c>
      <x:c r="C31" s="20" t="str">
        <x:v>ING-HERB-WILDTHYME</x:v>
      </x:c>
      <x:c r="D31" s="18" t="str">
        <x:v>مكوّن</x:v>
      </x:c>
      <x:c r="E31" s="18" t="str">
        <x:v>عبوة</x:v>
      </x:c>
      <x:c r="F31" s="22"/>
      <x:c r="G31" s="22"/>
      <x:c r="H31" s="22" t="n">
        <x:v>3000</x:v>
      </x:c>
      <x:c r="I31" s="18"/>
      <x:c r="J31" s="18" t="str">
        <x:v>مرجع سعر المشروع: 3,000 ل.س/جرزة.</x:v>
      </x:c>
    </x:row>
    <x:row r="32">
      <x:c r="A32" s="18" t="str">
        <x:v>ترخون</x:v>
      </x:c>
      <x:c r="B32" s="20" t="str">
        <x:v>Tarragon</x:v>
      </x:c>
      <x:c r="C32" s="20" t="str">
        <x:v>ING-HERB-TARRAGON</x:v>
      </x:c>
      <x:c r="D32" s="18" t="str">
        <x:v>مكوّن</x:v>
      </x:c>
      <x:c r="E32" s="18" t="str">
        <x:v>عبوة</x:v>
      </x:c>
      <x:c r="F32" s="22"/>
      <x:c r="G32" s="22"/>
      <x:c r="H32" s="22" t="n">
        <x:v>3000</x:v>
      </x:c>
      <x:c r="I32" s="18"/>
      <x:c r="J32" s="18" t="str">
        <x:v>مرجع سعر المشروع: 3,000 ل.س/جرزة.</x:v>
      </x:c>
    </x:row>
    <x:row r="33">
      <x:c r="A33" s="18" t="str">
        <x:v>شبت</x:v>
      </x:c>
      <x:c r="B33" s="20" t="str">
        <x:v>Dill</x:v>
      </x:c>
      <x:c r="C33" s="20" t="str">
        <x:v>ING-HERB-DILL</x:v>
      </x:c>
      <x:c r="D33" s="18" t="str">
        <x:v>مكوّن</x:v>
      </x:c>
      <x:c r="E33" s="18" t="str">
        <x:v>عبوة</x:v>
      </x:c>
      <x:c r="F33" s="22"/>
      <x:c r="G33" s="22"/>
      <x:c r="H33" s="22"/>
      <x:c r="I33" s="18"/>
      <x:c r="J33" s="18" t="str"/>
    </x:row>
    <x:row r="34">
      <x:c r="A34" s="18" t="str">
        <x:v>تفاح</x:v>
      </x:c>
      <x:c r="B34" s="20" t="str">
        <x:v>Apple</x:v>
      </x:c>
      <x:c r="C34" s="20" t="str">
        <x:v>ING-FRT-APPLE</x:v>
      </x:c>
      <x:c r="D34" s="18" t="str">
        <x:v>مكوّن</x:v>
      </x:c>
      <x:c r="E34" s="18" t="str">
        <x:v>كغ</x:v>
      </x:c>
      <x:c r="F34" s="22"/>
      <x:c r="G34" s="22"/>
      <x:c r="H34" s="22"/>
      <x:c r="I34" s="18"/>
      <x:c r="J34" s="18" t="str">
        <x:v>للعصير، شاي التفاح، السموذي والحلويات.</x:v>
      </x:c>
    </x:row>
    <x:row r="35">
      <x:c r="A35" s="18" t="str">
        <x:v>بطيخ أحمر</x:v>
      </x:c>
      <x:c r="B35" s="20" t="str">
        <x:v>Watermelon</x:v>
      </x:c>
      <x:c r="C35" s="20" t="str">
        <x:v>ING-FRT-WATERMELON</x:v>
      </x:c>
      <x:c r="D35" s="18" t="str">
        <x:v>مكوّن</x:v>
      </x:c>
      <x:c r="E35" s="18" t="str">
        <x:v>كغ</x:v>
      </x:c>
      <x:c r="F35" s="22"/>
      <x:c r="G35" s="22"/>
      <x:c r="H35" s="22"/>
      <x:c r="I35" s="18"/>
      <x:c r="J35" s="18" t="str">
        <x:v>لعصير البطيخ.</x:v>
      </x:c>
    </x:row>
    <x:row r="36">
      <x:c r="A36" s="18" t="str">
        <x:v>رمان</x:v>
      </x:c>
      <x:c r="B36" s="20" t="str">
        <x:v>Pomegranate</x:v>
      </x:c>
      <x:c r="C36" s="20" t="str">
        <x:v>ING-FRT-POMEGRANATE</x:v>
      </x:c>
      <x:c r="D36" s="18" t="str">
        <x:v>مكوّن</x:v>
      </x:c>
      <x:c r="E36" s="18" t="str">
        <x:v>كغ</x:v>
      </x:c>
      <x:c r="F36" s="22"/>
      <x:c r="G36" s="22"/>
      <x:c r="H36" s="22"/>
      <x:c r="I36" s="18"/>
      <x:c r="J36" s="18" t="str"/>
    </x:row>
    <x:row r="37">
      <x:c r="A37" s="18" t="str">
        <x:v>برتقال</x:v>
      </x:c>
      <x:c r="B37" s="20" t="str">
        <x:v>Orange</x:v>
      </x:c>
      <x:c r="C37" s="20" t="str">
        <x:v>ING-FRT-ORANGE</x:v>
      </x:c>
      <x:c r="D37" s="18" t="str">
        <x:v>مكوّن</x:v>
      </x:c>
      <x:c r="E37" s="18" t="str">
        <x:v>كغ</x:v>
      </x:c>
      <x:c r="F37" s="22"/>
      <x:c r="G37" s="22"/>
      <x:c r="H37" s="22"/>
      <x:c r="I37" s="18"/>
      <x:c r="J37" s="18" t="str"/>
    </x:row>
    <x:row r="38">
      <x:c r="A38" s="18" t="str">
        <x:v>موز</x:v>
      </x:c>
      <x:c r="B38" s="20" t="str">
        <x:v>Banana</x:v>
      </x:c>
      <x:c r="C38" s="20" t="str">
        <x:v>ING-FRT-BANANA</x:v>
      </x:c>
      <x:c r="D38" s="18" t="str">
        <x:v>مكوّن</x:v>
      </x:c>
      <x:c r="E38" s="18" t="str">
        <x:v>كغ</x:v>
      </x:c>
      <x:c r="F38" s="22"/>
      <x:c r="G38" s="22"/>
      <x:c r="H38" s="22"/>
      <x:c r="I38" s="18"/>
      <x:c r="J38" s="18" t="str">
        <x:v>للميلك شيك والسموذي.</x:v>
      </x:c>
    </x:row>
    <x:row r="39">
      <x:c r="A39" s="18" t="str">
        <x:v>فريز</x:v>
      </x:c>
      <x:c r="B39" s="20" t="str">
        <x:v>Strawberry</x:v>
      </x:c>
      <x:c r="C39" s="20" t="str">
        <x:v>ING-FRT-STRAWBERRY</x:v>
      </x:c>
      <x:c r="D39" s="18" t="str">
        <x:v>مكوّن</x:v>
      </x:c>
      <x:c r="E39" s="18" t="str">
        <x:v>كغ</x:v>
      </x:c>
      <x:c r="F39" s="22"/>
      <x:c r="G39" s="22"/>
      <x:c r="H39" s="22"/>
      <x:c r="I39" s="18"/>
      <x:c r="J39" s="18" t="str">
        <x:v>للميلك شيك والسموذي.</x:v>
      </x:c>
    </x:row>
    <x:row r="40">
      <x:c r="A40" s="18" t="str">
        <x:v>مشمش</x:v>
      </x:c>
      <x:c r="B40" s="20" t="str">
        <x:v>Apricot</x:v>
      </x:c>
      <x:c r="C40" s="20" t="str">
        <x:v>ING-FRT-APRICOT</x:v>
      </x:c>
      <x:c r="D40" s="18" t="str">
        <x:v>مكوّن</x:v>
      </x:c>
      <x:c r="E40" s="18" t="str">
        <x:v>كغ</x:v>
      </x:c>
      <x:c r="F40" s="22"/>
      <x:c r="G40" s="22"/>
      <x:c r="H40" s="22"/>
      <x:c r="I40" s="18"/>
      <x:c r="J40" s="18" t="str"/>
    </x:row>
    <x:row r="41">
      <x:c r="A41" s="18" t="str">
        <x:v>تين</x:v>
      </x:c>
      <x:c r="B41" s="20" t="str">
        <x:v>Fig</x:v>
      </x:c>
      <x:c r="C41" s="20" t="str">
        <x:v>ING-FRT-FIG</x:v>
      </x:c>
      <x:c r="D41" s="18" t="str">
        <x:v>مكوّن</x:v>
      </x:c>
      <x:c r="E41" s="18" t="str">
        <x:v>كغ</x:v>
      </x:c>
      <x:c r="F41" s="22"/>
      <x:c r="G41" s="22"/>
      <x:c r="H41" s="22"/>
      <x:c r="I41" s="18"/>
      <x:c r="J41" s="18" t="str"/>
    </x:row>
    <x:row r="42">
      <x:c r="A42" s="18" t="str">
        <x:v>عنب</x:v>
      </x:c>
      <x:c r="B42" s="20" t="str">
        <x:v>Grapes</x:v>
      </x:c>
      <x:c r="C42" s="20" t="str">
        <x:v>ING-FRT-GRAPES</x:v>
      </x:c>
      <x:c r="D42" s="18" t="str">
        <x:v>مكوّن</x:v>
      </x:c>
      <x:c r="E42" s="18" t="str">
        <x:v>كغ</x:v>
      </x:c>
      <x:c r="F42" s="22"/>
      <x:c r="G42" s="22"/>
      <x:c r="H42" s="22"/>
      <x:c r="I42" s="18"/>
      <x:c r="J42" s="18" t="str">
        <x:v>للعصير، الجلاب، الدبس والمنتجات الموسمية.</x:v>
      </x:c>
    </x:row>
    <x:row r="43">
      <x:c r="A43" s="18" t="str">
        <x:v>لبن مبستر</x:v>
      </x:c>
      <x:c r="B43" s="20" t="str">
        <x:v>Pasteurized Yogurt</x:v>
      </x:c>
      <x:c r="C43" s="20" t="str">
        <x:v>ING-DAIRY-YOGURT-PAST</x:v>
      </x:c>
      <x:c r="D43" s="18" t="str">
        <x:v>مكوّن</x:v>
      </x:c>
      <x:c r="E43" s="18" t="str">
        <x:v>كغ</x:v>
      </x:c>
      <x:c r="F43" s="22"/>
      <x:c r="G43" s="22"/>
      <x:c r="H43" s="22" t="n">
        <x:v>15000</x:v>
      </x:c>
      <x:c r="I43" s="18"/>
      <x:c r="J43" s="18" t="str">
        <x:v>مرجع سعر المشروع: 15,000 ل.س/كغ.</x:v>
      </x:c>
    </x:row>
    <x:row r="44">
      <x:c r="A44" s="18" t="str">
        <x:v>لبن بلدي</x:v>
      </x:c>
      <x:c r="B44" s="20" t="str">
        <x:v>Local Yogurt</x:v>
      </x:c>
      <x:c r="C44" s="20" t="str">
        <x:v>ING-DAIRY-YOGURT-LOCAL</x:v>
      </x:c>
      <x:c r="D44" s="18" t="str">
        <x:v>مكوّن</x:v>
      </x:c>
      <x:c r="E44" s="18" t="str">
        <x:v>عبوة</x:v>
      </x:c>
      <x:c r="F44" s="22"/>
      <x:c r="G44" s="22"/>
      <x:c r="H44" s="22" t="n">
        <x:v>10000</x:v>
      </x:c>
      <x:c r="I44" s="18"/>
      <x:c r="J44" s="18" t="str">
        <x:v>عبوة 700 غ.</x:v>
      </x:c>
    </x:row>
    <x:row r="45">
      <x:c r="A45" s="18" t="str">
        <x:v>حليب</x:v>
      </x:c>
      <x:c r="B45" s="20" t="str">
        <x:v>Milk</x:v>
      </x:c>
      <x:c r="C45" s="20" t="str">
        <x:v>ING-DAIRY-MILK</x:v>
      </x:c>
      <x:c r="D45" s="18" t="str">
        <x:v>مكوّن</x:v>
      </x:c>
      <x:c r="E45" s="18" t="str">
        <x:v>لتر</x:v>
      </x:c>
      <x:c r="F45" s="22"/>
      <x:c r="G45" s="22"/>
      <x:c r="H45" s="22" t="n">
        <x:v>15000</x:v>
      </x:c>
      <x:c r="I45" s="18"/>
      <x:c r="J45" s="18" t="str">
        <x:v>مرجع سعر المشروع: 15,000 ل.س/لتر.</x:v>
      </x:c>
    </x:row>
    <x:row r="46">
      <x:c r="A46" s="18" t="str">
        <x:v>كريمة طبخ</x:v>
      </x:c>
      <x:c r="B46" s="20" t="str">
        <x:v>Cooking Cream</x:v>
      </x:c>
      <x:c r="C46" s="20" t="str">
        <x:v>ING-DAIRY-COOKCREAM</x:v>
      </x:c>
      <x:c r="D46" s="18" t="str">
        <x:v>مكوّن</x:v>
      </x:c>
      <x:c r="E46" s="18" t="str">
        <x:v>لتر</x:v>
      </x:c>
      <x:c r="F46" s="22"/>
      <x:c r="G46" s="22"/>
      <x:c r="H46" s="22"/>
      <x:c r="I46" s="18"/>
      <x:c r="J46" s="18" t="str"/>
    </x:row>
    <x:row r="47">
      <x:c r="A47" s="18" t="str">
        <x:v>كريمة خفق</x:v>
      </x:c>
      <x:c r="B47" s="20" t="str">
        <x:v>Whipping Cream</x:v>
      </x:c>
      <x:c r="C47" s="20" t="str">
        <x:v>ING-DAIRY-WHIPCREAM</x:v>
      </x:c>
      <x:c r="D47" s="18" t="str">
        <x:v>مكوّن</x:v>
      </x:c>
      <x:c r="E47" s="18" t="str">
        <x:v>لتر</x:v>
      </x:c>
      <x:c r="F47" s="22"/>
      <x:c r="G47" s="22"/>
      <x:c r="H47" s="22"/>
      <x:c r="I47" s="18"/>
      <x:c r="J47" s="18" t="str"/>
    </x:row>
    <x:row r="48">
      <x:c r="A48" s="18" t="str">
        <x:v>زبدة</x:v>
      </x:c>
      <x:c r="B48" s="20" t="str">
        <x:v>Butter</x:v>
      </x:c>
      <x:c r="C48" s="20" t="str">
        <x:v>ING-DAIRY-BUTTER</x:v>
      </x:c>
      <x:c r="D48" s="18" t="str">
        <x:v>مكوّن</x:v>
      </x:c>
      <x:c r="E48" s="18" t="str">
        <x:v>كغ</x:v>
      </x:c>
      <x:c r="F48" s="22"/>
      <x:c r="G48" s="22"/>
      <x:c r="H48" s="22"/>
      <x:c r="I48" s="18"/>
      <x:c r="J48" s="18" t="str"/>
    </x:row>
    <x:row r="49">
      <x:c r="A49" s="18" t="str">
        <x:v>سمنة</x:v>
      </x:c>
      <x:c r="B49" s="20" t="str">
        <x:v>Ghee</x:v>
      </x:c>
      <x:c r="C49" s="20" t="str">
        <x:v>ING-DAIRY-GHEE</x:v>
      </x:c>
      <x:c r="D49" s="18" t="str">
        <x:v>مكوّن</x:v>
      </x:c>
      <x:c r="E49" s="18" t="str">
        <x:v>كغ</x:v>
      </x:c>
      <x:c r="F49" s="22"/>
      <x:c r="G49" s="22"/>
      <x:c r="H49" s="22"/>
      <x:c r="I49" s="18"/>
      <x:c r="J49" s="18" t="str"/>
    </x:row>
    <x:row r="50">
      <x:c r="A50" s="18" t="str">
        <x:v>بيض</x:v>
      </x:c>
      <x:c r="B50" s="20" t="str">
        <x:v>Egg</x:v>
      </x:c>
      <x:c r="C50" s="20" t="str">
        <x:v>ING-DAIRY-EGG</x:v>
      </x:c>
      <x:c r="D50" s="18" t="str">
        <x:v>مكوّن</x:v>
      </x:c>
      <x:c r="E50" s="18" t="str">
        <x:v>قطعة</x:v>
      </x:c>
      <x:c r="F50" s="22"/>
      <x:c r="G50" s="22"/>
      <x:c r="H50" s="22" t="n">
        <x:v>1500</x:v>
      </x:c>
      <x:c r="I50" s="18"/>
      <x:c r="J50" s="18" t="str">
        <x:v>صحن 30 بيضة = 45,000 ل.س؛ الكلفة المحسوبة للبيضة 1,500 ل.س.</x:v>
      </x:c>
    </x:row>
    <x:row r="51">
      <x:c r="A51" s="18" t="str">
        <x:v>جبنة بيضاء</x:v>
      </x:c>
      <x:c r="B51" s="20" t="str">
        <x:v>White Cheese</x:v>
      </x:c>
      <x:c r="C51" s="20" t="str">
        <x:v>ING-CHEESE-WHITE</x:v>
      </x:c>
      <x:c r="D51" s="18" t="str">
        <x:v>مكوّن</x:v>
      </x:c>
      <x:c r="E51" s="18" t="str">
        <x:v>كغ</x:v>
      </x:c>
      <x:c r="F51" s="22"/>
      <x:c r="G51" s="22"/>
      <x:c r="H51" s="22"/>
      <x:c r="I51" s="18"/>
      <x:c r="J51" s="18" t="str">
        <x:v>لسندويش حبق، الفطور والمازات.</x:v>
      </x:c>
    </x:row>
    <x:row r="52">
      <x:c r="A52" s="18" t="str">
        <x:v>جبنة برغر</x:v>
      </x:c>
      <x:c r="B52" s="20" t="str">
        <x:v>Burger Cheese</x:v>
      </x:c>
      <x:c r="C52" s="20" t="str">
        <x:v>ING-CHEESE-BURGER</x:v>
      </x:c>
      <x:c r="D52" s="18" t="str">
        <x:v>مكوّن</x:v>
      </x:c>
      <x:c r="E52" s="18" t="str">
        <x:v>عبوة</x:v>
      </x:c>
      <x:c r="F52" s="22"/>
      <x:c r="G52" s="22"/>
      <x:c r="H52" s="22" t="n">
        <x:v>20000</x:v>
      </x:c>
      <x:c r="I52" s="18"/>
      <x:c r="J52" s="18" t="str">
        <x:v>وزن العبوة غير محدد في المرجع.</x:v>
      </x:c>
    </x:row>
    <x:row r="53">
      <x:c r="A53" s="18" t="str">
        <x:v>جبنة موزاريلا</x:v>
      </x:c>
      <x:c r="B53" s="20" t="str">
        <x:v>Mozzarella</x:v>
      </x:c>
      <x:c r="C53" s="20" t="str">
        <x:v>ING-CHEESE-MOZZARELLA</x:v>
      </x:c>
      <x:c r="D53" s="18" t="str">
        <x:v>مكوّن</x:v>
      </x:c>
      <x:c r="E53" s="18" t="str">
        <x:v>كغ</x:v>
      </x:c>
      <x:c r="F53" s="22"/>
      <x:c r="G53" s="22"/>
      <x:c r="H53" s="22"/>
      <x:c r="I53" s="18"/>
      <x:c r="J53" s="18" t="str"/>
    </x:row>
    <x:row r="54">
      <x:c r="A54" s="18" t="str">
        <x:v>جبنة حلوم</x:v>
      </x:c>
      <x:c r="B54" s="20" t="str">
        <x:v>Halloumi</x:v>
      </x:c>
      <x:c r="C54" s="20" t="str">
        <x:v>ING-CHEESE-HALLOUMI</x:v>
      </x:c>
      <x:c r="D54" s="18" t="str">
        <x:v>مكوّن</x:v>
      </x:c>
      <x:c r="E54" s="18" t="str">
        <x:v>كغ</x:v>
      </x:c>
      <x:c r="F54" s="22"/>
      <x:c r="G54" s="22"/>
      <x:c r="H54" s="22"/>
      <x:c r="I54" s="18"/>
      <x:c r="J54" s="18" t="str">
        <x:v>لـ Crunchy Halloumi Dog والسندويشات.</x:v>
      </x:c>
    </x:row>
    <x:row r="55">
      <x:c r="A55" s="18" t="str">
        <x:v>لبنة</x:v>
      </x:c>
      <x:c r="B55" s="20" t="str">
        <x:v>Labneh</x:v>
      </x:c>
      <x:c r="C55" s="20" t="str">
        <x:v>ING-DAIRY-LABNEH</x:v>
      </x:c>
      <x:c r="D55" s="18" t="str">
        <x:v>مكوّن</x:v>
      </x:c>
      <x:c r="E55" s="18" t="str">
        <x:v>كغ</x:v>
      </x:c>
      <x:c r="F55" s="22"/>
      <x:c r="G55" s="22"/>
      <x:c r="H55" s="22"/>
      <x:c r="I55" s="18"/>
      <x:c r="J55" s="18" t="str"/>
    </x:row>
    <x:row r="56">
      <x:c r="A56" s="18" t="str">
        <x:v>جبنة كريمية</x:v>
      </x:c>
      <x:c r="B56" s="20" t="str">
        <x:v>Cream Cheese</x:v>
      </x:c>
      <x:c r="C56" s="20" t="str">
        <x:v>ING-CHEESE-CREAM</x:v>
      </x:c>
      <x:c r="D56" s="18" t="str">
        <x:v>مكوّن</x:v>
      </x:c>
      <x:c r="E56" s="18" t="str">
        <x:v>كغ</x:v>
      </x:c>
      <x:c r="F56" s="22"/>
      <x:c r="G56" s="22"/>
      <x:c r="H56" s="22"/>
      <x:c r="I56" s="18"/>
      <x:c r="J56" s="18" t="str"/>
    </x:row>
    <x:row r="57">
      <x:c r="A57" s="18" t="str">
        <x:v>جبنة بارميزان</x:v>
      </x:c>
      <x:c r="B57" s="20" t="str">
        <x:v>Parmesan</x:v>
      </x:c>
      <x:c r="C57" s="20" t="str">
        <x:v>ING-CHEESE-PARMESAN</x:v>
      </x:c>
      <x:c r="D57" s="18" t="str">
        <x:v>مكوّن</x:v>
      </x:c>
      <x:c r="E57" s="18" t="str">
        <x:v>كغ</x:v>
      </x:c>
      <x:c r="F57" s="22"/>
      <x:c r="G57" s="22"/>
      <x:c r="H57" s="22"/>
      <x:c r="I57" s="18"/>
      <x:c r="J57" s="18" t="str"/>
    </x:row>
    <x:row r="58">
      <x:c r="A58" s="18" t="str">
        <x:v>آيس كريم فانيلا</x:v>
      </x:c>
      <x:c r="B58" s="20" t="str">
        <x:v>Vanilla Ice Cream</x:v>
      </x:c>
      <x:c r="C58" s="20" t="str">
        <x:v>ING-DAIRY-ICECREAM-VAN</x:v>
      </x:c>
      <x:c r="D58" s="18" t="str">
        <x:v>مكوّن</x:v>
      </x:c>
      <x:c r="E58" s="18" t="str">
        <x:v>كغ</x:v>
      </x:c>
      <x:c r="F58" s="22"/>
      <x:c r="G58" s="22"/>
      <x:c r="H58" s="22"/>
      <x:c r="I58" s="18"/>
      <x:c r="J58" s="18" t="str">
        <x:v>للميلك شيك والحلويات.</x:v>
      </x:c>
    </x:row>
    <x:row r="59">
      <x:c r="A59" s="18" t="str">
        <x:v>شنينة جاهزة</x:v>
      </x:c>
      <x:c r="B59" s="20" t="str">
        <x:v>Ready Ayran</x:v>
      </x:c>
      <x:c r="C59" s="20" t="str">
        <x:v>DRK-AYRAN-READY</x:v>
      </x:c>
      <x:c r="D59" s="18" t="str">
        <x:v>مشروبات ومستلزمات</x:v>
      </x:c>
      <x:c r="E59" s="18" t="str">
        <x:v>لتر</x:v>
      </x:c>
      <x:c r="F59" s="22"/>
      <x:c r="G59" s="22"/>
      <x:c r="H59" s="22"/>
      <x:c r="I59" s="18"/>
      <x:c r="J59" s="18" t="str">
        <x:v>يمكن تحضيرها داخلياً من اللبن والماء والملح بدل شرائها.</x:v>
      </x:c>
    </x:row>
    <x:row r="60">
      <x:c r="A60" s="18" t="str">
        <x:v>صدر دجاج</x:v>
      </x:c>
      <x:c r="B60" s="20" t="str">
        <x:v>Chicken Breast</x:v>
      </x:c>
      <x:c r="C60" s="20" t="str">
        <x:v>ING-MEAT-CHICKENBREAST</x:v>
      </x:c>
      <x:c r="D60" s="18" t="str">
        <x:v>مكوّن</x:v>
      </x:c>
      <x:c r="E60" s="18" t="str">
        <x:v>كغ</x:v>
      </x:c>
      <x:c r="F60" s="22"/>
      <x:c r="G60" s="22"/>
      <x:c r="H60" s="22" t="n">
        <x:v>35000</x:v>
      </x:c>
      <x:c r="I60" s="18"/>
      <x:c r="J60" s="18" t="str">
        <x:v>السعر الذي ناقشناه للدجاج: نحو 35,000 ل.س/كغ.</x:v>
      </x:c>
    </x:row>
    <x:row r="61">
      <x:c r="A61" s="18" t="str">
        <x:v>دجاج كامل</x:v>
      </x:c>
      <x:c r="B61" s="20" t="str">
        <x:v>Whole Chicken</x:v>
      </x:c>
      <x:c r="C61" s="20" t="str">
        <x:v>ING-MEAT-WHOLECHICKEN</x:v>
      </x:c>
      <x:c r="D61" s="18" t="str">
        <x:v>مكوّن</x:v>
      </x:c>
      <x:c r="E61" s="18" t="str">
        <x:v>كغ</x:v>
      </x:c>
      <x:c r="F61" s="22"/>
      <x:c r="G61" s="22"/>
      <x:c r="H61" s="22"/>
      <x:c r="I61" s="18"/>
      <x:c r="J61" s="18" t="str"/>
    </x:row>
    <x:row r="62">
      <x:c r="A62" s="18" t="str">
        <x:v>لحم بقر مكعبات</x:v>
      </x:c>
      <x:c r="B62" s="20" t="str">
        <x:v>Beef Cubes</x:v>
      </x:c>
      <x:c r="C62" s="20" t="str">
        <x:v>ING-MEAT-BEEF-CUBES</x:v>
      </x:c>
      <x:c r="D62" s="18" t="str">
        <x:v>مكوّن</x:v>
      </x:c>
      <x:c r="E62" s="18" t="str">
        <x:v>كغ</x:v>
      </x:c>
      <x:c r="F62" s="22"/>
      <x:c r="G62" s="22"/>
      <x:c r="H62" s="22"/>
      <x:c r="I62" s="18"/>
      <x:c r="J62" s="18" t="str"/>
    </x:row>
    <x:row r="63">
      <x:c r="A63" s="18" t="str">
        <x:v>لحم بقر مفروم</x:v>
      </x:c>
      <x:c r="B63" s="20" t="str">
        <x:v>Ground Beef</x:v>
      </x:c>
      <x:c r="C63" s="20" t="str">
        <x:v>ING-MEAT-BEEF-GROUND</x:v>
      </x:c>
      <x:c r="D63" s="18" t="str">
        <x:v>مكوّن</x:v>
      </x:c>
      <x:c r="E63" s="18" t="str">
        <x:v>كغ</x:v>
      </x:c>
      <x:c r="F63" s="22"/>
      <x:c r="G63" s="22"/>
      <x:c r="H63" s="22"/>
      <x:c r="I63" s="18"/>
      <x:c r="J63" s="18" t="str"/>
    </x:row>
    <x:row r="64">
      <x:c r="A64" s="18" t="str">
        <x:v>لحم غنم مكعبات</x:v>
      </x:c>
      <x:c r="B64" s="20" t="str">
        <x:v>Lamb Cubes</x:v>
      </x:c>
      <x:c r="C64" s="20" t="str">
        <x:v>ING-MEAT-LAMB-CUBES</x:v>
      </x:c>
      <x:c r="D64" s="18" t="str">
        <x:v>مكوّن</x:v>
      </x:c>
      <x:c r="E64" s="18" t="str">
        <x:v>كغ</x:v>
      </x:c>
      <x:c r="F64" s="22"/>
      <x:c r="G64" s="22"/>
      <x:c r="H64" s="22"/>
      <x:c r="I64" s="18"/>
      <x:c r="J64" s="18" t="str"/>
    </x:row>
    <x:row r="65">
      <x:c r="A65" s="18" t="str">
        <x:v>لحم غنم مفروم</x:v>
      </x:c>
      <x:c r="B65" s="20" t="str">
        <x:v>Ground Lamb</x:v>
      </x:c>
      <x:c r="C65" s="20" t="str">
        <x:v>ING-MEAT-LAMB-GROUND</x:v>
      </x:c>
      <x:c r="D65" s="18" t="str">
        <x:v>مكوّن</x:v>
      </x:c>
      <x:c r="E65" s="18" t="str">
        <x:v>كغ</x:v>
      </x:c>
      <x:c r="F65" s="22"/>
      <x:c r="G65" s="22"/>
      <x:c r="H65" s="22"/>
      <x:c r="I65" s="18"/>
      <x:c r="J65" s="18" t="str"/>
    </x:row>
    <x:row r="66">
      <x:c r="A66" s="18" t="str">
        <x:v>فخذ خروف</x:v>
      </x:c>
      <x:c r="B66" s="20" t="str">
        <x:v>Lamb Leg</x:v>
      </x:c>
      <x:c r="C66" s="20" t="str">
        <x:v>ING-MEAT-LAMB-LEG</x:v>
      </x:c>
      <x:c r="D66" s="18" t="str">
        <x:v>مكوّن</x:v>
      </x:c>
      <x:c r="E66" s="18" t="str">
        <x:v>كغ</x:v>
      </x:c>
      <x:c r="F66" s="22"/>
      <x:c r="G66" s="22"/>
      <x:c r="H66" s="22"/>
      <x:c r="I66" s="18"/>
      <x:c r="J66" s="18" t="str"/>
    </x:row>
    <x:row r="67">
      <x:c r="A67" s="18" t="str">
        <x:v>ستيك بقر</x:v>
      </x:c>
      <x:c r="B67" s="20" t="str">
        <x:v>Beef Steak</x:v>
      </x:c>
      <x:c r="C67" s="20" t="str">
        <x:v>ING-MEAT-BEEF-STEAK</x:v>
      </x:c>
      <x:c r="D67" s="18" t="str">
        <x:v>مكوّن</x:v>
      </x:c>
      <x:c r="E67" s="18" t="str">
        <x:v>كغ</x:v>
      </x:c>
      <x:c r="F67" s="22"/>
      <x:c r="G67" s="22"/>
      <x:c r="H67" s="22"/>
      <x:c r="I67" s="18"/>
      <x:c r="J67" s="18" t="str"/>
    </x:row>
    <x:row r="68">
      <x:c r="A68" s="18" t="str">
        <x:v>نقانق هوت دوغ</x:v>
      </x:c>
      <x:c r="B68" s="20" t="str">
        <x:v>Hot Dog Sausage</x:v>
      </x:c>
      <x:c r="C68" s="20" t="str">
        <x:v>ING-MEAT-HOTDOG</x:v>
      </x:c>
      <x:c r="D68" s="18" t="str">
        <x:v>مكوّن</x:v>
      </x:c>
      <x:c r="E68" s="18" t="str">
        <x:v>قطعة</x:v>
      </x:c>
      <x:c r="F68" s="22"/>
      <x:c r="G68" s="22"/>
      <x:c r="H68" s="22" t="n">
        <x:v>4000</x:v>
      </x:c>
      <x:c r="I68" s="18"/>
      <x:c r="J68" s="18" t="str">
        <x:v>الكلفة التقريبية التي ناقشناها: 4,000 ل.س للحبة.</x:v>
      </x:c>
    </x:row>
    <x:row r="69">
      <x:c r="A69" s="18" t="str">
        <x:v>سجق حار</x:v>
      </x:c>
      <x:c r="B69" s="20" t="str">
        <x:v>Spicy Sausage</x:v>
      </x:c>
      <x:c r="C69" s="20" t="str">
        <x:v>ING-MEAT-SUJUK</x:v>
      </x:c>
      <x:c r="D69" s="18" t="str">
        <x:v>مكوّن</x:v>
      </x:c>
      <x:c r="E69" s="18" t="str">
        <x:v>كغ</x:v>
      </x:c>
      <x:c r="F69" s="22"/>
      <x:c r="G69" s="22"/>
      <x:c r="H69" s="22"/>
      <x:c r="I69" s="18"/>
      <x:c r="J69" s="18" t="str"/>
    </x:row>
    <x:row r="70">
      <x:c r="A70" s="18" t="str">
        <x:v>فيليه سمك</x:v>
      </x:c>
      <x:c r="B70" s="20" t="str">
        <x:v>Fish Fillet</x:v>
      </x:c>
      <x:c r="C70" s="20" t="str">
        <x:v>ING-FISH-FILLET</x:v>
      </x:c>
      <x:c r="D70" s="18" t="str">
        <x:v>مكوّن</x:v>
      </x:c>
      <x:c r="E70" s="18" t="str">
        <x:v>كغ</x:v>
      </x:c>
      <x:c r="F70" s="22"/>
      <x:c r="G70" s="22"/>
      <x:c r="H70" s="22"/>
      <x:c r="I70" s="18"/>
      <x:c r="J70" s="18" t="str"/>
    </x:row>
    <x:row r="71">
      <x:c r="A71" s="18" t="str">
        <x:v>سمك كامل</x:v>
      </x:c>
      <x:c r="B71" s="20" t="str">
        <x:v>Whole Fish</x:v>
      </x:c>
      <x:c r="C71" s="20" t="str">
        <x:v>ING-FISH-WHOLE</x:v>
      </x:c>
      <x:c r="D71" s="18" t="str">
        <x:v>مكوّن</x:v>
      </x:c>
      <x:c r="E71" s="18" t="str">
        <x:v>كغ</x:v>
      </x:c>
      <x:c r="F71" s="22"/>
      <x:c r="G71" s="22"/>
      <x:c r="H71" s="22"/>
      <x:c r="I71" s="18"/>
      <x:c r="J71" s="18" t="str"/>
    </x:row>
    <x:row r="72">
      <x:c r="A72" s="18" t="str">
        <x:v>كروش</x:v>
      </x:c>
      <x:c r="B72" s="20" t="str">
        <x:v>Tripe</x:v>
      </x:c>
      <x:c r="C72" s="20" t="str">
        <x:v>ING-OFFAL-TRIPE</x:v>
      </x:c>
      <x:c r="D72" s="18" t="str">
        <x:v>مكوّن</x:v>
      </x:c>
      <x:c r="E72" s="18" t="str">
        <x:v>كغ</x:v>
      </x:c>
      <x:c r="F72" s="22"/>
      <x:c r="G72" s="22"/>
      <x:c r="H72" s="22"/>
      <x:c r="I72" s="18"/>
      <x:c r="J72" s="18" t="str"/>
    </x:row>
    <x:row r="73">
      <x:c r="A73" s="18" t="str">
        <x:v>فوارغ</x:v>
      </x:c>
      <x:c r="B73" s="20" t="str">
        <x:v>Stuffed Intestine Casing</x:v>
      </x:c>
      <x:c r="C73" s="20" t="str">
        <x:v>ING-OFFAL-INTESTINE</x:v>
      </x:c>
      <x:c r="D73" s="18" t="str">
        <x:v>مكوّن</x:v>
      </x:c>
      <x:c r="E73" s="18" t="str">
        <x:v>كغ</x:v>
      </x:c>
      <x:c r="F73" s="22"/>
      <x:c r="G73" s="22"/>
      <x:c r="H73" s="22"/>
      <x:c r="I73" s="18"/>
      <x:c r="J73" s="18" t="str"/>
    </x:row>
    <x:row r="74">
      <x:c r="A74" s="18" t="str">
        <x:v>فلافل جاهزة</x:v>
      </x:c>
      <x:c r="B74" s="20" t="str">
        <x:v>Prepared Falafel</x:v>
      </x:c>
      <x:c r="C74" s="20" t="str">
        <x:v>ING-PREP-FALAFEL</x:v>
      </x:c>
      <x:c r="D74" s="18" t="str">
        <x:v>مكوّن</x:v>
      </x:c>
      <x:c r="E74" s="18" t="str">
        <x:v>قطعة</x:v>
      </x:c>
      <x:c r="F74" s="22"/>
      <x:c r="G74" s="22"/>
      <x:c r="H74" s="22"/>
      <x:c r="I74" s="18"/>
      <x:c r="J74" s="18" t="str">
        <x:v>يُضاف فقط إن كانت تُشترى جاهزة؛ وإلا تُدار كوصفة/دفعة إنتاج.</x:v>
      </x:c>
    </x:row>
    <x:row r="75">
      <x:c r="A75" s="18" t="str">
        <x:v>حمص جاهز</x:v>
      </x:c>
      <x:c r="B75" s="20" t="str">
        <x:v>Prepared Hummus</x:v>
      </x:c>
      <x:c r="C75" s="20" t="str">
        <x:v>ING-PREP-HUMMUS</x:v>
      </x:c>
      <x:c r="D75" s="18" t="str">
        <x:v>مكوّن</x:v>
      </x:c>
      <x:c r="E75" s="18" t="str">
        <x:v>كغ</x:v>
      </x:c>
      <x:c r="F75" s="22"/>
      <x:c r="G75" s="22"/>
      <x:c r="H75" s="22"/>
      <x:c r="I75" s="18"/>
      <x:c r="J75" s="18" t="str">
        <x:v>يُضاف فقط إن كان يُشترى جاهزاً؛ وإلا يُدار كوصفة/دفعة إنتاج.</x:v>
      </x:c>
    </x:row>
    <x:row r="76">
      <x:c r="A76" s="18" t="str">
        <x:v>محمّرة جاهزة</x:v>
      </x:c>
      <x:c r="B76" s="20" t="str">
        <x:v>Prepared Muhammara</x:v>
      </x:c>
      <x:c r="C76" s="20" t="str">
        <x:v>ING-PREP-MUHAMMARA</x:v>
      </x:c>
      <x:c r="D76" s="18" t="str">
        <x:v>مكوّن</x:v>
      </x:c>
      <x:c r="E76" s="18" t="str">
        <x:v>كغ</x:v>
      </x:c>
      <x:c r="F76" s="22"/>
      <x:c r="G76" s="22"/>
      <x:c r="H76" s="22"/>
      <x:c r="I76" s="18"/>
      <x:c r="J76" s="18" t="str">
        <x:v>الاسم المعتمد محمّرة، وليس حمرة. تُضاف إن كانت تُشترى جاهزة.</x:v>
      </x:c>
    </x:row>
    <x:row r="77">
      <x:c r="A77" s="18" t="str">
        <x:v>طحين أبيض</x:v>
      </x:c>
      <x:c r="B77" s="20" t="str">
        <x:v>White Flour</x:v>
      </x:c>
      <x:c r="C77" s="20" t="str">
        <x:v>ING-DRY-WHITEFLOUR</x:v>
      </x:c>
      <x:c r="D77" s="18" t="str">
        <x:v>مكوّن</x:v>
      </x:c>
      <x:c r="E77" s="18" t="str">
        <x:v>كغ</x:v>
      </x:c>
      <x:c r="F77" s="22"/>
      <x:c r="G77" s="22"/>
      <x:c r="H77" s="22" t="n">
        <x:v>10000</x:v>
      </x:c>
      <x:c r="I77" s="18"/>
      <x:c r="J77" s="18" t="str">
        <x:v>مرجع سعر المشروع: 10,000 ل.س/كغ.</x:v>
      </x:c>
    </x:row>
    <x:row r="78">
      <x:c r="A78" s="18" t="str">
        <x:v>طحين ذرة</x:v>
      </x:c>
      <x:c r="B78" s="20" t="str">
        <x:v>Corn Flour</x:v>
      </x:c>
      <x:c r="C78" s="20" t="str">
        <x:v>ING-DRY-CORNFLOUR</x:v>
      </x:c>
      <x:c r="D78" s="18" t="str">
        <x:v>مكوّن</x:v>
      </x:c>
      <x:c r="E78" s="18" t="str">
        <x:v>كغ</x:v>
      </x:c>
      <x:c r="F78" s="22"/>
      <x:c r="G78" s="22"/>
      <x:c r="H78" s="22"/>
      <x:c r="I78" s="18"/>
      <x:c r="J78" s="18" t="str"/>
    </x:row>
    <x:row r="79">
      <x:c r="A79" s="18" t="str">
        <x:v>سميد</x:v>
      </x:c>
      <x:c r="B79" s="20" t="str">
        <x:v>Semolina</x:v>
      </x:c>
      <x:c r="C79" s="20" t="str">
        <x:v>ING-DRY-SEMOLINA</x:v>
      </x:c>
      <x:c r="D79" s="18" t="str">
        <x:v>مكوّن</x:v>
      </x:c>
      <x:c r="E79" s="18" t="str">
        <x:v>كغ</x:v>
      </x:c>
      <x:c r="F79" s="22"/>
      <x:c r="G79" s="22"/>
      <x:c r="H79" s="22"/>
      <x:c r="I79" s="18"/>
      <x:c r="J79" s="18" t="str"/>
    </x:row>
    <x:row r="80">
      <x:c r="A80" s="18" t="str">
        <x:v>بقسماط / كعك مطحون</x:v>
      </x:c>
      <x:c r="B80" s="20" t="str">
        <x:v>Breadcrumbs</x:v>
      </x:c>
      <x:c r="C80" s="20" t="str">
        <x:v>ING-DRY-BREADCRUMB</x:v>
      </x:c>
      <x:c r="D80" s="18" t="str">
        <x:v>مكوّن</x:v>
      </x:c>
      <x:c r="E80" s="18" t="str">
        <x:v>كغ</x:v>
      </x:c>
      <x:c r="F80" s="22"/>
      <x:c r="G80" s="22"/>
      <x:c r="H80" s="22"/>
      <x:c r="I80" s="18"/>
      <x:c r="J80" s="18" t="str"/>
    </x:row>
    <x:row r="81">
      <x:c r="A81" s="18" t="str">
        <x:v>رز مصري</x:v>
      </x:c>
      <x:c r="B81" s="20" t="str">
        <x:v>Egyptian Rice</x:v>
      </x:c>
      <x:c r="C81" s="20" t="str">
        <x:v>ING-RICE-EGYPTIAN</x:v>
      </x:c>
      <x:c r="D81" s="18" t="str">
        <x:v>مكوّن</x:v>
      </x:c>
      <x:c r="E81" s="18" t="str">
        <x:v>كغ</x:v>
      </x:c>
      <x:c r="F81" s="22"/>
      <x:c r="G81" s="22"/>
      <x:c r="H81" s="22" t="n">
        <x:v>18000</x:v>
      </x:c>
      <x:c r="I81" s="18"/>
      <x:c r="J81" s="18" t="str">
        <x:v>مرجع سعر المشروع: 18,000 ل.س/كغ.</x:v>
      </x:c>
    </x:row>
    <x:row r="82">
      <x:c r="A82" s="18" t="str">
        <x:v>رز طويل الحبة</x:v>
      </x:c>
      <x:c r="B82" s="20" t="str">
        <x:v>Long Grain Rice</x:v>
      </x:c>
      <x:c r="C82" s="20" t="str">
        <x:v>ING-RICE-LONG</x:v>
      </x:c>
      <x:c r="D82" s="18" t="str">
        <x:v>مكوّن</x:v>
      </x:c>
      <x:c r="E82" s="18" t="str">
        <x:v>كغ</x:v>
      </x:c>
      <x:c r="F82" s="22"/>
      <x:c r="G82" s="22"/>
      <x:c r="H82" s="22" t="n">
        <x:v>23000</x:v>
      </x:c>
      <x:c r="I82" s="18"/>
      <x:c r="J82" s="18" t="str">
        <x:v>مرجع السعر: رز طويل سيدي هشام 23,000 ل.س/كغ.</x:v>
      </x:c>
    </x:row>
    <x:row r="83">
      <x:c r="A83" s="18" t="str">
        <x:v>رز بسمتي</x:v>
      </x:c>
      <x:c r="B83" s="20" t="str">
        <x:v>Basmati Rice</x:v>
      </x:c>
      <x:c r="C83" s="20" t="str">
        <x:v>ING-RICE-BASMATI</x:v>
      </x:c>
      <x:c r="D83" s="18" t="str">
        <x:v>مكوّن</x:v>
      </x:c>
      <x:c r="E83" s="18" t="str">
        <x:v>كغ</x:v>
      </x:c>
      <x:c r="F83" s="22"/>
      <x:c r="G83" s="22"/>
      <x:c r="H83" s="22"/>
      <x:c r="I83" s="18"/>
      <x:c r="J83" s="18" t="str"/>
    </x:row>
    <x:row r="84">
      <x:c r="A84" s="18" t="str">
        <x:v>برغل ناعم</x:v>
      </x:c>
      <x:c r="B84" s="20" t="str">
        <x:v>Fine Bulgur</x:v>
      </x:c>
      <x:c r="C84" s="20" t="str">
        <x:v>ING-GRAIN-BULGUR-FINE</x:v>
      </x:c>
      <x:c r="D84" s="18" t="str">
        <x:v>مكوّن</x:v>
      </x:c>
      <x:c r="E84" s="18" t="str">
        <x:v>كغ</x:v>
      </x:c>
      <x:c r="F84" s="22"/>
      <x:c r="G84" s="22"/>
      <x:c r="H84" s="22"/>
      <x:c r="I84" s="18"/>
      <x:c r="J84" s="18" t="str"/>
    </x:row>
    <x:row r="85">
      <x:c r="A85" s="18" t="str">
        <x:v>برغل خشن</x:v>
      </x:c>
      <x:c r="B85" s="20" t="str">
        <x:v>Coarse Bulgur</x:v>
      </x:c>
      <x:c r="C85" s="20" t="str">
        <x:v>ING-GRAIN-BULGUR-COARSE</x:v>
      </x:c>
      <x:c r="D85" s="18" t="str">
        <x:v>مكوّن</x:v>
      </x:c>
      <x:c r="E85" s="18" t="str">
        <x:v>كغ</x:v>
      </x:c>
      <x:c r="F85" s="22"/>
      <x:c r="G85" s="22"/>
      <x:c r="H85" s="22"/>
      <x:c r="I85" s="18"/>
      <x:c r="J85" s="18" t="str"/>
    </x:row>
    <x:row r="86">
      <x:c r="A86" s="18" t="str">
        <x:v>فريكة</x:v>
      </x:c>
      <x:c r="B86" s="20" t="str">
        <x:v>Freekeh</x:v>
      </x:c>
      <x:c r="C86" s="20" t="str">
        <x:v>ING-GRAIN-FREEKEH</x:v>
      </x:c>
      <x:c r="D86" s="18" t="str">
        <x:v>مكوّن</x:v>
      </x:c>
      <x:c r="E86" s="18" t="str">
        <x:v>كغ</x:v>
      </x:c>
      <x:c r="F86" s="22"/>
      <x:c r="G86" s="22"/>
      <x:c r="H86" s="22"/>
      <x:c r="I86" s="18"/>
      <x:c r="J86" s="18" t="str"/>
    </x:row>
    <x:row r="87">
      <x:c r="A87" s="18" t="str">
        <x:v>معكرونة</x:v>
      </x:c>
      <x:c r="B87" s="20" t="str">
        <x:v>Pasta</x:v>
      </x:c>
      <x:c r="C87" s="20" t="str">
        <x:v>ING-PASTA-REGULAR</x:v>
      </x:c>
      <x:c r="D87" s="18" t="str">
        <x:v>مكوّن</x:v>
      </x:c>
      <x:c r="E87" s="18" t="str">
        <x:v>كغ</x:v>
      </x:c>
      <x:c r="F87" s="22"/>
      <x:c r="G87" s="22"/>
      <x:c r="H87" s="22"/>
      <x:c r="I87" s="18"/>
      <x:c r="J87" s="18" t="str"/>
    </x:row>
    <x:row r="88">
      <x:c r="A88" s="18" t="str">
        <x:v>شرائح لازانيا</x:v>
      </x:c>
      <x:c r="B88" s="20" t="str">
        <x:v>Lasagna Sheets</x:v>
      </x:c>
      <x:c r="C88" s="20" t="str">
        <x:v>ING-PASTA-LASAGNA</x:v>
      </x:c>
      <x:c r="D88" s="18" t="str">
        <x:v>مكوّن</x:v>
      </x:c>
      <x:c r="E88" s="18" t="str">
        <x:v>كغ</x:v>
      </x:c>
      <x:c r="F88" s="22"/>
      <x:c r="G88" s="22"/>
      <x:c r="H88" s="22"/>
      <x:c r="I88" s="18"/>
      <x:c r="J88" s="18" t="str"/>
    </x:row>
    <x:row r="89">
      <x:c r="A89" s="18" t="str">
        <x:v>نودلز</x:v>
      </x:c>
      <x:c r="B89" s="20" t="str">
        <x:v>Noodles</x:v>
      </x:c>
      <x:c r="C89" s="20" t="str">
        <x:v>ING-PASTA-NOODLES</x:v>
      </x:c>
      <x:c r="D89" s="18" t="str">
        <x:v>مكوّن</x:v>
      </x:c>
      <x:c r="E89" s="18" t="str">
        <x:v>كغ</x:v>
      </x:c>
      <x:c r="F89" s="22"/>
      <x:c r="G89" s="22"/>
      <x:c r="H89" s="22"/>
      <x:c r="I89" s="18"/>
      <x:c r="J89" s="18" t="str"/>
    </x:row>
    <x:row r="90">
      <x:c r="A90" s="18" t="str">
        <x:v>نيوكي</x:v>
      </x:c>
      <x:c r="B90" s="20" t="str">
        <x:v>Gnocchi</x:v>
      </x:c>
      <x:c r="C90" s="20" t="str">
        <x:v>ING-PASTA-GNOCCHI</x:v>
      </x:c>
      <x:c r="D90" s="18" t="str">
        <x:v>مكوّن</x:v>
      </x:c>
      <x:c r="E90" s="18" t="str">
        <x:v>كغ</x:v>
      </x:c>
      <x:c r="F90" s="22"/>
      <x:c r="G90" s="22"/>
      <x:c r="H90" s="22"/>
      <x:c r="I90" s="18"/>
      <x:c r="J90" s="18" t="str"/>
    </x:row>
    <x:row r="91">
      <x:c r="A91" s="18" t="str">
        <x:v>مغربية</x:v>
      </x:c>
      <x:c r="B91" s="20" t="str">
        <x:v>Moghrabieh Pearls</x:v>
      </x:c>
      <x:c r="C91" s="20" t="str">
        <x:v>ING-GRAIN-MOGHRABIEH</x:v>
      </x:c>
      <x:c r="D91" s="18" t="str">
        <x:v>مكوّن</x:v>
      </x:c>
      <x:c r="E91" s="18" t="str">
        <x:v>كغ</x:v>
      </x:c>
      <x:c r="F91" s="22"/>
      <x:c r="G91" s="22"/>
      <x:c r="H91" s="22"/>
      <x:c r="I91" s="18"/>
      <x:c r="J91" s="18" t="str"/>
    </x:row>
    <x:row r="92">
      <x:c r="A92" s="18" t="str">
        <x:v>حمص حب</x:v>
      </x:c>
      <x:c r="B92" s="20" t="str">
        <x:v>Chickpeas</x:v>
      </x:c>
      <x:c r="C92" s="20" t="str">
        <x:v>ING-LEGUME-CHICKPEA</x:v>
      </x:c>
      <x:c r="D92" s="18" t="str">
        <x:v>مكوّن</x:v>
      </x:c>
      <x:c r="E92" s="18" t="str">
        <x:v>كغ</x:v>
      </x:c>
      <x:c r="F92" s="22"/>
      <x:c r="G92" s="22"/>
      <x:c r="H92" s="22"/>
      <x:c r="I92" s="18"/>
      <x:c r="J92" s="18" t="str"/>
    </x:row>
    <x:row r="93">
      <x:c r="A93" s="18" t="str">
        <x:v>حمص معلب</x:v>
      </x:c>
      <x:c r="B93" s="20" t="str">
        <x:v>Canned Chickpeas</x:v>
      </x:c>
      <x:c r="C93" s="20" t="str">
        <x:v>ING-CAN-CHICKPEA</x:v>
      </x:c>
      <x:c r="D93" s="18" t="str">
        <x:v>مكوّن</x:v>
      </x:c>
      <x:c r="E93" s="18" t="str">
        <x:v>عبوة</x:v>
      </x:c>
      <x:c r="F93" s="22"/>
      <x:c r="G93" s="22"/>
      <x:c r="H93" s="22"/>
      <x:c r="I93" s="18"/>
      <x:c r="J93" s="18" t="str"/>
    </x:row>
    <x:row r="94">
      <x:c r="A94" s="18" t="str">
        <x:v>عدس أحمر</x:v>
      </x:c>
      <x:c r="B94" s="20" t="str">
        <x:v>Red Lentils</x:v>
      </x:c>
      <x:c r="C94" s="20" t="str">
        <x:v>ING-LEGUME-LENTIL-RED</x:v>
      </x:c>
      <x:c r="D94" s="18" t="str">
        <x:v>مكوّن</x:v>
      </x:c>
      <x:c r="E94" s="18" t="str">
        <x:v>كغ</x:v>
      </x:c>
      <x:c r="F94" s="22"/>
      <x:c r="G94" s="22"/>
      <x:c r="H94" s="22"/>
      <x:c r="I94" s="18"/>
      <x:c r="J94" s="18" t="str"/>
    </x:row>
    <x:row r="95">
      <x:c r="A95" s="18" t="str">
        <x:v>عدس بني</x:v>
      </x:c>
      <x:c r="B95" s="20" t="str">
        <x:v>Brown Lentils</x:v>
      </x:c>
      <x:c r="C95" s="20" t="str">
        <x:v>ING-LEGUME-LENTIL-BROWN</x:v>
      </x:c>
      <x:c r="D95" s="18" t="str">
        <x:v>مكوّن</x:v>
      </x:c>
      <x:c r="E95" s="18" t="str">
        <x:v>كغ</x:v>
      </x:c>
      <x:c r="F95" s="22"/>
      <x:c r="G95" s="22"/>
      <x:c r="H95" s="22"/>
      <x:c r="I95" s="18"/>
      <x:c r="J95" s="18" t="str"/>
    </x:row>
    <x:row r="96">
      <x:c r="A96" s="18" t="str">
        <x:v>فاصوليا بيضاء</x:v>
      </x:c>
      <x:c r="B96" s="20" t="str">
        <x:v>White Beans</x:v>
      </x:c>
      <x:c r="C96" s="20" t="str">
        <x:v>ING-LEGUME-WHITEBEAN</x:v>
      </x:c>
      <x:c r="D96" s="18" t="str">
        <x:v>مكوّن</x:v>
      </x:c>
      <x:c r="E96" s="18" t="str">
        <x:v>كغ</x:v>
      </x:c>
      <x:c r="F96" s="22"/>
      <x:c r="G96" s="22"/>
      <x:c r="H96" s="22"/>
      <x:c r="I96" s="18"/>
      <x:c r="J96" s="18" t="str"/>
    </x:row>
    <x:row r="97">
      <x:c r="A97" s="18" t="str">
        <x:v>فاصوليا حمراء</x:v>
      </x:c>
      <x:c r="B97" s="20" t="str">
        <x:v>Kidney Beans</x:v>
      </x:c>
      <x:c r="C97" s="20" t="str">
        <x:v>ING-LEGUME-KIDNEYBEAN</x:v>
      </x:c>
      <x:c r="D97" s="18" t="str">
        <x:v>مكوّن</x:v>
      </x:c>
      <x:c r="E97" s="18" t="str">
        <x:v>كغ</x:v>
      </x:c>
      <x:c r="F97" s="22"/>
      <x:c r="G97" s="22"/>
      <x:c r="H97" s="22"/>
      <x:c r="I97" s="18"/>
      <x:c r="J97" s="18" t="str"/>
    </x:row>
    <x:row r="98">
      <x:c r="A98" s="18" t="str">
        <x:v>ذرة فشار</x:v>
      </x:c>
      <x:c r="B98" s="20" t="str">
        <x:v>Popcorn Kernels</x:v>
      </x:c>
      <x:c r="C98" s="20" t="str">
        <x:v>ING-DRY-POPCORN</x:v>
      </x:c>
      <x:c r="D98" s="18" t="str">
        <x:v>مكوّن</x:v>
      </x:c>
      <x:c r="E98" s="18" t="str">
        <x:v>كغ</x:v>
      </x:c>
      <x:c r="F98" s="22"/>
      <x:c r="G98" s="22"/>
      <x:c r="H98" s="22"/>
      <x:c r="I98" s="18"/>
      <x:c r="J98" s="18" t="str"/>
    </x:row>
    <x:row r="99">
      <x:c r="A99" s="18" t="str">
        <x:v>خبز سمون</x:v>
      </x:c>
      <x:c r="B99" s="20" t="str">
        <x:v>Samoon Bread</x:v>
      </x:c>
      <x:c r="C99" s="20" t="str">
        <x:v>ING-BREAD-SAMOON</x:v>
      </x:c>
      <x:c r="D99" s="18" t="str">
        <x:v>مكوّن</x:v>
      </x:c>
      <x:c r="E99" s="18" t="str">
        <x:v>قطعة</x:v>
      </x:c>
      <x:c r="F99" s="22"/>
      <x:c r="G99" s="22"/>
      <x:c r="H99" s="22"/>
      <x:c r="I99" s="18"/>
      <x:c r="J99" s="18" t="str">
        <x:v>خيار خبز أساسي للسندويشات.</x:v>
      </x:c>
    </x:row>
    <x:row r="100">
      <x:c r="A100" s="18" t="str">
        <x:v>خبز باغيت</x:v>
      </x:c>
      <x:c r="B100" s="20" t="str">
        <x:v>Baguette</x:v>
      </x:c>
      <x:c r="C100" s="20" t="str">
        <x:v>ING-BREAD-BAGUETTE</x:v>
      </x:c>
      <x:c r="D100" s="18" t="str">
        <x:v>مكوّن</x:v>
      </x:c>
      <x:c r="E100" s="18" t="str">
        <x:v>قطعة</x:v>
      </x:c>
      <x:c r="F100" s="22"/>
      <x:c r="G100" s="22"/>
      <x:c r="H100" s="22"/>
      <x:c r="I100" s="18"/>
      <x:c r="J100" s="18" t="str">
        <x:v>خيار خبز أساسي للسندويشات.</x:v>
      </x:c>
    </x:row>
    <x:row r="101">
      <x:c r="A101" s="18" t="str">
        <x:v>خبز عربي</x:v>
      </x:c>
      <x:c r="B101" s="20" t="str">
        <x:v>Arabic Flatbread</x:v>
      </x:c>
      <x:c r="C101" s="20" t="str">
        <x:v>ING-BREAD-PITA</x:v>
      </x:c>
      <x:c r="D101" s="18" t="str">
        <x:v>مكوّن</x:v>
      </x:c>
      <x:c r="E101" s="18" t="str">
        <x:v>قطعة</x:v>
      </x:c>
      <x:c r="F101" s="22"/>
      <x:c r="G101" s="22"/>
      <x:c r="H101" s="22"/>
      <x:c r="I101" s="18"/>
      <x:c r="J101" s="18" t="str">
        <x:v>خيار الخبز العادي.</x:v>
      </x:c>
    </x:row>
    <x:row r="102">
      <x:c r="A102" s="18" t="str">
        <x:v>خبز هوت دوغ</x:v>
      </x:c>
      <x:c r="B102" s="20" t="str">
        <x:v>Hot Dog Bun</x:v>
      </x:c>
      <x:c r="C102" s="20" t="str">
        <x:v>ING-BREAD-HOTDOG</x:v>
      </x:c>
      <x:c r="D102" s="18" t="str">
        <x:v>مكوّن</x:v>
      </x:c>
      <x:c r="E102" s="18" t="str">
        <x:v>قطعة</x:v>
      </x:c>
      <x:c r="F102" s="22"/>
      <x:c r="G102" s="22"/>
      <x:c r="H102" s="22" t="n">
        <x:v>1000</x:v>
      </x:c>
      <x:c r="I102" s="18"/>
      <x:c r="J102" s="18" t="str">
        <x:v>الكلفة التقريبية التي ناقشناها: 1,000 ل.س للحبة.</x:v>
      </x:c>
    </x:row>
    <x:row r="103">
      <x:c r="A103" s="18" t="str">
        <x:v>خبز برغر</x:v>
      </x:c>
      <x:c r="B103" s="20" t="str">
        <x:v>Burger Bun</x:v>
      </x:c>
      <x:c r="C103" s="20" t="str">
        <x:v>ING-BREAD-BURGER</x:v>
      </x:c>
      <x:c r="D103" s="18" t="str">
        <x:v>مكوّن</x:v>
      </x:c>
      <x:c r="E103" s="18" t="str">
        <x:v>قطعة</x:v>
      </x:c>
      <x:c r="F103" s="22"/>
      <x:c r="G103" s="22"/>
      <x:c r="H103" s="22"/>
      <x:c r="I103" s="18"/>
      <x:c r="J103" s="18" t="str"/>
    </x:row>
    <x:row r="104">
      <x:c r="A104" s="18" t="str">
        <x:v>عجينة بف باستري</x:v>
      </x:c>
      <x:c r="B104" s="20" t="str">
        <x:v>Puff Pastry</x:v>
      </x:c>
      <x:c r="C104" s="20" t="str">
        <x:v>ING-DOUGH-PUFF</x:v>
      </x:c>
      <x:c r="D104" s="18" t="str">
        <x:v>مكوّن</x:v>
      </x:c>
      <x:c r="E104" s="18" t="str">
        <x:v>كغ</x:v>
      </x:c>
      <x:c r="F104" s="22"/>
      <x:c r="G104" s="22"/>
      <x:c r="H104" s="22"/>
      <x:c r="I104" s="18"/>
      <x:c r="J104" s="18" t="str">
        <x:v>للكيش والبوريك وبعض المعجنات.</x:v>
      </x:c>
    </x:row>
    <x:row r="105">
      <x:c r="A105" s="18" t="str">
        <x:v>رقائق فيلو</x:v>
      </x:c>
      <x:c r="B105" s="20" t="str">
        <x:v>Phyllo Pastry</x:v>
      </x:c>
      <x:c r="C105" s="20" t="str">
        <x:v>ING-DOUGH-PHYLLO</x:v>
      </x:c>
      <x:c r="D105" s="18" t="str">
        <x:v>مكوّن</x:v>
      </x:c>
      <x:c r="E105" s="18" t="str">
        <x:v>عبوة</x:v>
      </x:c>
      <x:c r="F105" s="22"/>
      <x:c r="G105" s="22"/>
      <x:c r="H105" s="22"/>
      <x:c r="I105" s="18"/>
      <x:c r="J105" s="18" t="str"/>
    </x:row>
    <x:row r="106">
      <x:c r="A106" s="18" t="str">
        <x:v>خميرة خبز جافة</x:v>
      </x:c>
      <x:c r="B106" s="20" t="str">
        <x:v>Dry Baker's Yeast</x:v>
      </x:c>
      <x:c r="C106" s="20" t="str">
        <x:v>ING-BAKE-YEAST</x:v>
      </x:c>
      <x:c r="D106" s="18" t="str">
        <x:v>مكوّن</x:v>
      </x:c>
      <x:c r="E106" s="18" t="str">
        <x:v>غ</x:v>
      </x:c>
      <x:c r="F106" s="22"/>
      <x:c r="G106" s="22"/>
      <x:c r="H106" s="22"/>
      <x:c r="I106" s="18"/>
      <x:c r="J106" s="18" t="str"/>
    </x:row>
    <x:row r="107">
      <x:c r="A107" s="18" t="str">
        <x:v>بيكنغ باودر</x:v>
      </x:c>
      <x:c r="B107" s="20" t="str">
        <x:v>Baking Powder</x:v>
      </x:c>
      <x:c r="C107" s="20" t="str">
        <x:v>ING-BAKE-POWDER</x:v>
      </x:c>
      <x:c r="D107" s="18" t="str">
        <x:v>مكوّن</x:v>
      </x:c>
      <x:c r="E107" s="18" t="str">
        <x:v>غ</x:v>
      </x:c>
      <x:c r="F107" s="22"/>
      <x:c r="G107" s="22"/>
      <x:c r="H107" s="22"/>
      <x:c r="I107" s="18"/>
      <x:c r="J107" s="18" t="str"/>
    </x:row>
    <x:row r="108">
      <x:c r="A108" s="18" t="str">
        <x:v>نشا ذرة</x:v>
      </x:c>
      <x:c r="B108" s="20" t="str">
        <x:v>Corn Starch</x:v>
      </x:c>
      <x:c r="C108" s="20" t="str">
        <x:v>ING-BAKE-CORNSTARCH</x:v>
      </x:c>
      <x:c r="D108" s="18" t="str">
        <x:v>مكوّن</x:v>
      </x:c>
      <x:c r="E108" s="18" t="str">
        <x:v>كغ</x:v>
      </x:c>
      <x:c r="F108" s="22"/>
      <x:c r="G108" s="22"/>
      <x:c r="H108" s="22"/>
      <x:c r="I108" s="18"/>
      <x:c r="J108" s="18" t="str"/>
    </x:row>
    <x:row r="109">
      <x:c r="A109" s="18" t="str">
        <x:v>طحينية</x:v>
      </x:c>
      <x:c r="B109" s="20" t="str">
        <x:v>Tahini</x:v>
      </x:c>
      <x:c r="C109" s="20" t="str">
        <x:v>ING-SAUCE-TAHINI</x:v>
      </x:c>
      <x:c r="D109" s="18" t="str">
        <x:v>مكوّن</x:v>
      </x:c>
      <x:c r="E109" s="18" t="str">
        <x:v>كغ</x:v>
      </x:c>
      <x:c r="F109" s="22"/>
      <x:c r="G109" s="22"/>
      <x:c r="H109" s="22" t="n">
        <x:v>70000</x:v>
      </x:c>
      <x:c r="I109" s="18"/>
      <x:c r="J109" s="18" t="str">
        <x:v>عبوة 400 غ = 28,000 ل.س؛ الكلفة المحسوبة 70,000 ل.س/كغ.</x:v>
      </x:c>
    </x:row>
    <x:row r="110">
      <x:c r="A110" s="18" t="str">
        <x:v>مايونيز</x:v>
      </x:c>
      <x:c r="B110" s="20" t="str">
        <x:v>Mayonnaise</x:v>
      </x:c>
      <x:c r="C110" s="20" t="str">
        <x:v>ING-SAUCE-MAYO</x:v>
      </x:c>
      <x:c r="D110" s="18" t="str">
        <x:v>مكوّن</x:v>
      </x:c>
      <x:c r="E110" s="18" t="str">
        <x:v>عبوة</x:v>
      </x:c>
      <x:c r="F110" s="22"/>
      <x:c r="G110" s="22"/>
      <x:c r="H110" s="22" t="n">
        <x:v>23000</x:v>
      </x:c>
      <x:c r="I110" s="18"/>
      <x:c r="J110" s="18" t="str">
        <x:v>ورد وزن 280–400 غ في مراجع مختلفة؛ تحقق من الوزن قبل تحويل الكلفة إلى كغ.</x:v>
      </x:c>
    </x:row>
    <x:row r="111">
      <x:c r="A111" s="18" t="str">
        <x:v>كاتشب</x:v>
      </x:c>
      <x:c r="B111" s="20" t="str">
        <x:v>Ketchup</x:v>
      </x:c>
      <x:c r="C111" s="20" t="str">
        <x:v>ING-SAUCE-KETCHUP</x:v>
      </x:c>
      <x:c r="D111" s="18" t="str">
        <x:v>مكوّن</x:v>
      </x:c>
      <x:c r="E111" s="18" t="str">
        <x:v>كغ</x:v>
      </x:c>
      <x:c r="F111" s="22"/>
      <x:c r="G111" s="22"/>
      <x:c r="H111" s="22" t="n">
        <x:v>33333.33</x:v>
      </x:c>
      <x:c r="I111" s="18"/>
      <x:c r="J111" s="18" t="str">
        <x:v>عبوة 600 غ ≈ 20,000 ل.س؛ الكلفة المحسوبة 33,333.33 ل.س/كغ.</x:v>
      </x:c>
    </x:row>
    <x:row r="112">
      <x:c r="A112" s="18" t="str">
        <x:v>دبس رمان</x:v>
      </x:c>
      <x:c r="B112" s="20" t="str">
        <x:v>Pomegranate Molasses</x:v>
      </x:c>
      <x:c r="C112" s="20" t="str">
        <x:v>ING-SAUCE-POMMOLASSES</x:v>
      </x:c>
      <x:c r="D112" s="18" t="str">
        <x:v>مكوّن</x:v>
      </x:c>
      <x:c r="E112" s="18" t="str">
        <x:v>كغ</x:v>
      </x:c>
      <x:c r="F112" s="22"/>
      <x:c r="G112" s="22"/>
      <x:c r="H112" s="22" t="n">
        <x:v>40000</x:v>
      </x:c>
      <x:c r="I112" s="18"/>
      <x:c r="J112" s="18" t="str">
        <x:v>عبوة 250 غ = 10,000 ل.س؛ الكلفة المحسوبة 40,000 ل.س/كغ.</x:v>
      </x:c>
    </x:row>
    <x:row r="113">
      <x:c r="A113" s="18" t="str">
        <x:v>خل أبيض</x:v>
      </x:c>
      <x:c r="B113" s="20" t="str">
        <x:v>White Vinegar</x:v>
      </x:c>
      <x:c r="C113" s="20" t="str">
        <x:v>ING-SAUCE-WHITEVINEGAR</x:v>
      </x:c>
      <x:c r="D113" s="18" t="str">
        <x:v>مكوّن</x:v>
      </x:c>
      <x:c r="E113" s="18" t="str">
        <x:v>لتر</x:v>
      </x:c>
      <x:c r="F113" s="22"/>
      <x:c r="G113" s="22"/>
      <x:c r="H113" s="22" t="n">
        <x:v>16000</x:v>
      </x:c>
      <x:c r="I113" s="18"/>
      <x:c r="J113" s="18" t="str">
        <x:v>عبوة 500 مل = 8,000 ل.س؛ الكلفة المحسوبة 16,000 ل.س/لتر.</x:v>
      </x:c>
    </x:row>
    <x:row r="114">
      <x:c r="A114" s="18" t="str">
        <x:v>خل تفاح</x:v>
      </x:c>
      <x:c r="B114" s="20" t="str">
        <x:v>Apple Cider Vinegar</x:v>
      </x:c>
      <x:c r="C114" s="20" t="str">
        <x:v>ING-SAUCE-APPLEVINEGAR</x:v>
      </x:c>
      <x:c r="D114" s="18" t="str">
        <x:v>مكوّن</x:v>
      </x:c>
      <x:c r="E114" s="18" t="str">
        <x:v>لتر</x:v>
      </x:c>
      <x:c r="F114" s="22"/>
      <x:c r="G114" s="22"/>
      <x:c r="H114" s="22"/>
      <x:c r="I114" s="18"/>
      <x:c r="J114" s="18" t="str"/>
    </x:row>
    <x:row r="115">
      <x:c r="A115" s="18" t="str">
        <x:v>خردل</x:v>
      </x:c>
      <x:c r="B115" s="20" t="str">
        <x:v>Mustard</x:v>
      </x:c>
      <x:c r="C115" s="20" t="str">
        <x:v>ING-SAUCE-MUSTARD</x:v>
      </x:c>
      <x:c r="D115" s="18" t="str">
        <x:v>مكوّن</x:v>
      </x:c>
      <x:c r="E115" s="18" t="str">
        <x:v>كغ</x:v>
      </x:c>
      <x:c r="F115" s="22"/>
      <x:c r="G115" s="22"/>
      <x:c r="H115" s="22" t="n">
        <x:v>66666.67</x:v>
      </x:c>
      <x:c r="I115" s="18"/>
      <x:c r="J115" s="18" t="str">
        <x:v>عبوة 300 غ = 20,000 ل.س؛ الكلفة المحسوبة 66,666.67 ل.س/كغ.</x:v>
      </x:c>
    </x:row>
    <x:row r="116">
      <x:c r="A116" s="18" t="str">
        <x:v>مخلل مشكل</x:v>
      </x:c>
      <x:c r="B116" s="20" t="str">
        <x:v>Mixed Pickles</x:v>
      </x:c>
      <x:c r="C116" s="20" t="str">
        <x:v>ING-PICKLE-MIXED</x:v>
      </x:c>
      <x:c r="D116" s="18" t="str">
        <x:v>مكوّن</x:v>
      </x:c>
      <x:c r="E116" s="18" t="str">
        <x:v>عبوة</x:v>
      </x:c>
      <x:c r="F116" s="22"/>
      <x:c r="G116" s="22"/>
      <x:c r="H116" s="22" t="n">
        <x:v>7000</x:v>
      </x:c>
      <x:c r="I116" s="18"/>
      <x:c r="J116" s="18" t="str">
        <x:v>كيس صغير.</x:v>
      </x:c>
    </x:row>
    <x:row r="117">
      <x:c r="A117" s="18" t="str">
        <x:v>فطر معلب</x:v>
      </x:c>
      <x:c r="B117" s="20" t="str">
        <x:v>Canned Mushrooms</x:v>
      </x:c>
      <x:c r="C117" s="20" t="str">
        <x:v>ING-CAN-MUSHROOM</x:v>
      </x:c>
      <x:c r="D117" s="18" t="str">
        <x:v>مكوّن</x:v>
      </x:c>
      <x:c r="E117" s="18" t="str">
        <x:v>كغ</x:v>
      </x:c>
      <x:c r="F117" s="22"/>
      <x:c r="G117" s="22"/>
      <x:c r="H117" s="22" t="n">
        <x:v>30000</x:v>
      </x:c>
      <x:c r="I117" s="18"/>
      <x:c r="J117" s="18" t="str">
        <x:v>عبوة 400 غ = 12,000 ل.س؛ الكلفة المحسوبة 30,000 ل.س/كغ.</x:v>
      </x:c>
    </x:row>
    <x:row r="118">
      <x:c r="A118" s="18" t="str">
        <x:v>شطة / معجون فلفل حار</x:v>
      </x:c>
      <x:c r="B118" s="20" t="str">
        <x:v>Chili Paste</x:v>
      </x:c>
      <x:c r="C118" s="20" t="str">
        <x:v>ING-SAUCE-CHILIPASTE</x:v>
      </x:c>
      <x:c r="D118" s="18" t="str">
        <x:v>مكوّن</x:v>
      </x:c>
      <x:c r="E118" s="18" t="str">
        <x:v>كغ</x:v>
      </x:c>
      <x:c r="F118" s="22"/>
      <x:c r="G118" s="22"/>
      <x:c r="H118" s="22" t="n">
        <x:v>32000</x:v>
      </x:c>
      <x:c r="I118" s="18"/>
      <x:c r="J118" s="18" t="str">
        <x:v>عبوة 250 غ = 8,000 ل.س؛ الكلفة المحسوبة 32,000 ل.س/كغ.</x:v>
      </x:c>
    </x:row>
    <x:row r="119">
      <x:c r="A119" s="18" t="str">
        <x:v>رب بندورة</x:v>
      </x:c>
      <x:c r="B119" s="20" t="str">
        <x:v>Tomato Paste</x:v>
      </x:c>
      <x:c r="C119" s="20" t="str">
        <x:v>ING-CAN-TOMATOPASTE</x:v>
      </x:c>
      <x:c r="D119" s="18" t="str">
        <x:v>مكوّن</x:v>
      </x:c>
      <x:c r="E119" s="18" t="str">
        <x:v>كغ</x:v>
      </x:c>
      <x:c r="F119" s="22"/>
      <x:c r="G119" s="22"/>
      <x:c r="H119" s="22"/>
      <x:c r="I119" s="18"/>
      <x:c r="J119" s="18" t="str"/>
    </x:row>
    <x:row r="120">
      <x:c r="A120" s="18" t="str">
        <x:v>زيت زيتون</x:v>
      </x:c>
      <x:c r="B120" s="20" t="str">
        <x:v>Olive Oil</x:v>
      </x:c>
      <x:c r="C120" s="20" t="str">
        <x:v>ING-OIL-OLIVE</x:v>
      </x:c>
      <x:c r="D120" s="18" t="str">
        <x:v>مكوّن</x:v>
      </x:c>
      <x:c r="E120" s="18" t="str">
        <x:v>لتر</x:v>
      </x:c>
      <x:c r="F120" s="22"/>
      <x:c r="G120" s="22"/>
      <x:c r="H120" s="22"/>
      <x:c r="I120" s="18"/>
      <x:c r="J120" s="18" t="str">
        <x:v>للسندويشات، المازة والأطباق اليومية.</x:v>
      </x:c>
    </x:row>
    <x:row r="121">
      <x:c r="A121" s="18" t="str">
        <x:v>زيت نباتي</x:v>
      </x:c>
      <x:c r="B121" s="20" t="str">
        <x:v>Vegetable Oil</x:v>
      </x:c>
      <x:c r="C121" s="20" t="str">
        <x:v>ING-OIL-VEGETABLE</x:v>
      </x:c>
      <x:c r="D121" s="18" t="str">
        <x:v>مكوّن</x:v>
      </x:c>
      <x:c r="E121" s="18" t="str">
        <x:v>لتر</x:v>
      </x:c>
      <x:c r="F121" s="22"/>
      <x:c r="G121" s="22"/>
      <x:c r="H121" s="22"/>
      <x:c r="I121" s="18"/>
      <x:c r="J121" s="18" t="str"/>
    </x:row>
    <x:row r="122">
      <x:c r="A122" s="18" t="str">
        <x:v>صلصة صويا</x:v>
      </x:c>
      <x:c r="B122" s="20" t="str">
        <x:v>Soy Sauce</x:v>
      </x:c>
      <x:c r="C122" s="20" t="str">
        <x:v>ING-SAUCE-SOY</x:v>
      </x:c>
      <x:c r="D122" s="18" t="str">
        <x:v>مكوّن</x:v>
      </x:c>
      <x:c r="E122" s="18" t="str">
        <x:v>لتر</x:v>
      </x:c>
      <x:c r="F122" s="22"/>
      <x:c r="G122" s="22"/>
      <x:c r="H122" s="22"/>
      <x:c r="I122" s="18"/>
      <x:c r="J122" s="18" t="str">
        <x:v>للنودلز والرز المقلي.</x:v>
      </x:c>
    </x:row>
    <x:row r="123">
      <x:c r="A123" s="18" t="str">
        <x:v>صلصة ورشستر</x:v>
      </x:c>
      <x:c r="B123" s="20" t="str">
        <x:v>Worcestershire Sauce</x:v>
      </x:c>
      <x:c r="C123" s="20" t="str">
        <x:v>ING-SAUCE-WORCESTER</x:v>
      </x:c>
      <x:c r="D123" s="18" t="str">
        <x:v>مكوّن</x:v>
      </x:c>
      <x:c r="E123" s="18" t="str">
        <x:v>لتر</x:v>
      </x:c>
      <x:c r="F123" s="22"/>
      <x:c r="G123" s="22"/>
      <x:c r="H123" s="22"/>
      <x:c r="I123" s="18"/>
      <x:c r="J123" s="18" t="str"/>
    </x:row>
    <x:row r="124">
      <x:c r="A124" s="18" t="str">
        <x:v>صوص مدخن</x:v>
      </x:c>
      <x:c r="B124" s="20" t="str">
        <x:v>Smoky Sauce</x:v>
      </x:c>
      <x:c r="C124" s="20" t="str">
        <x:v>ING-SAUCE-SMOKY</x:v>
      </x:c>
      <x:c r="D124" s="18" t="str">
        <x:v>مكوّن</x:v>
      </x:c>
      <x:c r="E124" s="18" t="str">
        <x:v>لتر</x:v>
      </x:c>
      <x:c r="F124" s="22"/>
      <x:c r="G124" s="22"/>
      <x:c r="H124" s="22"/>
      <x:c r="I124" s="18"/>
      <x:c r="J124" s="18" t="str">
        <x:v>لبرميل حبق والهوت دوغ.</x:v>
      </x:c>
    </x:row>
    <x:row r="125">
      <x:c r="A125" s="18" t="str">
        <x:v>تاباسكو</x:v>
      </x:c>
      <x:c r="B125" s="20" t="str">
        <x:v>Tabasco Sauce</x:v>
      </x:c>
      <x:c r="C125" s="20" t="str">
        <x:v>ING-SAUCE-TABASCO</x:v>
      </x:c>
      <x:c r="D125" s="18" t="str">
        <x:v>مكوّن</x:v>
      </x:c>
      <x:c r="E125" s="18" t="str">
        <x:v>مل</x:v>
      </x:c>
      <x:c r="F125" s="22"/>
      <x:c r="G125" s="22"/>
      <x:c r="H125" s="22"/>
      <x:c r="I125" s="18"/>
      <x:c r="J125" s="18" t="str">
        <x:v>للشوت مع الزيتونة وبعض الكوكتيلات.</x:v>
      </x:c>
    </x:row>
    <x:row r="126">
      <x:c r="A126" s="18" t="str">
        <x:v>عسل</x:v>
      </x:c>
      <x:c r="B126" s="20" t="str">
        <x:v>Honey</x:v>
      </x:c>
      <x:c r="C126" s="20" t="str">
        <x:v>ING-SWEET-HONEY</x:v>
      </x:c>
      <x:c r="D126" s="18" t="str">
        <x:v>مكوّن</x:v>
      </x:c>
      <x:c r="E126" s="18" t="str">
        <x:v>كغ</x:v>
      </x:c>
      <x:c r="F126" s="22"/>
      <x:c r="G126" s="22"/>
      <x:c r="H126" s="22"/>
      <x:c r="I126" s="18"/>
      <x:c r="J126" s="18" t="str"/>
    </x:row>
    <x:row r="127">
      <x:c r="A127" s="18" t="str">
        <x:v>مربى</x:v>
      </x:c>
      <x:c r="B127" s="20" t="str">
        <x:v>Jam</x:v>
      </x:c>
      <x:c r="C127" s="20" t="str">
        <x:v>ING-SWEET-JAM</x:v>
      </x:c>
      <x:c r="D127" s="18" t="str">
        <x:v>مكوّن</x:v>
      </x:c>
      <x:c r="E127" s="18" t="str">
        <x:v>كغ</x:v>
      </x:c>
      <x:c r="F127" s="22"/>
      <x:c r="G127" s="22"/>
      <x:c r="H127" s="22"/>
      <x:c r="I127" s="18"/>
      <x:c r="J127" s="18" t="str"/>
    </x:row>
    <x:row r="128">
      <x:c r="A128" s="18" t="str">
        <x:v>دبس عنب</x:v>
      </x:c>
      <x:c r="B128" s="20" t="str">
        <x:v>Grape Molasses</x:v>
      </x:c>
      <x:c r="C128" s="20" t="str">
        <x:v>ING-SWEET-GRAPEMOLASSES</x:v>
      </x:c>
      <x:c r="D128" s="18" t="str">
        <x:v>مكوّن</x:v>
      </x:c>
      <x:c r="E128" s="18" t="str">
        <x:v>كغ</x:v>
      </x:c>
      <x:c r="F128" s="22"/>
      <x:c r="G128" s="22"/>
      <x:c r="H128" s="22"/>
      <x:c r="I128" s="18"/>
      <x:c r="J128" s="18" t="str">
        <x:v>للجلاب، دبس وليمون والمشروبات المحلية.</x:v>
      </x:c>
    </x:row>
    <x:row r="129">
      <x:c r="A129" s="18" t="str">
        <x:v>دبس تمر</x:v>
      </x:c>
      <x:c r="B129" s="20" t="str">
        <x:v>Date Molasses</x:v>
      </x:c>
      <x:c r="C129" s="20" t="str">
        <x:v>ING-SWEET-DATEMOLASSES</x:v>
      </x:c>
      <x:c r="D129" s="18" t="str">
        <x:v>مكوّن</x:v>
      </x:c>
      <x:c r="E129" s="18" t="str">
        <x:v>كغ</x:v>
      </x:c>
      <x:c r="F129" s="22"/>
      <x:c r="G129" s="22"/>
      <x:c r="H129" s="22"/>
      <x:c r="I129" s="18"/>
      <x:c r="J129" s="18" t="str"/>
    </x:row>
    <x:row r="130">
      <x:c r="A130" s="18" t="str">
        <x:v>ماء ورد</x:v>
      </x:c>
      <x:c r="B130" s="20" t="str">
        <x:v>Rose Water</x:v>
      </x:c>
      <x:c r="C130" s="20" t="str">
        <x:v>ING-FLAVOR-ROSEWATER</x:v>
      </x:c>
      <x:c r="D130" s="18" t="str">
        <x:v>مكوّن</x:v>
      </x:c>
      <x:c r="E130" s="18" t="str">
        <x:v>لتر</x:v>
      </x:c>
      <x:c r="F130" s="22"/>
      <x:c r="G130" s="22"/>
      <x:c r="H130" s="22"/>
      <x:c r="I130" s="18"/>
      <x:c r="J130" s="18" t="str"/>
    </x:row>
    <x:row r="131">
      <x:c r="A131" s="18" t="str">
        <x:v>ماء زهر</x:v>
      </x:c>
      <x:c r="B131" s="20" t="str">
        <x:v>Orange Blossom Water</x:v>
      </x:c>
      <x:c r="C131" s="20" t="str">
        <x:v>ING-FLAVOR-ORANGEBLOSSOM</x:v>
      </x:c>
      <x:c r="D131" s="18" t="str">
        <x:v>مكوّن</x:v>
      </x:c>
      <x:c r="E131" s="18" t="str">
        <x:v>لتر</x:v>
      </x:c>
      <x:c r="F131" s="22"/>
      <x:c r="G131" s="22"/>
      <x:c r="H131" s="22"/>
      <x:c r="I131" s="18"/>
      <x:c r="J131" s="18" t="str"/>
    </x:row>
    <x:row r="132">
      <x:c r="A132" s="18" t="str">
        <x:v>صوص شوكولا</x:v>
      </x:c>
      <x:c r="B132" s="20" t="str">
        <x:v>Chocolate Sauce</x:v>
      </x:c>
      <x:c r="C132" s="20" t="str">
        <x:v>ING-SYRUP-CHOCOLATE</x:v>
      </x:c>
      <x:c r="D132" s="18" t="str">
        <x:v>مكوّن</x:v>
      </x:c>
      <x:c r="E132" s="18" t="str">
        <x:v>لتر</x:v>
      </x:c>
      <x:c r="F132" s="22"/>
      <x:c r="G132" s="22"/>
      <x:c r="H132" s="22"/>
      <x:c r="I132" s="18"/>
      <x:c r="J132" s="18" t="str"/>
    </x:row>
    <x:row r="133">
      <x:c r="A133" s="18" t="str">
        <x:v>سيروب فانيلا</x:v>
      </x:c>
      <x:c r="B133" s="20" t="str">
        <x:v>Vanilla Syrup</x:v>
      </x:c>
      <x:c r="C133" s="20" t="str">
        <x:v>ING-SYRUP-VANILLA</x:v>
      </x:c>
      <x:c r="D133" s="18" t="str">
        <x:v>مكوّن</x:v>
      </x:c>
      <x:c r="E133" s="18" t="str">
        <x:v>لتر</x:v>
      </x:c>
      <x:c r="F133" s="22"/>
      <x:c r="G133" s="22"/>
      <x:c r="H133" s="22"/>
      <x:c r="I133" s="18"/>
      <x:c r="J133" s="18" t="str"/>
    </x:row>
    <x:row r="134">
      <x:c r="A134" s="18" t="str">
        <x:v>سيروب كراميل</x:v>
      </x:c>
      <x:c r="B134" s="20" t="str">
        <x:v>Caramel Syrup</x:v>
      </x:c>
      <x:c r="C134" s="20" t="str">
        <x:v>ING-SYRUP-CARAMEL</x:v>
      </x:c>
      <x:c r="D134" s="18" t="str">
        <x:v>مكوّن</x:v>
      </x:c>
      <x:c r="E134" s="18" t="str">
        <x:v>لتر</x:v>
      </x:c>
      <x:c r="F134" s="22"/>
      <x:c r="G134" s="22"/>
      <x:c r="H134" s="22"/>
      <x:c r="I134" s="18"/>
      <x:c r="J134" s="18" t="str"/>
    </x:row>
    <x:row r="135">
      <x:c r="A135" s="18" t="str">
        <x:v>غرينادين</x:v>
      </x:c>
      <x:c r="B135" s="20" t="str">
        <x:v>Grenadine Syrup</x:v>
      </x:c>
      <x:c r="C135" s="20" t="str">
        <x:v>ING-SYRUP-GRENADINE</x:v>
      </x:c>
      <x:c r="D135" s="18" t="str">
        <x:v>مكوّن</x:v>
      </x:c>
      <x:c r="E135" s="18" t="str">
        <x:v>لتر</x:v>
      </x:c>
      <x:c r="F135" s="22"/>
      <x:c r="G135" s="22"/>
      <x:c r="H135" s="22"/>
      <x:c r="I135" s="18"/>
      <x:c r="J135" s="18" t="str"/>
    </x:row>
    <x:row r="136">
      <x:c r="A136" s="18" t="str">
        <x:v>ملح</x:v>
      </x:c>
      <x:c r="B136" s="20" t="str">
        <x:v>Salt</x:v>
      </x:c>
      <x:c r="C136" s="20" t="str">
        <x:v>ING-SPICE-SALT</x:v>
      </x:c>
      <x:c r="D136" s="18" t="str">
        <x:v>مكوّن</x:v>
      </x:c>
      <x:c r="E136" s="18" t="str">
        <x:v>كغ</x:v>
      </x:c>
      <x:c r="F136" s="22"/>
      <x:c r="G136" s="22"/>
      <x:c r="H136" s="22"/>
      <x:c r="I136" s="18"/>
      <x:c r="J136" s="18" t="str"/>
    </x:row>
    <x:row r="137">
      <x:c r="A137" s="18" t="str">
        <x:v>فلفل أسود</x:v>
      </x:c>
      <x:c r="B137" s="20" t="str">
        <x:v>Black Pepper</x:v>
      </x:c>
      <x:c r="C137" s="20" t="str">
        <x:v>ING-SPICE-BLACKPEPPER</x:v>
      </x:c>
      <x:c r="D137" s="18" t="str">
        <x:v>مكوّن</x:v>
      </x:c>
      <x:c r="E137" s="18" t="str">
        <x:v>كغ</x:v>
      </x:c>
      <x:c r="F137" s="22"/>
      <x:c r="G137" s="22"/>
      <x:c r="H137" s="22"/>
      <x:c r="I137" s="18"/>
      <x:c r="J137" s="18" t="str"/>
    </x:row>
    <x:row r="138">
      <x:c r="A138" s="18" t="str">
        <x:v>قرفة عيدان</x:v>
      </x:c>
      <x:c r="B138" s="20" t="str">
        <x:v>Cinnamon Sticks</x:v>
      </x:c>
      <x:c r="C138" s="20" t="str">
        <x:v>ING-SPICE-CINNAMON-STICK</x:v>
      </x:c>
      <x:c r="D138" s="18" t="str">
        <x:v>مكوّن</x:v>
      </x:c>
      <x:c r="E138" s="18" t="str">
        <x:v>عبوة</x:v>
      </x:c>
      <x:c r="F138" s="22"/>
      <x:c r="G138" s="22"/>
      <x:c r="H138" s="22" t="n">
        <x:v>6000</x:v>
      </x:c>
      <x:c r="I138" s="18"/>
      <x:c r="J138" s="18" t="str">
        <x:v>وزن العبوة غير محدد.</x:v>
      </x:c>
    </x:row>
    <x:row r="139">
      <x:c r="A139" s="18" t="str">
        <x:v>قرفة مطحونة</x:v>
      </x:c>
      <x:c r="B139" s="20" t="str">
        <x:v>Ground Cinnamon</x:v>
      </x:c>
      <x:c r="C139" s="20" t="str">
        <x:v>ING-SPICE-CINNAMON</x:v>
      </x:c>
      <x:c r="D139" s="18" t="str">
        <x:v>مكوّن</x:v>
      </x:c>
      <x:c r="E139" s="18" t="str">
        <x:v>كغ</x:v>
      </x:c>
      <x:c r="F139" s="22"/>
      <x:c r="G139" s="22"/>
      <x:c r="H139" s="22"/>
      <x:c r="I139" s="18"/>
      <x:c r="J139" s="18" t="str"/>
    </x:row>
    <x:row r="140">
      <x:c r="A140" s="18" t="str">
        <x:v>هيل مطحون</x:v>
      </x:c>
      <x:c r="B140" s="20" t="str">
        <x:v>Ground Cardamom</x:v>
      </x:c>
      <x:c r="C140" s="20" t="str">
        <x:v>ING-SPICE-CARDAMOM</x:v>
      </x:c>
      <x:c r="D140" s="18" t="str">
        <x:v>مكوّن</x:v>
      </x:c>
      <x:c r="E140" s="18" t="str">
        <x:v>كغ</x:v>
      </x:c>
      <x:c r="F140" s="22"/>
      <x:c r="G140" s="22"/>
      <x:c r="H140" s="22" t="n">
        <x:v>1000000</x:v>
      </x:c>
      <x:c r="I140" s="18"/>
      <x:c r="J140" s="18" t="str">
        <x:v>15 غ = 15,000 ل.س؛ الكلفة المحسوبة 1,000,000 ل.س/كغ.</x:v>
      </x:c>
    </x:row>
    <x:row r="141">
      <x:c r="A141" s="18" t="str">
        <x:v>سماق</x:v>
      </x:c>
      <x:c r="B141" s="20" t="str">
        <x:v>Sumac</x:v>
      </x:c>
      <x:c r="C141" s="20" t="str">
        <x:v>ING-SPICE-SUMAC</x:v>
      </x:c>
      <x:c r="D141" s="18" t="str">
        <x:v>مكوّن</x:v>
      </x:c>
      <x:c r="E141" s="18" t="str">
        <x:v>كغ</x:v>
      </x:c>
      <x:c r="F141" s="22"/>
      <x:c r="G141" s="22"/>
      <x:c r="H141" s="22" t="n">
        <x:v>400000</x:v>
      </x:c>
      <x:c r="I141" s="18"/>
      <x:c r="J141" s="18" t="str">
        <x:v>20 غ = 8,000 ل.س؛ الكلفة المحسوبة 400,000 ل.س/كغ.</x:v>
      </x:c>
    </x:row>
    <x:row r="142">
      <x:c r="A142" s="18" t="str">
        <x:v>فلفل حلو مطحون</x:v>
      </x:c>
      <x:c r="B142" s="20" t="str">
        <x:v>Sweet Paprika</x:v>
      </x:c>
      <x:c r="C142" s="20" t="str">
        <x:v>ING-SPICE-PAPRIKA</x:v>
      </x:c>
      <x:c r="D142" s="18" t="str">
        <x:v>مكوّن</x:v>
      </x:c>
      <x:c r="E142" s="18" t="str">
        <x:v>كغ</x:v>
      </x:c>
      <x:c r="F142" s="22"/>
      <x:c r="G142" s="22"/>
      <x:c r="H142" s="22" t="n">
        <x:v>200000</x:v>
      </x:c>
      <x:c r="I142" s="18"/>
      <x:c r="J142" s="18" t="str">
        <x:v>40 غ = 8,000 ل.س؛ الكلفة المحسوبة 200,000 ل.س/كغ.</x:v>
      </x:c>
    </x:row>
    <x:row r="143">
      <x:c r="A143" s="18" t="str">
        <x:v>ثوم بودرة</x:v>
      </x:c>
      <x:c r="B143" s="20" t="str">
        <x:v>Garlic Powder</x:v>
      </x:c>
      <x:c r="C143" s="20" t="str">
        <x:v>ING-SPICE-GARLICPOWDER</x:v>
      </x:c>
      <x:c r="D143" s="18" t="str">
        <x:v>مكوّن</x:v>
      </x:c>
      <x:c r="E143" s="18" t="str">
        <x:v>كغ</x:v>
      </x:c>
      <x:c r="F143" s="22"/>
      <x:c r="G143" s="22"/>
      <x:c r="H143" s="22" t="n">
        <x:v>266666.67</x:v>
      </x:c>
      <x:c r="I143" s="18"/>
      <x:c r="J143" s="18" t="str">
        <x:v>30 غ = 8,000 ل.س؛ الكلفة المحسوبة 266,666.67 ل.س/كغ.</x:v>
      </x:c>
    </x:row>
    <x:row r="144">
      <x:c r="A144" s="18" t="str">
        <x:v>كزبرة مطحونة</x:v>
      </x:c>
      <x:c r="B144" s="20" t="str">
        <x:v>Ground Coriander</x:v>
      </x:c>
      <x:c r="C144" s="20" t="str">
        <x:v>ING-SPICE-CORIANDER</x:v>
      </x:c>
      <x:c r="D144" s="18" t="str">
        <x:v>مكوّن</x:v>
      </x:c>
      <x:c r="E144" s="18" t="str">
        <x:v>كغ</x:v>
      </x:c>
      <x:c r="F144" s="22"/>
      <x:c r="G144" s="22"/>
      <x:c r="H144" s="22" t="n">
        <x:v>266666.67</x:v>
      </x:c>
      <x:c r="I144" s="18"/>
      <x:c r="J144" s="18" t="str">
        <x:v>15 غ = 4,000 ل.س؛ الكلفة المحسوبة 266,666.67 ل.س/كغ.</x:v>
      </x:c>
    </x:row>
    <x:row r="145">
      <x:c r="A145" s="18" t="str">
        <x:v>أوريغانو</x:v>
      </x:c>
      <x:c r="B145" s="20" t="str">
        <x:v>Oregano</x:v>
      </x:c>
      <x:c r="C145" s="20" t="str">
        <x:v>ING-SPICE-OREGANO</x:v>
      </x:c>
      <x:c r="D145" s="18" t="str">
        <x:v>مكوّن</x:v>
      </x:c>
      <x:c r="E145" s="18" t="str">
        <x:v>كغ</x:v>
      </x:c>
      <x:c r="F145" s="22"/>
      <x:c r="G145" s="22"/>
      <x:c r="H145" s="22" t="n">
        <x:v>400000</x:v>
      </x:c>
      <x:c r="I145" s="18"/>
      <x:c r="J145" s="18" t="str">
        <x:v>15 غ = 6,000 ل.س؛ الكلفة المحسوبة 400,000 ل.س/كغ.</x:v>
      </x:c>
    </x:row>
    <x:row r="146">
      <x:c r="A146" s="18" t="str">
        <x:v>مردكوش</x:v>
      </x:c>
      <x:c r="B146" s="20" t="str">
        <x:v>Marjoram</x:v>
      </x:c>
      <x:c r="C146" s="20" t="str">
        <x:v>ING-SPICE-MARJORAM</x:v>
      </x:c>
      <x:c r="D146" s="18" t="str">
        <x:v>مكوّن</x:v>
      </x:c>
      <x:c r="E146" s="18" t="str">
        <x:v>كغ</x:v>
      </x:c>
      <x:c r="F146" s="22"/>
      <x:c r="G146" s="22"/>
      <x:c r="H146" s="22" t="n">
        <x:v>400000</x:v>
      </x:c>
      <x:c r="I146" s="18"/>
      <x:c r="J146" s="18" t="str">
        <x:v>15 غ = 6,000 ل.س؛ الكلفة المحسوبة 400,000 ل.س/كغ.</x:v>
      </x:c>
    </x:row>
    <x:row r="147">
      <x:c r="A147" s="18" t="str">
        <x:v>كمون</x:v>
      </x:c>
      <x:c r="B147" s="20" t="str">
        <x:v>Cumin</x:v>
      </x:c>
      <x:c r="C147" s="20" t="str">
        <x:v>ING-SPICE-CUMIN</x:v>
      </x:c>
      <x:c r="D147" s="18" t="str">
        <x:v>مكوّن</x:v>
      </x:c>
      <x:c r="E147" s="18" t="str">
        <x:v>كغ</x:v>
      </x:c>
      <x:c r="F147" s="22"/>
      <x:c r="G147" s="22"/>
      <x:c r="H147" s="22"/>
      <x:c r="I147" s="18"/>
      <x:c r="J147" s="18" t="str">
        <x:v>لشراب الكمون والليمون وللطبخ.</x:v>
      </x:c>
    </x:row>
    <x:row r="148">
      <x:c r="A148" s="18" t="str">
        <x:v>كركم</x:v>
      </x:c>
      <x:c r="B148" s="20" t="str">
        <x:v>Turmeric</x:v>
      </x:c>
      <x:c r="C148" s="20" t="str">
        <x:v>ING-SPICE-TURMERIC</x:v>
      </x:c>
      <x:c r="D148" s="18" t="str">
        <x:v>مكوّن</x:v>
      </x:c>
      <x:c r="E148" s="18" t="str">
        <x:v>كغ</x:v>
      </x:c>
      <x:c r="F148" s="22"/>
      <x:c r="G148" s="22"/>
      <x:c r="H148" s="22"/>
      <x:c r="I148" s="18"/>
      <x:c r="J148" s="18" t="str"/>
    </x:row>
    <x:row r="149">
      <x:c r="A149" s="18" t="str">
        <x:v>كاري</x:v>
      </x:c>
      <x:c r="B149" s="20" t="str">
        <x:v>Curry Powder</x:v>
      </x:c>
      <x:c r="C149" s="20" t="str">
        <x:v>ING-SPICE-CURRY</x:v>
      </x:c>
      <x:c r="D149" s="18" t="str">
        <x:v>مكوّن</x:v>
      </x:c>
      <x:c r="E149" s="18" t="str">
        <x:v>كغ</x:v>
      </x:c>
      <x:c r="F149" s="22"/>
      <x:c r="G149" s="22"/>
      <x:c r="H149" s="22"/>
      <x:c r="I149" s="18"/>
      <x:c r="J149" s="18" t="str"/>
    </x:row>
    <x:row r="150">
      <x:c r="A150" s="18" t="str">
        <x:v>غارام ماسالا</x:v>
      </x:c>
      <x:c r="B150" s="20" t="str">
        <x:v>Garam Masala</x:v>
      </x:c>
      <x:c r="C150" s="20" t="str">
        <x:v>ING-SPICE-GARAMMASALA</x:v>
      </x:c>
      <x:c r="D150" s="18" t="str">
        <x:v>مكوّن</x:v>
      </x:c>
      <x:c r="E150" s="18" t="str">
        <x:v>كغ</x:v>
      </x:c>
      <x:c r="F150" s="22"/>
      <x:c r="G150" s="22"/>
      <x:c r="H150" s="22"/>
      <x:c r="I150" s="18"/>
      <x:c r="J150" s="18" t="str"/>
    </x:row>
    <x:row r="151">
      <x:c r="A151" s="18" t="str">
        <x:v>بهار برياني</x:v>
      </x:c>
      <x:c r="B151" s="20" t="str">
        <x:v>Biryani Spice</x:v>
      </x:c>
      <x:c r="C151" s="20" t="str">
        <x:v>ING-SPICE-BIRYANI</x:v>
      </x:c>
      <x:c r="D151" s="18" t="str">
        <x:v>مكوّن</x:v>
      </x:c>
      <x:c r="E151" s="18" t="str">
        <x:v>كغ</x:v>
      </x:c>
      <x:c r="F151" s="22"/>
      <x:c r="G151" s="22"/>
      <x:c r="H151" s="22"/>
      <x:c r="I151" s="18"/>
      <x:c r="J151" s="18" t="str"/>
    </x:row>
    <x:row r="152">
      <x:c r="A152" s="18" t="str">
        <x:v>بهار كبسة</x:v>
      </x:c>
      <x:c r="B152" s="20" t="str">
        <x:v>Kabsa Spice</x:v>
      </x:c>
      <x:c r="C152" s="20" t="str">
        <x:v>ING-SPICE-KABSA</x:v>
      </x:c>
      <x:c r="D152" s="18" t="str">
        <x:v>مكوّن</x:v>
      </x:c>
      <x:c r="E152" s="18" t="str">
        <x:v>كغ</x:v>
      </x:c>
      <x:c r="F152" s="22"/>
      <x:c r="G152" s="22"/>
      <x:c r="H152" s="22"/>
      <x:c r="I152" s="18"/>
      <x:c r="J152" s="18" t="str"/>
    </x:row>
    <x:row r="153">
      <x:c r="A153" s="18" t="str">
        <x:v>شطة مجروشة</x:v>
      </x:c>
      <x:c r="B153" s="20" t="str">
        <x:v>Chili Flakes</x:v>
      </x:c>
      <x:c r="C153" s="20" t="str">
        <x:v>ING-SPICE-CHILIFLAKES</x:v>
      </x:c>
      <x:c r="D153" s="18" t="str">
        <x:v>مكوّن</x:v>
      </x:c>
      <x:c r="E153" s="18" t="str">
        <x:v>كغ</x:v>
      </x:c>
      <x:c r="F153" s="22"/>
      <x:c r="G153" s="22"/>
      <x:c r="H153" s="22"/>
      <x:c r="I153" s="18"/>
      <x:c r="J153" s="18" t="str"/>
    </x:row>
    <x:row r="154">
      <x:c r="A154" s="18" t="str">
        <x:v>جوزة الطيب</x:v>
      </x:c>
      <x:c r="B154" s="20" t="str">
        <x:v>Nutmeg</x:v>
      </x:c>
      <x:c r="C154" s="20" t="str">
        <x:v>ING-SPICE-NUTMEG</x:v>
      </x:c>
      <x:c r="D154" s="18" t="str">
        <x:v>مكوّن</x:v>
      </x:c>
      <x:c r="E154" s="18" t="str">
        <x:v>غ</x:v>
      </x:c>
      <x:c r="F154" s="22"/>
      <x:c r="G154" s="22"/>
      <x:c r="H154" s="22"/>
      <x:c r="I154" s="18"/>
      <x:c r="J154" s="18" t="str"/>
    </x:row>
    <x:row r="155">
      <x:c r="A155" s="18" t="str">
        <x:v>قرنفل</x:v>
      </x:c>
      <x:c r="B155" s="20" t="str">
        <x:v>Cloves</x:v>
      </x:c>
      <x:c r="C155" s="20" t="str">
        <x:v>ING-SPICE-CLOVES</x:v>
      </x:c>
      <x:c r="D155" s="18" t="str">
        <x:v>مكوّن</x:v>
      </x:c>
      <x:c r="E155" s="18" t="str">
        <x:v>غ</x:v>
      </x:c>
      <x:c r="F155" s="22"/>
      <x:c r="G155" s="22"/>
      <x:c r="H155" s="22"/>
      <x:c r="I155" s="18"/>
      <x:c r="J155" s="18" t="str"/>
    </x:row>
    <x:row r="156">
      <x:c r="A156" s="18" t="str">
        <x:v>ورق غار</x:v>
      </x:c>
      <x:c r="B156" s="20" t="str">
        <x:v>Bay Leaves</x:v>
      </x:c>
      <x:c r="C156" s="20" t="str">
        <x:v>ING-SPICE-BAYLEAF</x:v>
      </x:c>
      <x:c r="D156" s="18" t="str">
        <x:v>مكوّن</x:v>
      </x:c>
      <x:c r="E156" s="18" t="str">
        <x:v>غ</x:v>
      </x:c>
      <x:c r="F156" s="22"/>
      <x:c r="G156" s="22"/>
      <x:c r="H156" s="22"/>
      <x:c r="I156" s="18"/>
      <x:c r="J156" s="18" t="str"/>
    </x:row>
    <x:row r="157">
      <x:c r="A157" s="18" t="str">
        <x:v>نعنع يابس</x:v>
      </x:c>
      <x:c r="B157" s="20" t="str">
        <x:v>Dried Mint</x:v>
      </x:c>
      <x:c r="C157" s="20" t="str">
        <x:v>ING-HERB-DRIEDMINT</x:v>
      </x:c>
      <x:c r="D157" s="18" t="str">
        <x:v>مكوّن</x:v>
      </x:c>
      <x:c r="E157" s="18" t="str">
        <x:v>كغ</x:v>
      </x:c>
      <x:c r="F157" s="22"/>
      <x:c r="G157" s="22"/>
      <x:c r="H157" s="22"/>
      <x:c r="I157" s="18"/>
      <x:c r="J157" s="18" t="str"/>
    </x:row>
    <x:row r="158">
      <x:c r="A158" s="18" t="str">
        <x:v>زعتر يابس</x:v>
      </x:c>
      <x:c r="B158" s="20" t="str">
        <x:v>Dried Thyme</x:v>
      </x:c>
      <x:c r="C158" s="20" t="str">
        <x:v>ING-HERB-DRIEDTHYME</x:v>
      </x:c>
      <x:c r="D158" s="18" t="str">
        <x:v>مكوّن</x:v>
      </x:c>
      <x:c r="E158" s="18" t="str">
        <x:v>كغ</x:v>
      </x:c>
      <x:c r="F158" s="22"/>
      <x:c r="G158" s="22"/>
      <x:c r="H158" s="22"/>
      <x:c r="I158" s="18"/>
      <x:c r="J158" s="18" t="str"/>
    </x:row>
    <x:row r="159">
      <x:c r="A159" s="18" t="str">
        <x:v>سمسم</x:v>
      </x:c>
      <x:c r="B159" s="20" t="str">
        <x:v>Sesame Seeds</x:v>
      </x:c>
      <x:c r="C159" s="20" t="str">
        <x:v>ING-SEED-SESAME</x:v>
      </x:c>
      <x:c r="D159" s="18" t="str">
        <x:v>مكوّن</x:v>
      </x:c>
      <x:c r="E159" s="18" t="str">
        <x:v>كغ</x:v>
      </x:c>
      <x:c r="F159" s="22"/>
      <x:c r="G159" s="22"/>
      <x:c r="H159" s="22"/>
      <x:c r="I159" s="18"/>
      <x:c r="J159" s="18" t="str"/>
    </x:row>
    <x:row r="160">
      <x:c r="A160" s="18" t="str">
        <x:v>حبة البركة</x:v>
      </x:c>
      <x:c r="B160" s="20" t="str">
        <x:v>Nigella Seeds</x:v>
      </x:c>
      <x:c r="C160" s="20" t="str">
        <x:v>ING-SEED-NIGELLA</x:v>
      </x:c>
      <x:c r="D160" s="18" t="str">
        <x:v>مكوّن</x:v>
      </x:c>
      <x:c r="E160" s="18" t="str">
        <x:v>كغ</x:v>
      </x:c>
      <x:c r="F160" s="22"/>
      <x:c r="G160" s="22"/>
      <x:c r="H160" s="22"/>
      <x:c r="I160" s="18"/>
      <x:c r="J160" s="18" t="str"/>
    </x:row>
    <x:row r="161">
      <x:c r="A161" s="18" t="str">
        <x:v>يانسون</x:v>
      </x:c>
      <x:c r="B161" s="20" t="str">
        <x:v>Anise Seeds</x:v>
      </x:c>
      <x:c r="C161" s="20" t="str">
        <x:v>ING-HERB-ANISE</x:v>
      </x:c>
      <x:c r="D161" s="18" t="str">
        <x:v>مكوّن</x:v>
      </x:c>
      <x:c r="E161" s="18" t="str">
        <x:v>كغ</x:v>
      </x:c>
      <x:c r="F161" s="22"/>
      <x:c r="G161" s="22"/>
      <x:c r="H161" s="22"/>
      <x:c r="I161" s="18"/>
      <x:c r="J161" s="18" t="str"/>
    </x:row>
    <x:row r="162">
      <x:c r="A162" s="18" t="str">
        <x:v>شمر</x:v>
      </x:c>
      <x:c r="B162" s="20" t="str">
        <x:v>Fennel Seeds</x:v>
      </x:c>
      <x:c r="C162" s="20" t="str">
        <x:v>ING-HERB-FENNEL</x:v>
      </x:c>
      <x:c r="D162" s="18" t="str">
        <x:v>مكوّن</x:v>
      </x:c>
      <x:c r="E162" s="18" t="str">
        <x:v>كغ</x:v>
      </x:c>
      <x:c r="F162" s="22"/>
      <x:c r="G162" s="22"/>
      <x:c r="H162" s="22"/>
      <x:c r="I162" s="18"/>
      <x:c r="J162" s="18" t="str"/>
    </x:row>
    <x:row r="163">
      <x:c r="A163" s="18" t="str">
        <x:v>ميرمية مجففة</x:v>
      </x:c>
      <x:c r="B163" s="20" t="str">
        <x:v>Dried Sage</x:v>
      </x:c>
      <x:c r="C163" s="20" t="str">
        <x:v>ING-HERB-SAGE</x:v>
      </x:c>
      <x:c r="D163" s="18" t="str">
        <x:v>مكوّن</x:v>
      </x:c>
      <x:c r="E163" s="18" t="str">
        <x:v>كغ</x:v>
      </x:c>
      <x:c r="F163" s="22"/>
      <x:c r="G163" s="22"/>
      <x:c r="H163" s="22"/>
      <x:c r="I163" s="18"/>
      <x:c r="J163" s="18" t="str">
        <x:v>للزهورات والشاي بالميرمية.</x:v>
      </x:c>
    </x:row>
    <x:row r="164">
      <x:c r="A164" s="18" t="str">
        <x:v>بابونج</x:v>
      </x:c>
      <x:c r="B164" s="20" t="str">
        <x:v>Chamomile</x:v>
      </x:c>
      <x:c r="C164" s="20" t="str">
        <x:v>ING-HERB-CHAMOMILE</x:v>
      </x:c>
      <x:c r="D164" s="18" t="str">
        <x:v>مكوّن</x:v>
      </x:c>
      <x:c r="E164" s="18" t="str">
        <x:v>كغ</x:v>
      </x:c>
      <x:c r="F164" s="22"/>
      <x:c r="G164" s="22"/>
      <x:c r="H164" s="22"/>
      <x:c r="I164" s="18"/>
      <x:c r="J164" s="18" t="str"/>
    </x:row>
    <x:row r="165">
      <x:c r="A165" s="18" t="str">
        <x:v>مليسة</x:v>
      </x:c>
      <x:c r="B165" s="20" t="str">
        <x:v>Lemon Balm</x:v>
      </x:c>
      <x:c r="C165" s="20" t="str">
        <x:v>ING-HERB-LEMONBALM</x:v>
      </x:c>
      <x:c r="D165" s="18" t="str">
        <x:v>مكوّن</x:v>
      </x:c>
      <x:c r="E165" s="18" t="str">
        <x:v>كغ</x:v>
      </x:c>
      <x:c r="F165" s="22"/>
      <x:c r="G165" s="22"/>
      <x:c r="H165" s="22"/>
      <x:c r="I165" s="18"/>
      <x:c r="J165" s="18" t="str"/>
    </x:row>
    <x:row r="166">
      <x:c r="A166" s="18" t="str">
        <x:v>كركديه مجفف</x:v>
      </x:c>
      <x:c r="B166" s="20" t="str">
        <x:v>Dried Hibiscus</x:v>
      </x:c>
      <x:c r="C166" s="20" t="str">
        <x:v>ING-HERB-HIBISCUS</x:v>
      </x:c>
      <x:c r="D166" s="18" t="str">
        <x:v>مكوّن</x:v>
      </x:c>
      <x:c r="E166" s="18" t="str">
        <x:v>كغ</x:v>
      </x:c>
      <x:c r="F166" s="22"/>
      <x:c r="G166" s="22"/>
      <x:c r="H166" s="22"/>
      <x:c r="I166" s="18"/>
      <x:c r="J166" s="18" t="str">
        <x:v>للكركديه الساخن والبارد.</x:v>
      </x:c>
    </x:row>
    <x:row r="167">
      <x:c r="A167" s="18" t="str">
        <x:v>عرق سوس</x:v>
      </x:c>
      <x:c r="B167" s="20" t="str">
        <x:v>Licorice Root</x:v>
      </x:c>
      <x:c r="C167" s="20" t="str">
        <x:v>ING-HERB-LICORICE</x:v>
      </x:c>
      <x:c r="D167" s="18" t="str">
        <x:v>مكوّن</x:v>
      </x:c>
      <x:c r="E167" s="18" t="str">
        <x:v>كغ</x:v>
      </x:c>
      <x:c r="F167" s="22"/>
      <x:c r="G167" s="22"/>
      <x:c r="H167" s="22"/>
      <x:c r="I167" s="18"/>
      <x:c r="J167" s="18" t="str"/>
    </x:row>
    <x:row r="168">
      <x:c r="A168" s="18" t="str">
        <x:v>تمر هندي مركز</x:v>
      </x:c>
      <x:c r="B168" s="20" t="str">
        <x:v>Tamarind Paste</x:v>
      </x:c>
      <x:c r="C168" s="20" t="str">
        <x:v>ING-FRT-TAMARIND</x:v>
      </x:c>
      <x:c r="D168" s="18" t="str">
        <x:v>مكوّن</x:v>
      </x:c>
      <x:c r="E168" s="18" t="str">
        <x:v>كغ</x:v>
      </x:c>
      <x:c r="F168" s="22"/>
      <x:c r="G168" s="22"/>
      <x:c r="H168" s="22"/>
      <x:c r="I168" s="18"/>
      <x:c r="J168" s="18" t="str"/>
    </x:row>
    <x:row r="169">
      <x:c r="A169" s="18" t="str">
        <x:v>قمر الدين</x:v>
      </x:c>
      <x:c r="B169" s="20" t="str">
        <x:v>Apricot Leather</x:v>
      </x:c>
      <x:c r="C169" s="20" t="str">
        <x:v>ING-FRT-QAMARALDIN</x:v>
      </x:c>
      <x:c r="D169" s="18" t="str">
        <x:v>مكوّن</x:v>
      </x:c>
      <x:c r="E169" s="18" t="str">
        <x:v>كغ</x:v>
      </x:c>
      <x:c r="F169" s="22"/>
      <x:c r="G169" s="22"/>
      <x:c r="H169" s="22"/>
      <x:c r="I169" s="18"/>
      <x:c r="J169" s="18" t="str"/>
    </x:row>
    <x:row r="170">
      <x:c r="A170" s="18" t="str">
        <x:v>بن تركي</x:v>
      </x:c>
      <x:c r="B170" s="20" t="str">
        <x:v>Turkish Coffee</x:v>
      </x:c>
      <x:c r="C170" s="20" t="str">
        <x:v>DRK-COF-TURKISH</x:v>
      </x:c>
      <x:c r="D170" s="18" t="str">
        <x:v>مشروبات ومستلزمات</x:v>
      </x:c>
      <x:c r="E170" s="18" t="str">
        <x:v>كغ</x:v>
      </x:c>
      <x:c r="F170" s="22"/>
      <x:c r="G170" s="22"/>
      <x:c r="H170" s="22"/>
      <x:c r="I170" s="18"/>
      <x:c r="J170" s="18" t="str"/>
    </x:row>
    <x:row r="171">
      <x:c r="A171" s="18" t="str">
        <x:v>بن إسبريسو</x:v>
      </x:c>
      <x:c r="B171" s="20" t="str">
        <x:v>Espresso Coffee Beans</x:v>
      </x:c>
      <x:c r="C171" s="20" t="str">
        <x:v>DRK-COF-ESPRESSO</x:v>
      </x:c>
      <x:c r="D171" s="18" t="str">
        <x:v>مشروبات ومستلزمات</x:v>
      </x:c>
      <x:c r="E171" s="18" t="str">
        <x:v>كغ</x:v>
      </x:c>
      <x:c r="F171" s="22"/>
      <x:c r="G171" s="22"/>
      <x:c r="H171" s="22"/>
      <x:c r="I171" s="18"/>
      <x:c r="J171" s="18" t="str">
        <x:v>للكابتشينو، اللاتيه، الأمريكانو، الموكا والقهوة المثلجة.</x:v>
      </x:c>
    </x:row>
    <x:row r="172">
      <x:c r="A172" s="18" t="str">
        <x:v>قهوة سريعة التحضير</x:v>
      </x:c>
      <x:c r="B172" s="20" t="str">
        <x:v>Instant Coffee</x:v>
      </x:c>
      <x:c r="C172" s="20" t="str">
        <x:v>DRK-COF-INSTANT</x:v>
      </x:c>
      <x:c r="D172" s="18" t="str">
        <x:v>مشروبات ومستلزمات</x:v>
      </x:c>
      <x:c r="E172" s="18" t="str">
        <x:v>كغ</x:v>
      </x:c>
      <x:c r="F172" s="22"/>
      <x:c r="G172" s="22"/>
      <x:c r="H172" s="22"/>
      <x:c r="I172" s="18"/>
      <x:c r="J172" s="18" t="str"/>
    </x:row>
    <x:row r="173">
      <x:c r="A173" s="18" t="str">
        <x:v>بن عربي فاتح</x:v>
      </x:c>
      <x:c r="B173" s="20" t="str">
        <x:v>Light Roast Arabic Coffee</x:v>
      </x:c>
      <x:c r="C173" s="20" t="str">
        <x:v>DRK-COF-ARABIC</x:v>
      </x:c>
      <x:c r="D173" s="18" t="str">
        <x:v>مشروبات ومستلزمات</x:v>
      </x:c>
      <x:c r="E173" s="18" t="str">
        <x:v>كغ</x:v>
      </x:c>
      <x:c r="F173" s="22"/>
      <x:c r="G173" s="22"/>
      <x:c r="H173" s="22"/>
      <x:c r="I173" s="18"/>
      <x:c r="J173" s="18" t="str"/>
    </x:row>
    <x:row r="174">
      <x:c r="A174" s="18" t="str">
        <x:v>شاي أسود سائب</x:v>
      </x:c>
      <x:c r="B174" s="20" t="str">
        <x:v>Loose Black Tea</x:v>
      </x:c>
      <x:c r="C174" s="20" t="str">
        <x:v>DRK-TEA-BLACK-LOOSE</x:v>
      </x:c>
      <x:c r="D174" s="18" t="str">
        <x:v>مشروبات ومستلزمات</x:v>
      </x:c>
      <x:c r="E174" s="18" t="str">
        <x:v>كغ</x:v>
      </x:c>
      <x:c r="F174" s="22"/>
      <x:c r="G174" s="22"/>
      <x:c r="H174" s="22" t="n">
        <x:v>250000</x:v>
      </x:c>
      <x:c r="I174" s="18"/>
      <x:c r="J174" s="18" t="str">
        <x:v>شاي رأس الحصان 140 غ = 35,000 ل.س؛ الكلفة المحسوبة 250,000 ل.س/كغ.</x:v>
      </x:c>
    </x:row>
    <x:row r="175">
      <x:c r="A175" s="18" t="str">
        <x:v>شاي أحمد عادي – ظرف</x:v>
      </x:c>
      <x:c r="B175" s="20" t="str">
        <x:v>Ahmad Tea Bag</x:v>
      </x:c>
      <x:c r="C175" s="20" t="str">
        <x:v>DRK-TEA-AHMAD-BAG</x:v>
      </x:c>
      <x:c r="D175" s="18" t="str">
        <x:v>مشروبات ومستلزمات</x:v>
      </x:c>
      <x:c r="E175" s="18" t="str">
        <x:v>حصة</x:v>
      </x:c>
      <x:c r="F175" s="22"/>
      <x:c r="G175" s="22"/>
      <x:c r="H175" s="22" t="n">
        <x:v>420</x:v>
      </x:c>
      <x:c r="I175" s="18"/>
      <x:c r="J175" s="18" t="str">
        <x:v>100 ظرف = 42,000 ل.س؛ الكلفة للحصة 420 ل.س.</x:v>
      </x:c>
    </x:row>
    <x:row r="176">
      <x:c r="A176" s="18" t="str">
        <x:v>شاي أحمد إيرل غراي – ظرف</x:v>
      </x:c>
      <x:c r="B176" s="20" t="str">
        <x:v>Ahmad Earl Grey Tea Bag</x:v>
      </x:c>
      <x:c r="C176" s="20" t="str">
        <x:v>DRK-TEA-EARLGREY-BAG</x:v>
      </x:c>
      <x:c r="D176" s="18" t="str">
        <x:v>مشروبات ومستلزمات</x:v>
      </x:c>
      <x:c r="E176" s="18" t="str">
        <x:v>حصة</x:v>
      </x:c>
      <x:c r="F176" s="22"/>
      <x:c r="G176" s="22"/>
      <x:c r="H176" s="22" t="n">
        <x:v>585</x:v>
      </x:c>
      <x:c r="I176" s="18"/>
      <x:c r="J176" s="18" t="str">
        <x:v>100 ظرف = 58,500 ل.س؛ الكلفة للحصة 585 ل.س.</x:v>
      </x:c>
    </x:row>
    <x:row r="177">
      <x:c r="A177" s="18" t="str">
        <x:v>شاي أحمد منكه – ظرف</x:v>
      </x:c>
      <x:c r="B177" s="20" t="str">
        <x:v>Ahmad Flavored Tea Bag</x:v>
      </x:c>
      <x:c r="C177" s="20" t="str">
        <x:v>DRK-TEA-FLAVORED-BAG</x:v>
      </x:c>
      <x:c r="D177" s="18" t="str">
        <x:v>مشروبات ومستلزمات</x:v>
      </x:c>
      <x:c r="E177" s="18" t="str">
        <x:v>حصة</x:v>
      </x:c>
      <x:c r="F177" s="22"/>
      <x:c r="G177" s="22"/>
      <x:c r="H177" s="22" t="n">
        <x:v>2000</x:v>
      </x:c>
      <x:c r="I177" s="18"/>
      <x:c r="J177" s="18" t="str">
        <x:v>20 ظرف = 40,000 ل.س؛ الكلفة للحصة 2,000 ل.س.</x:v>
      </x:c>
    </x:row>
    <x:row r="178">
      <x:c r="A178" s="18" t="str">
        <x:v>شاي أحمد فواكه – ظرف</x:v>
      </x:c>
      <x:c r="B178" s="20" t="str">
        <x:v>Ahmad Fruit Tea Bag</x:v>
      </x:c>
      <x:c r="C178" s="20" t="str">
        <x:v>DRK-TEA-FRUIT-BAG</x:v>
      </x:c>
      <x:c r="D178" s="18" t="str">
        <x:v>مشروبات ومستلزمات</x:v>
      </x:c>
      <x:c r="E178" s="18" t="str">
        <x:v>حصة</x:v>
      </x:c>
      <x:c r="F178" s="22"/>
      <x:c r="G178" s="22"/>
      <x:c r="H178" s="22" t="n">
        <x:v>1325</x:v>
      </x:c>
      <x:c r="I178" s="18"/>
      <x:c r="J178" s="18" t="str">
        <x:v>20 ظرف = 26,500 ل.س؛ الكلفة للحصة 1,325 ل.س.</x:v>
      </x:c>
    </x:row>
    <x:row r="179">
      <x:c r="A179" s="18" t="str">
        <x:v>شاي هندي / ماسالا</x:v>
      </x:c>
      <x:c r="B179" s="20" t="str">
        <x:v>Indian Masala Tea</x:v>
      </x:c>
      <x:c r="C179" s="20" t="str">
        <x:v>DRK-TEA-MASALA</x:v>
      </x:c>
      <x:c r="D179" s="18" t="str">
        <x:v>مشروبات ومستلزمات</x:v>
      </x:c>
      <x:c r="E179" s="18" t="str">
        <x:v>كغ</x:v>
      </x:c>
      <x:c r="F179" s="22"/>
      <x:c r="G179" s="22"/>
      <x:c r="H179" s="22"/>
      <x:c r="I179" s="18"/>
      <x:c r="J179" s="18" t="str"/>
    </x:row>
    <x:row r="180">
      <x:c r="A180" s="18" t="str">
        <x:v>زهورات مشكلة</x:v>
      </x:c>
      <x:c r="B180" s="20" t="str">
        <x:v>Mixed Zhourat</x:v>
      </x:c>
      <x:c r="C180" s="20" t="str">
        <x:v>DRK-HERBAL-ZHOURAT</x:v>
      </x:c>
      <x:c r="D180" s="18" t="str">
        <x:v>مشروبات ومستلزمات</x:v>
      </x:c>
      <x:c r="E180" s="18" t="str">
        <x:v>كغ</x:v>
      </x:c>
      <x:c r="F180" s="22"/>
      <x:c r="G180" s="22"/>
      <x:c r="H180" s="22"/>
      <x:c r="I180" s="18"/>
      <x:c r="J180" s="18" t="str"/>
    </x:row>
    <x:row r="181">
      <x:c r="A181" s="18" t="str">
        <x:v>متة</x:v>
      </x:c>
      <x:c r="B181" s="20" t="str">
        <x:v>Yerba Mate</x:v>
      </x:c>
      <x:c r="C181" s="20" t="str">
        <x:v>DRK-MATE-YERBA</x:v>
      </x:c>
      <x:c r="D181" s="18" t="str">
        <x:v>مشروبات ومستلزمات</x:v>
      </x:c>
      <x:c r="E181" s="18" t="str">
        <x:v>كغ</x:v>
      </x:c>
      <x:c r="F181" s="22"/>
      <x:c r="G181" s="22"/>
      <x:c r="H181" s="22"/>
      <x:c r="I181" s="18"/>
      <x:c r="J181" s="18" t="str"/>
    </x:row>
    <x:row r="182">
      <x:c r="A182" s="18" t="str">
        <x:v>ماتشا – حصة</x:v>
      </x:c>
      <x:c r="B182" s="20" t="str">
        <x:v>Matcha Portion</x:v>
      </x:c>
      <x:c r="C182" s="20" t="str">
        <x:v>DRK-MATCHA-PORTION</x:v>
      </x:c>
      <x:c r="D182" s="18" t="str">
        <x:v>مشروبات ومستلزمات</x:v>
      </x:c>
      <x:c r="E182" s="18" t="str">
        <x:v>حصة</x:v>
      </x:c>
      <x:c r="F182" s="22"/>
      <x:c r="G182" s="22"/>
      <x:c r="H182" s="22" t="n">
        <x:v>4450</x:v>
      </x:c>
      <x:c r="I182" s="18"/>
      <x:c r="J182" s="18" t="str">
        <x:v>20 ظرف = 89,000 ل.س؛ الكلفة للحصة 4,450 ل.س.</x:v>
      </x:c>
    </x:row>
    <x:row r="183">
      <x:c r="A183" s="18" t="str">
        <x:v>هوت شوكليت – ظرف</x:v>
      </x:c>
      <x:c r="B183" s="20" t="str">
        <x:v>Hot Chocolate Sachet</x:v>
      </x:c>
      <x:c r="C183" s="20" t="str">
        <x:v>DRK-CHOCO-SACHET</x:v>
      </x:c>
      <x:c r="D183" s="18" t="str">
        <x:v>مشروبات ومستلزمات</x:v>
      </x:c>
      <x:c r="E183" s="18" t="str">
        <x:v>حصة</x:v>
      </x:c>
      <x:c r="F183" s="22"/>
      <x:c r="G183" s="22"/>
      <x:c r="H183" s="22" t="n">
        <x:v>3000</x:v>
      </x:c>
      <x:c r="I183" s="18"/>
      <x:c r="J183" s="18" t="str">
        <x:v>مرجع السعر: 3,000 ل.س للظرف.</x:v>
      </x:c>
    </x:row>
    <x:row r="184">
      <x:c r="A184" s="18" t="str">
        <x:v>كاكاو بودرة</x:v>
      </x:c>
      <x:c r="B184" s="20" t="str">
        <x:v>Cocoa Powder</x:v>
      </x:c>
      <x:c r="C184" s="20" t="str">
        <x:v>DRK-CHOCO-COCOA</x:v>
      </x:c>
      <x:c r="D184" s="18" t="str">
        <x:v>مشروبات ومستلزمات</x:v>
      </x:c>
      <x:c r="E184" s="18" t="str">
        <x:v>كغ</x:v>
      </x:c>
      <x:c r="F184" s="22"/>
      <x:c r="G184" s="22"/>
      <x:c r="H184" s="22"/>
      <x:c r="I184" s="18"/>
      <x:c r="J184" s="18" t="str"/>
    </x:row>
    <x:row r="185">
      <x:c r="A185" s="18" t="str">
        <x:v>جلاب مركز</x:v>
      </x:c>
      <x:c r="B185" s="20" t="str">
        <x:v>Jallab Concentrate</x:v>
      </x:c>
      <x:c r="C185" s="20" t="str">
        <x:v>DRK-LOCAL-JALLAB</x:v>
      </x:c>
      <x:c r="D185" s="18" t="str">
        <x:v>مشروبات ومستلزمات</x:v>
      </x:c>
      <x:c r="E185" s="18" t="str">
        <x:v>لتر</x:v>
      </x:c>
      <x:c r="F185" s="22"/>
      <x:c r="G185" s="22"/>
      <x:c r="H185" s="22"/>
      <x:c r="I185" s="18"/>
      <x:c r="J185" s="18" t="str"/>
    </x:row>
    <x:row r="186">
      <x:c r="A186" s="18" t="str">
        <x:v>عصير عنب</x:v>
      </x:c>
      <x:c r="B186" s="20" t="str">
        <x:v>Grape Juice</x:v>
      </x:c>
      <x:c r="C186" s="20" t="str">
        <x:v>DRK-JUICE-GRAPE</x:v>
      </x:c>
      <x:c r="D186" s="18" t="str">
        <x:v>مشروبات ومستلزمات</x:v>
      </x:c>
      <x:c r="E186" s="18" t="str">
        <x:v>لتر</x:v>
      </x:c>
      <x:c r="F186" s="22"/>
      <x:c r="G186" s="22"/>
      <x:c r="H186" s="22"/>
      <x:c r="I186" s="18"/>
      <x:c r="J186" s="18" t="str"/>
    </x:row>
    <x:row r="187">
      <x:c r="A187" s="18" t="str">
        <x:v>عصير رمان</x:v>
      </x:c>
      <x:c r="B187" s="20" t="str">
        <x:v>Pomegranate Juice</x:v>
      </x:c>
      <x:c r="C187" s="20" t="str">
        <x:v>DRK-JUICE-POMEGRANATE</x:v>
      </x:c>
      <x:c r="D187" s="18" t="str">
        <x:v>مشروبات ومستلزمات</x:v>
      </x:c>
      <x:c r="E187" s="18" t="str">
        <x:v>لتر</x:v>
      </x:c>
      <x:c r="F187" s="22"/>
      <x:c r="G187" s="22"/>
      <x:c r="H187" s="22"/>
      <x:c r="I187" s="18"/>
      <x:c r="J187" s="18" t="str"/>
    </x:row>
    <x:row r="188">
      <x:c r="A188" s="18" t="str">
        <x:v>عصير تفاح</x:v>
      </x:c>
      <x:c r="B188" s="20" t="str">
        <x:v>Apple Juice</x:v>
      </x:c>
      <x:c r="C188" s="20" t="str">
        <x:v>DRK-JUICE-APPLE</x:v>
      </x:c>
      <x:c r="D188" s="18" t="str">
        <x:v>مشروبات ومستلزمات</x:v>
      </x:c>
      <x:c r="E188" s="18" t="str">
        <x:v>لتر</x:v>
      </x:c>
      <x:c r="F188" s="22"/>
      <x:c r="G188" s="22"/>
      <x:c r="H188" s="22"/>
      <x:c r="I188" s="18"/>
      <x:c r="J188" s="18" t="str"/>
    </x:row>
    <x:row r="189">
      <x:c r="A189" s="18" t="str">
        <x:v>سفن أب – زجاجة</x:v>
      </x:c>
      <x:c r="B189" s="20" t="str">
        <x:v>7UP Bottle</x:v>
      </x:c>
      <x:c r="C189" s="20" t="str">
        <x:v>DRK-SODA-7UP-BTL</x:v>
      </x:c>
      <x:c r="D189" s="18" t="str">
        <x:v>مشروبات ومستلزمات</x:v>
      </x:c>
      <x:c r="E189" s="18" t="str">
        <x:v>زجاجة</x:v>
      </x:c>
      <x:c r="F189" s="22"/>
      <x:c r="G189" s="22"/>
      <x:c r="H189" s="22" t="n">
        <x:v>20000</x:v>
      </x:c>
      <x:c r="I189" s="18"/>
      <x:c r="J189" s="18" t="str">
        <x:v>الحجم غير محدد في المرجع.</x:v>
      </x:c>
    </x:row>
    <x:row r="190">
      <x:c r="A190" s="18" t="str">
        <x:v>بيبسي – زجاجة</x:v>
      </x:c>
      <x:c r="B190" s="20" t="str">
        <x:v>Pepsi Bottle</x:v>
      </x:c>
      <x:c r="C190" s="20" t="str">
        <x:v>DRK-SODA-PEPSI-BTL</x:v>
      </x:c>
      <x:c r="D190" s="18" t="str">
        <x:v>مشروبات ومستلزمات</x:v>
      </x:c>
      <x:c r="E190" s="18" t="str">
        <x:v>زجاجة</x:v>
      </x:c>
      <x:c r="F190" s="22"/>
      <x:c r="G190" s="22"/>
      <x:c r="H190" s="22" t="n">
        <x:v>20000</x:v>
      </x:c>
      <x:c r="I190" s="18"/>
      <x:c r="J190" s="18" t="str">
        <x:v>الحجم غير محدد في المرجع.</x:v>
      </x:c>
    </x:row>
    <x:row r="191">
      <x:c r="A191" s="18" t="str">
        <x:v>سوبرين سفن أب / كولا 2.25 لتر</x:v>
      </x:c>
      <x:c r="B191" s="20" t="str">
        <x:v>Suprin 7UP/Cola 2.25L</x:v>
      </x:c>
      <x:c r="C191" s="20" t="str">
        <x:v>DRK-SODA-SUPRIN-225</x:v>
      </x:c>
      <x:c r="D191" s="18" t="str">
        <x:v>مشروبات ومستلزمات</x:v>
      </x:c>
      <x:c r="E191" s="18" t="str">
        <x:v>زجاجة</x:v>
      </x:c>
      <x:c r="F191" s="22"/>
      <x:c r="G191" s="22"/>
      <x:c r="H191" s="22" t="n">
        <x:v>15000</x:v>
      </x:c>
      <x:c r="I191" s="18"/>
      <x:c r="J191" s="18" t="str">
        <x:v>زجاجة 2.25 لتر.</x:v>
      </x:c>
    </x:row>
    <x:row r="192">
      <x:c r="A192" s="18" t="str">
        <x:v>صودا – علبة</x:v>
      </x:c>
      <x:c r="B192" s="20" t="str">
        <x:v>Soda Can</x:v>
      </x:c>
      <x:c r="C192" s="20" t="str">
        <x:v>DRK-SODA-CAN</x:v>
      </x:c>
      <x:c r="D192" s="18" t="str">
        <x:v>مشروبات ومستلزمات</x:v>
      </x:c>
      <x:c r="E192" s="18" t="str">
        <x:v>قطعة</x:v>
      </x:c>
      <x:c r="F192" s="22"/>
      <x:c r="G192" s="22"/>
      <x:c r="H192" s="22"/>
      <x:c r="I192" s="18"/>
      <x:c r="J192" s="18" t="str"/>
    </x:row>
    <x:row r="193">
      <x:c r="A193" s="18" t="str">
        <x:v>مياه غازية</x:v>
      </x:c>
      <x:c r="B193" s="20" t="str">
        <x:v>Soda Water</x:v>
      </x:c>
      <x:c r="C193" s="20" t="str">
        <x:v>DRK-SODA-WATER</x:v>
      </x:c>
      <x:c r="D193" s="18" t="str">
        <x:v>مشروبات ومستلزمات</x:v>
      </x:c>
      <x:c r="E193" s="18" t="str">
        <x:v>زجاجة</x:v>
      </x:c>
      <x:c r="F193" s="22"/>
      <x:c r="G193" s="22"/>
      <x:c r="H193" s="22"/>
      <x:c r="I193" s="18"/>
      <x:c r="J193" s="18" t="str"/>
    </x:row>
    <x:row r="194">
      <x:c r="A194" s="18" t="str">
        <x:v>تونيك ووتر</x:v>
      </x:c>
      <x:c r="B194" s="20" t="str">
        <x:v>Tonic Water</x:v>
      </x:c>
      <x:c r="C194" s="20" t="str">
        <x:v>DRK-TONIC-WATER</x:v>
      </x:c>
      <x:c r="D194" s="18" t="str">
        <x:v>مشروبات ومستلزمات</x:v>
      </x:c>
      <x:c r="E194" s="18" t="str">
        <x:v>زجاجة</x:v>
      </x:c>
      <x:c r="F194" s="22"/>
      <x:c r="G194" s="22"/>
      <x:c r="H194" s="22"/>
      <x:c r="I194" s="18"/>
      <x:c r="J194" s="18" t="str"/>
    </x:row>
    <x:row r="195">
      <x:c r="A195" s="18" t="str">
        <x:v>مياه معدنية صغيرة</x:v>
      </x:c>
      <x:c r="B195" s="20" t="str">
        <x:v>Small Mineral Water</x:v>
      </x:c>
      <x:c r="C195" s="20" t="str">
        <x:v>DRK-WATER-SMALL</x:v>
      </x:c>
      <x:c r="D195" s="18" t="str">
        <x:v>مشروبات ومستلزمات</x:v>
      </x:c>
      <x:c r="E195" s="18" t="str">
        <x:v>زجاجة</x:v>
      </x:c>
      <x:c r="F195" s="22"/>
      <x:c r="G195" s="22"/>
      <x:c r="H195" s="22"/>
      <x:c r="I195" s="18"/>
      <x:c r="J195" s="18" t="str"/>
    </x:row>
    <x:row r="196">
      <x:c r="A196" s="18" t="str">
        <x:v>مياه معدنية كبيرة</x:v>
      </x:c>
      <x:c r="B196" s="20" t="str">
        <x:v>Large Mineral Water</x:v>
      </x:c>
      <x:c r="C196" s="20" t="str">
        <x:v>DRK-WATER-LARGE</x:v>
      </x:c>
      <x:c r="D196" s="18" t="str">
        <x:v>مشروبات ومستلزمات</x:v>
      </x:c>
      <x:c r="E196" s="18" t="str">
        <x:v>زجاجة</x:v>
      </x:c>
      <x:c r="F196" s="22"/>
      <x:c r="G196" s="22"/>
      <x:c r="H196" s="22"/>
      <x:c r="I196" s="18"/>
      <x:c r="J196" s="18" t="str"/>
    </x:row>
    <x:row r="197">
      <x:c r="A197" s="18" t="str">
        <x:v>عصير فيوري 1 لتر</x:v>
      </x:c>
      <x:c r="B197" s="20" t="str">
        <x:v>Fiori Juice 1L</x:v>
      </x:c>
      <x:c r="C197" s="20" t="str">
        <x:v>DRK-JUICE-FIORI-1L</x:v>
      </x:c>
      <x:c r="D197" s="18" t="str">
        <x:v>مشروبات ومستلزمات</x:v>
      </x:c>
      <x:c r="E197" s="18" t="str">
        <x:v>لتر</x:v>
      </x:c>
      <x:c r="F197" s="22"/>
      <x:c r="G197" s="22"/>
      <x:c r="H197" s="22" t="n">
        <x:v>15000</x:v>
      </x:c>
      <x:c r="I197" s="18"/>
      <x:c r="J197" s="18" t="str">
        <x:v>مرجع سعر المشروع: 15,000 ل.س/لتر.</x:v>
      </x:c>
    </x:row>
    <x:row r="198">
      <x:c r="A198" s="18" t="str">
        <x:v>عصير فيوري 1.5 لتر</x:v>
      </x:c>
      <x:c r="B198" s="20" t="str">
        <x:v>Fiori Juice 1.5L</x:v>
      </x:c>
      <x:c r="C198" s="20" t="str">
        <x:v>DRK-JUICE-FIORI-15L</x:v>
      </x:c>
      <x:c r="D198" s="18" t="str">
        <x:v>مشروبات ومستلزمات</x:v>
      </x:c>
      <x:c r="E198" s="18" t="str">
        <x:v>زجاجة</x:v>
      </x:c>
      <x:c r="F198" s="22"/>
      <x:c r="G198" s="22"/>
      <x:c r="H198" s="22" t="n">
        <x:v>20000</x:v>
      </x:c>
      <x:c r="I198" s="18"/>
      <x:c r="J198" s="18" t="str">
        <x:v>زجاجة 1.5 لتر.</x:v>
      </x:c>
    </x:row>
    <x:row r="199">
      <x:c r="A199" s="18" t="str">
        <x:v>ثلج</x:v>
      </x:c>
      <x:c r="B199" s="20" t="str">
        <x:v>Ice</x:v>
      </x:c>
      <x:c r="C199" s="20" t="str">
        <x:v>DRK-ICE</x:v>
      </x:c>
      <x:c r="D199" s="18" t="str">
        <x:v>مشروبات ومستلزمات</x:v>
      </x:c>
      <x:c r="E199" s="18" t="str">
        <x:v>كغ</x:v>
      </x:c>
      <x:c r="F199" s="22"/>
      <x:c r="G199" s="22"/>
      <x:c r="H199" s="22" t="n">
        <x:v>4000</x:v>
      </x:c>
      <x:c r="I199" s="18"/>
      <x:c r="J199" s="18" t="str">
        <x:v>مرجع سعر المشروع: 4,000 ل.س/كغ.</x:v>
      </x:c>
    </x:row>
    <x:row r="200">
      <x:c r="A200" s="18" t="str">
        <x:v>عرق الريان</x:v>
      </x:c>
      <x:c r="B200" s="20" t="str">
        <x:v>Al Rayan Arak</x:v>
      </x:c>
      <x:c r="C200" s="20" t="str">
        <x:v>DRK-ALC-ARAK-RAYAN</x:v>
      </x:c>
      <x:c r="D200" s="18" t="str">
        <x:v>مشروبات ومستلزمات</x:v>
      </x:c>
      <x:c r="E200" s="18" t="str">
        <x:v>لتر</x:v>
      </x:c>
      <x:c r="F200" s="22"/>
      <x:c r="G200" s="22"/>
      <x:c r="H200" s="22" t="n">
        <x:v>52000</x:v>
      </x:c>
      <x:c r="I200" s="18"/>
      <x:c r="J200" s="18" t="str">
        <x:v>مرجع سعر المشروع: 52,000 ل.س/لتر.</x:v>
      </x:c>
    </x:row>
    <x:row r="201">
      <x:c r="A201" s="18" t="str">
        <x:v>فودكا سميرنوف</x:v>
      </x:c>
      <x:c r="B201" s="20" t="str">
        <x:v>Smirnoff Vodka</x:v>
      </x:c>
      <x:c r="C201" s="20" t="str">
        <x:v>DRK-ALC-VODKA-SMIRNOFF</x:v>
      </x:c>
      <x:c r="D201" s="18" t="str">
        <x:v>مشروبات ومستلزمات</x:v>
      </x:c>
      <x:c r="E201" s="18" t="str">
        <x:v>لتر</x:v>
      </x:c>
      <x:c r="F201" s="22"/>
      <x:c r="G201" s="22"/>
      <x:c r="H201" s="22" t="n">
        <x:v>50000</x:v>
      </x:c>
      <x:c r="I201" s="18"/>
      <x:c r="J201" s="18" t="str">
        <x:v>مرجع سعر المشروع: 50,000 ل.س/لتر.</x:v>
      </x:c>
    </x:row>
    <x:row r="202">
      <x:c r="A202" s="18" t="str">
        <x:v>بيرة ثقيلة</x:v>
      </x:c>
      <x:c r="B202" s="20" t="str">
        <x:v>Strong Beer</x:v>
      </x:c>
      <x:c r="C202" s="20" t="str">
        <x:v>DRK-ALC-BEER-STRONG</x:v>
      </x:c>
      <x:c r="D202" s="18" t="str">
        <x:v>مشروبات ومستلزمات</x:v>
      </x:c>
      <x:c r="E202" s="18" t="str">
        <x:v>زجاجة</x:v>
      </x:c>
      <x:c r="F202" s="22"/>
      <x:c r="G202" s="22"/>
      <x:c r="H202" s="22" t="n">
        <x:v>40000</x:v>
      </x:c>
      <x:c r="I202" s="18"/>
      <x:c r="J202" s="18" t="str">
        <x:v>الحجم غير محدد في المرجع.</x:v>
      </x:c>
    </x:row>
    <x:row r="203">
      <x:c r="A203" s="18" t="str">
        <x:v>بيرة خفيفة</x:v>
      </x:c>
      <x:c r="B203" s="20" t="str">
        <x:v>Light Beer</x:v>
      </x:c>
      <x:c r="C203" s="20" t="str">
        <x:v>DRK-ALC-BEER-LIGHT</x:v>
      </x:c>
      <x:c r="D203" s="18" t="str">
        <x:v>مشروبات ومستلزمات</x:v>
      </x:c>
      <x:c r="E203" s="18" t="str">
        <x:v>زجاجة</x:v>
      </x:c>
      <x:c r="F203" s="22"/>
      <x:c r="G203" s="22"/>
      <x:c r="H203" s="22" t="n">
        <x:v>35000</x:v>
      </x:c>
      <x:c r="I203" s="18"/>
      <x:c r="J203" s="18" t="str">
        <x:v>الحجم غير محدد في المرجع.</x:v>
      </x:c>
    </x:row>
    <x:row r="204">
      <x:c r="A204" s="18" t="str">
        <x:v>جين</x:v>
      </x:c>
      <x:c r="B204" s="20" t="str">
        <x:v>Gin</x:v>
      </x:c>
      <x:c r="C204" s="20" t="str">
        <x:v>DRK-ALC-GIN</x:v>
      </x:c>
      <x:c r="D204" s="18" t="str">
        <x:v>مشروبات ومستلزمات</x:v>
      </x:c>
      <x:c r="E204" s="18" t="str">
        <x:v>لتر</x:v>
      </x:c>
      <x:c r="F204" s="22"/>
      <x:c r="G204" s="22"/>
      <x:c r="H204" s="22"/>
      <x:c r="I204" s="18"/>
      <x:c r="J204" s="18" t="str">
        <x:v>لكوكتيل الجن بالحبق.</x:v>
      </x:c>
    </x:row>
    <x:row r="205">
      <x:c r="A205" s="18" t="str">
        <x:v>ويسكي</x:v>
      </x:c>
      <x:c r="B205" s="20" t="str">
        <x:v>Whiskey</x:v>
      </x:c>
      <x:c r="C205" s="20" t="str">
        <x:v>DRK-ALC-WHISKEY</x:v>
      </x:c>
      <x:c r="D205" s="18" t="str">
        <x:v>مشروبات ومستلزمات</x:v>
      </x:c>
      <x:c r="E205" s="18" t="str">
        <x:v>لتر</x:v>
      </x:c>
      <x:c r="F205" s="22"/>
      <x:c r="G205" s="22"/>
      <x:c r="H205" s="22"/>
      <x:c r="I205" s="18"/>
      <x:c r="J205" s="18" t="str"/>
    </x:row>
    <x:row r="206">
      <x:c r="A206" s="18" t="str">
        <x:v>روم أبيض</x:v>
      </x:c>
      <x:c r="B206" s="20" t="str">
        <x:v>White Rum</x:v>
      </x:c>
      <x:c r="C206" s="20" t="str">
        <x:v>DRK-ALC-RUM-WHITE</x:v>
      </x:c>
      <x:c r="D206" s="18" t="str">
        <x:v>مشروبات ومستلزمات</x:v>
      </x:c>
      <x:c r="E206" s="18" t="str">
        <x:v>لتر</x:v>
      </x:c>
      <x:c r="F206" s="22"/>
      <x:c r="G206" s="22"/>
      <x:c r="H206" s="22"/>
      <x:c r="I206" s="18"/>
      <x:c r="J206" s="18" t="str">
        <x:v>للموهيتو.</x:v>
      </x:c>
    </x:row>
    <x:row r="207">
      <x:c r="A207" s="18" t="str">
        <x:v>تيكيلا</x:v>
      </x:c>
      <x:c r="B207" s="20" t="str">
        <x:v>Tequila</x:v>
      </x:c>
      <x:c r="C207" s="20" t="str">
        <x:v>DRK-ALC-TEQUILA</x:v>
      </x:c>
      <x:c r="D207" s="18" t="str">
        <x:v>مشروبات ومستلزمات</x:v>
      </x:c>
      <x:c r="E207" s="18" t="str">
        <x:v>لتر</x:v>
      </x:c>
      <x:c r="F207" s="22"/>
      <x:c r="G207" s="22"/>
      <x:c r="H207" s="22"/>
      <x:c r="I207" s="18"/>
      <x:c r="J207" s="18" t="str"/>
    </x:row>
    <x:row r="208">
      <x:c r="A208" s="18" t="str">
        <x:v>نبيذ أحمر</x:v>
      </x:c>
      <x:c r="B208" s="20" t="str">
        <x:v>Red Wine</x:v>
      </x:c>
      <x:c r="C208" s="20" t="str">
        <x:v>DRK-ALC-WINE-RED</x:v>
      </x:c>
      <x:c r="D208" s="18" t="str">
        <x:v>مشروبات ومستلزمات</x:v>
      </x:c>
      <x:c r="E208" s="18" t="str">
        <x:v>زجاجة</x:v>
      </x:c>
      <x:c r="F208" s="22"/>
      <x:c r="G208" s="22"/>
      <x:c r="H208" s="22"/>
      <x:c r="I208" s="18"/>
      <x:c r="J208" s="18" t="str"/>
    </x:row>
    <x:row r="209">
      <x:c r="A209" s="18" t="str">
        <x:v>نبيذ أبيض</x:v>
      </x:c>
      <x:c r="B209" s="20" t="str">
        <x:v>White Wine</x:v>
      </x:c>
      <x:c r="C209" s="20" t="str">
        <x:v>DRK-ALC-WINE-WHITE</x:v>
      </x:c>
      <x:c r="D209" s="18" t="str">
        <x:v>مشروبات ومستلزمات</x:v>
      </x:c>
      <x:c r="E209" s="18" t="str">
        <x:v>زجاجة</x:v>
      </x:c>
      <x:c r="F209" s="22"/>
      <x:c r="G209" s="22"/>
      <x:c r="H209" s="22"/>
      <x:c r="I209" s="18"/>
      <x:c r="J209" s="18" t="str"/>
    </x:row>
    <x:row r="210">
      <x:c r="A210" s="18" t="str">
        <x:v>زيتون أخضر</x:v>
      </x:c>
      <x:c r="B210" s="20" t="str">
        <x:v>Green Olives</x:v>
      </x:c>
      <x:c r="C210" s="20" t="str">
        <x:v>ING-PICKLE-GREENOLIVE</x:v>
      </x:c>
      <x:c r="D210" s="18" t="str">
        <x:v>مكوّن</x:v>
      </x:c>
      <x:c r="E210" s="18" t="str">
        <x:v>كغ</x:v>
      </x:c>
      <x:c r="F210" s="22"/>
      <x:c r="G210" s="22"/>
      <x:c r="H210" s="22"/>
      <x:c r="I210" s="18"/>
      <x:c r="J210" s="18" t="str">
        <x:v>للشوت مع تاباسكو وللمازات.</x:v>
      </x:c>
    </x:row>
    <x:row r="211">
      <x:c r="A211" s="18" t="str">
        <x:v>سكر</x:v>
      </x:c>
      <x:c r="B211" s="20" t="str">
        <x:v>Sugar</x:v>
      </x:c>
      <x:c r="C211" s="20" t="str">
        <x:v>ING-SWEET-SUGAR</x:v>
      </x:c>
      <x:c r="D211" s="18" t="str">
        <x:v>مكوّن</x:v>
      </x:c>
      <x:c r="E211" s="18" t="str">
        <x:v>كغ</x:v>
      </x:c>
      <x:c r="F211" s="22"/>
      <x:c r="G211" s="22"/>
      <x:c r="H211" s="22" t="n">
        <x:v>10000</x:v>
      </x:c>
      <x:c r="I211" s="18"/>
      <x:c r="J211" s="18" t="str">
        <x:v>مرجع سعر المشروع: 10,000 ل.س/كغ.</x:v>
      </x:c>
    </x:row>
    <x:row r="212">
      <x:c r="A212" s="18" t="str">
        <x:v>فستق</x:v>
      </x:c>
      <x:c r="B212" s="20" t="str">
        <x:v>Pistachios</x:v>
      </x:c>
      <x:c r="C212" s="20" t="str">
        <x:v>ING-NUT-PISTACHIO</x:v>
      </x:c>
      <x:c r="D212" s="18" t="str">
        <x:v>مكوّن</x:v>
      </x:c>
      <x:c r="E212" s="18" t="str">
        <x:v>كغ</x:v>
      </x:c>
      <x:c r="F212" s="22"/>
      <x:c r="G212" s="22"/>
      <x:c r="H212" s="22" t="n">
        <x:v>75000</x:v>
      </x:c>
      <x:c r="I212" s="18"/>
      <x:c r="J212" s="18" t="str">
        <x:v>مرجع سعر المشروع: 75,000 ل.س/كغ.</x:v>
      </x:c>
    </x:row>
    <x:row r="213">
      <x:c r="A213" s="18" t="str">
        <x:v>فول سوداني</x:v>
      </x:c>
      <x:c r="B213" s="20" t="str">
        <x:v>Peanuts</x:v>
      </x:c>
      <x:c r="C213" s="20" t="str">
        <x:v>ING-NUT-PEANUT</x:v>
      </x:c>
      <x:c r="D213" s="18" t="str">
        <x:v>مكوّن</x:v>
      </x:c>
      <x:c r="E213" s="18" t="str">
        <x:v>كغ</x:v>
      </x:c>
      <x:c r="F213" s="22"/>
      <x:c r="G213" s="22"/>
      <x:c r="H213" s="22"/>
      <x:c r="I213" s="18"/>
      <x:c r="J213" s="18" t="str"/>
    </x:row>
    <x:row r="214">
      <x:c r="A214" s="18" t="str">
        <x:v>مكسرات مشكلة</x:v>
      </x:c>
      <x:c r="B214" s="20" t="str">
        <x:v>Mixed Nuts</x:v>
      </x:c>
      <x:c r="C214" s="20" t="str">
        <x:v>ING-NUT-MIXED</x:v>
      </x:c>
      <x:c r="D214" s="18" t="str">
        <x:v>مكوّن</x:v>
      </x:c>
      <x:c r="E214" s="18" t="str">
        <x:v>كغ</x:v>
      </x:c>
      <x:c r="F214" s="22"/>
      <x:c r="G214" s="22"/>
      <x:c r="H214" s="22" t="n">
        <x:v>50000</x:v>
      </x:c>
      <x:c r="I214" s="18"/>
      <x:c r="J214" s="18" t="str">
        <x:v>سُجّل المرجع كذرة/مكسرات محمصة: 50,000 ل.س/كغ؛ تحقق من الصنف.</x:v>
      </x:c>
    </x:row>
    <x:row r="215">
      <x:c r="A215" s="18" t="str">
        <x:v>ذرة محمصة</x:v>
      </x:c>
      <x:c r="B215" s="20" t="str">
        <x:v>Roasted Corn Nuts</x:v>
      </x:c>
      <x:c r="C215" s="20" t="str">
        <x:v>ING-SNACK-ROASTEDCORN</x:v>
      </x:c>
      <x:c r="D215" s="18" t="str">
        <x:v>مكوّن</x:v>
      </x:c>
      <x:c r="E215" s="18" t="str">
        <x:v>كغ</x:v>
      </x:c>
      <x:c r="F215" s="22"/>
      <x:c r="G215" s="22"/>
      <x:c r="H215" s="22" t="n">
        <x:v>50000</x:v>
      </x:c>
      <x:c r="I215" s="18"/>
      <x:c r="J215" s="18" t="str">
        <x:v>سُجّل المرجع كذرة/مكسرات محمصة: 50,000 ل.س/كغ؛ تحقق من الصنف.</x:v>
      </x:c>
    </x:row>
    <x:row r="216">
      <x:c r="A216" s="18" t="str">
        <x:v>شيبس بطاطا</x:v>
      </x:c>
      <x:c r="B216" s="20" t="str">
        <x:v>Potato Chips</x:v>
      </x:c>
      <x:c r="C216" s="20" t="str">
        <x:v>DRK-SNACK-CHIPS</x:v>
      </x:c>
      <x:c r="D216" s="18" t="str">
        <x:v>مشروبات ومستلزمات</x:v>
      </x:c>
      <x:c r="E216" s="18" t="str">
        <x:v>عبوة</x:v>
      </x:c>
      <x:c r="F216" s="22"/>
      <x:c r="G216" s="22"/>
      <x:c r="H216" s="22"/>
      <x:c r="I216" s="18"/>
      <x:c r="J216" s="18" t="str"/>
    </x:row>
    <x:row r="217">
      <x:c r="A217" s="18" t="str">
        <x:v>بسكويت</x:v>
      </x:c>
      <x:c r="B217" s="20" t="str">
        <x:v>Biscuits</x:v>
      </x:c>
      <x:c r="C217" s="20" t="str">
        <x:v>DRK-SNACK-BISCUIT</x:v>
      </x:c>
      <x:c r="D217" s="18" t="str">
        <x:v>مشروبات ومستلزمات</x:v>
      </x:c>
      <x:c r="E217" s="18" t="str">
        <x:v>عبوة</x:v>
      </x:c>
      <x:c r="F217" s="22"/>
      <x:c r="G217" s="22"/>
      <x:c r="H217" s="22"/>
      <x:c r="I217" s="18"/>
      <x:c r="J217" s="18" t="str"/>
    </x:row>
    <x:row r="218">
      <x:c r="A218" s="18" t="str">
        <x:v>ألواح شوكولا</x:v>
      </x:c>
      <x:c r="B218" s="20" t="str">
        <x:v>Chocolate Bars</x:v>
      </x:c>
      <x:c r="C218" s="20" t="str">
        <x:v>DRK-SNACK-CHOCBAR</x:v>
      </x:c>
      <x:c r="D218" s="18" t="str">
        <x:v>مشروبات ومستلزمات</x:v>
      </x:c>
      <x:c r="E218" s="18" t="str">
        <x:v>قطعة</x:v>
      </x:c>
      <x:c r="F218" s="22"/>
      <x:c r="G218" s="22"/>
      <x:c r="H218" s="22"/>
      <x:c r="I218" s="18"/>
      <x:c r="J218" s="18" t="str"/>
    </x:row>
    <x:row r="219">
      <x:c r="A219" s="18" t="str">
        <x:v>حلويات صغيرة</x:v>
      </x:c>
      <x:c r="B219" s="20" t="str">
        <x:v>Candy</x:v>
      </x:c>
      <x:c r="C219" s="20" t="str">
        <x:v>DRK-SNACK-CANDY</x:v>
      </x:c>
      <x:c r="D219" s="18" t="str">
        <x:v>مشروبات ومستلزمات</x:v>
      </x:c>
      <x:c r="E219" s="18" t="str">
        <x:v>قطعة</x:v>
      </x:c>
      <x:c r="F219" s="22"/>
      <x:c r="G219" s="22"/>
      <x:c r="H219" s="22"/>
      <x:c r="I219" s="18"/>
      <x:c r="J219" s="18" t="str"/>
    </x:row>
    <x:row r="220">
      <x:c r="A220" s="18" t="str">
        <x:v>صنوبر</x:v>
      </x:c>
      <x:c r="B220" s="20" t="str">
        <x:v>Pine Nuts</x:v>
      </x:c>
      <x:c r="C220" s="20" t="str">
        <x:v>ING-NUT-PINENUT</x:v>
      </x:c>
      <x:c r="D220" s="18" t="str">
        <x:v>مكوّن</x:v>
      </x:c>
      <x:c r="E220" s="18" t="str">
        <x:v>كغ</x:v>
      </x:c>
      <x:c r="F220" s="22"/>
      <x:c r="G220" s="22"/>
      <x:c r="H220" s="22"/>
      <x:c r="I220" s="18"/>
      <x:c r="J220" s="18" t="str">
        <x:v>للجلاب وبعض الأطباق.</x:v>
      </x:c>
    </x:row>
    <x:row r="221">
      <x:c r="A221" s="18" t="str">
        <x:v>زبيب</x:v>
      </x:c>
      <x:c r="B221" s="20" t="str">
        <x:v>Raisins</x:v>
      </x:c>
      <x:c r="C221" s="20" t="str">
        <x:v>ING-DRY-RAISIN</x:v>
      </x:c>
      <x:c r="D221" s="18" t="str">
        <x:v>مكوّن</x:v>
      </x:c>
      <x:c r="E221" s="18" t="str">
        <x:v>كغ</x:v>
      </x:c>
      <x:c r="F221" s="22"/>
      <x:c r="G221" s="22"/>
      <x:c r="H221" s="22"/>
      <x:c r="I221" s="18"/>
      <x:c r="J221" s="18" t="str">
        <x:v>للجلاب والأرز والأطباق الموسمية.</x:v>
      </x:c>
    </x:row>
    <x:row r="222">
      <x:c r="A222" s="18" t="str">
        <x:v>أكواب ساخنة صغيرة</x:v>
      </x:c>
      <x:c r="B222" s="20" t="str">
        <x:v>Small Hot Cups</x:v>
      </x:c>
      <x:c r="C222" s="20" t="str">
        <x:v>PKG-CUP-HOT-S</x:v>
      </x:c>
      <x:c r="D222" s="18" t="str">
        <x:v>تغليف</x:v>
      </x:c>
      <x:c r="E222" s="18" t="str">
        <x:v>عبوة</x:v>
      </x:c>
      <x:c r="F222" s="22"/>
      <x:c r="G222" s="22"/>
      <x:c r="H222" s="22"/>
      <x:c r="I222" s="18"/>
      <x:c r="J222" s="18" t="str"/>
    </x:row>
    <x:row r="223">
      <x:c r="A223" s="18" t="str">
        <x:v>أكواب ساخنة كبيرة</x:v>
      </x:c>
      <x:c r="B223" s="20" t="str">
        <x:v>Large Hot Cups</x:v>
      </x:c>
      <x:c r="C223" s="20" t="str">
        <x:v>PKG-CUP-HOT-L</x:v>
      </x:c>
      <x:c r="D223" s="18" t="str">
        <x:v>تغليف</x:v>
      </x:c>
      <x:c r="E223" s="18" t="str">
        <x:v>عبوة</x:v>
      </x:c>
      <x:c r="F223" s="22"/>
      <x:c r="G223" s="22"/>
      <x:c r="H223" s="22"/>
      <x:c r="I223" s="18"/>
      <x:c r="J223" s="18" t="str"/>
    </x:row>
    <x:row r="224">
      <x:c r="A224" s="18" t="str">
        <x:v>أكواب باردة</x:v>
      </x:c>
      <x:c r="B224" s="20" t="str">
        <x:v>Cold Drink Cups</x:v>
      </x:c>
      <x:c r="C224" s="20" t="str">
        <x:v>PKG-CUP-COLD</x:v>
      </x:c>
      <x:c r="D224" s="18" t="str">
        <x:v>تغليف</x:v>
      </x:c>
      <x:c r="E224" s="18" t="str">
        <x:v>عبوة</x:v>
      </x:c>
      <x:c r="F224" s="22"/>
      <x:c r="G224" s="22"/>
      <x:c r="H224" s="22"/>
      <x:c r="I224" s="18"/>
      <x:c r="J224" s="18" t="str"/>
    </x:row>
    <x:row r="225">
      <x:c r="A225" s="18" t="str">
        <x:v>أغطية أكواب ساخنة</x:v>
      </x:c>
      <x:c r="B225" s="20" t="str">
        <x:v>Hot Cup Lids</x:v>
      </x:c>
      <x:c r="C225" s="20" t="str">
        <x:v>PKG-LID-HOT</x:v>
      </x:c>
      <x:c r="D225" s="18" t="str">
        <x:v>تغليف</x:v>
      </x:c>
      <x:c r="E225" s="18" t="str">
        <x:v>عبوة</x:v>
      </x:c>
      <x:c r="F225" s="22"/>
      <x:c r="G225" s="22"/>
      <x:c r="H225" s="22"/>
      <x:c r="I225" s="18"/>
      <x:c r="J225" s="18" t="str"/>
    </x:row>
    <x:row r="226">
      <x:c r="A226" s="18" t="str">
        <x:v>أغطية أكواب باردة</x:v>
      </x:c>
      <x:c r="B226" s="20" t="str">
        <x:v>Cold Cup Lids</x:v>
      </x:c>
      <x:c r="C226" s="20" t="str">
        <x:v>PKG-LID-COLD</x:v>
      </x:c>
      <x:c r="D226" s="18" t="str">
        <x:v>تغليف</x:v>
      </x:c>
      <x:c r="E226" s="18" t="str">
        <x:v>عبوة</x:v>
      </x:c>
      <x:c r="F226" s="22"/>
      <x:c r="G226" s="22"/>
      <x:c r="H226" s="22"/>
      <x:c r="I226" s="18"/>
      <x:c r="J226" s="18" t="str"/>
    </x:row>
    <x:row r="227">
      <x:c r="A227" s="18" t="str">
        <x:v>شفاطات</x:v>
      </x:c>
      <x:c r="B227" s="20" t="str">
        <x:v>Drinking Straws</x:v>
      </x:c>
      <x:c r="C227" s="20" t="str">
        <x:v>PKG-STRAW</x:v>
      </x:c>
      <x:c r="D227" s="18" t="str">
        <x:v>تغليف</x:v>
      </x:c>
      <x:c r="E227" s="18" t="str">
        <x:v>عبوة</x:v>
      </x:c>
      <x:c r="F227" s="22"/>
      <x:c r="G227" s="22"/>
      <x:c r="H227" s="22"/>
      <x:c r="I227" s="18"/>
      <x:c r="J227" s="18" t="str"/>
    </x:row>
    <x:row r="228">
      <x:c r="A228" s="18" t="str">
        <x:v>عيدان تحريك</x:v>
      </x:c>
      <x:c r="B228" s="20" t="str">
        <x:v>Drink Stirrers</x:v>
      </x:c>
      <x:c r="C228" s="20" t="str">
        <x:v>PKG-STIRRER</x:v>
      </x:c>
      <x:c r="D228" s="18" t="str">
        <x:v>تغليف</x:v>
      </x:c>
      <x:c r="E228" s="18" t="str">
        <x:v>عبوة</x:v>
      </x:c>
      <x:c r="F228" s="22"/>
      <x:c r="G228" s="22"/>
      <x:c r="H228" s="22"/>
      <x:c r="I228" s="18"/>
      <x:c r="J228" s="18" t="str"/>
    </x:row>
    <x:row r="229">
      <x:c r="A229" s="18" t="str">
        <x:v>مناديل سفرة</x:v>
      </x:c>
      <x:c r="B229" s="20" t="str">
        <x:v>Table Napkins</x:v>
      </x:c>
      <x:c r="C229" s="20" t="str">
        <x:v>PKG-NAPKIN</x:v>
      </x:c>
      <x:c r="D229" s="18" t="str">
        <x:v>تغليف</x:v>
      </x:c>
      <x:c r="E229" s="18" t="str">
        <x:v>عبوة</x:v>
      </x:c>
      <x:c r="F229" s="22"/>
      <x:c r="G229" s="22"/>
      <x:c r="H229" s="22"/>
      <x:c r="I229" s="18"/>
      <x:c r="J229" s="18" t="str"/>
    </x:row>
    <x:row r="230">
      <x:c r="A230" s="18" t="str">
        <x:v>ورق سندويش</x:v>
      </x:c>
      <x:c r="B230" s="20" t="str">
        <x:v>Sandwich Wrapping Paper</x:v>
      </x:c>
      <x:c r="C230" s="20" t="str">
        <x:v>PKG-SANDWICH-PAPER</x:v>
      </x:c>
      <x:c r="D230" s="18" t="str">
        <x:v>تغليف</x:v>
      </x:c>
      <x:c r="E230" s="18" t="str">
        <x:v>عبوة</x:v>
      </x:c>
      <x:c r="F230" s="22"/>
      <x:c r="G230" s="22"/>
      <x:c r="H230" s="22"/>
      <x:c r="I230" s="18"/>
      <x:c r="J230" s="18" t="str"/>
    </x:row>
    <x:row r="231">
      <x:c r="A231" s="18" t="str">
        <x:v>ورق مقاوم للدهون</x:v>
      </x:c>
      <x:c r="B231" s="20" t="str">
        <x:v>Greaseproof Paper</x:v>
      </x:c>
      <x:c r="C231" s="20" t="str">
        <x:v>PKG-GREASEPAPER</x:v>
      </x:c>
      <x:c r="D231" s="18" t="str">
        <x:v>تغليف</x:v>
      </x:c>
      <x:c r="E231" s="18" t="str">
        <x:v>عبوة</x:v>
      </x:c>
      <x:c r="F231" s="22"/>
      <x:c r="G231" s="22"/>
      <x:c r="H231" s="22"/>
      <x:c r="I231" s="18"/>
      <x:c r="J231" s="18" t="str"/>
    </x:row>
    <x:row r="232">
      <x:c r="A232" s="18" t="str">
        <x:v>علب طعام سفري</x:v>
      </x:c>
      <x:c r="B232" s="20" t="str">
        <x:v>Takeaway Food Boxes</x:v>
      </x:c>
      <x:c r="C232" s="20" t="str">
        <x:v>PKG-FOOD-BOX</x:v>
      </x:c>
      <x:c r="D232" s="18" t="str">
        <x:v>تغليف</x:v>
      </x:c>
      <x:c r="E232" s="18" t="str">
        <x:v>عبوة</x:v>
      </x:c>
      <x:c r="F232" s="22"/>
      <x:c r="G232" s="22"/>
      <x:c r="H232" s="22"/>
      <x:c r="I232" s="18"/>
      <x:c r="J232" s="18" t="str"/>
    </x:row>
    <x:row r="233">
      <x:c r="A233" s="18" t="str">
        <x:v>أكياس ورقية</x:v>
      </x:c>
      <x:c r="B233" s="20" t="str">
        <x:v>Paper Bags</x:v>
      </x:c>
      <x:c r="C233" s="20" t="str">
        <x:v>PKG-PAPER-BAG</x:v>
      </x:c>
      <x:c r="D233" s="18" t="str">
        <x:v>تغليف</x:v>
      </x:c>
      <x:c r="E233" s="18" t="str">
        <x:v>عبوة</x:v>
      </x:c>
      <x:c r="F233" s="22"/>
      <x:c r="G233" s="22"/>
      <x:c r="H233" s="22"/>
      <x:c r="I233" s="18"/>
      <x:c r="J233" s="18" t="str"/>
    </x:row>
    <x:row r="234">
      <x:c r="A234" s="18" t="str">
        <x:v>ورق ألمنيوم</x:v>
      </x:c>
      <x:c r="B234" s="20" t="str">
        <x:v>Aluminium Foil</x:v>
      </x:c>
      <x:c r="C234" s="20" t="str">
        <x:v>PKG-FOIL</x:v>
      </x:c>
      <x:c r="D234" s="18" t="str">
        <x:v>تغليف</x:v>
      </x:c>
      <x:c r="E234" s="18" t="str">
        <x:v>عبوة</x:v>
      </x:c>
      <x:c r="F234" s="22"/>
      <x:c r="G234" s="22"/>
      <x:c r="H234" s="22"/>
      <x:c r="I234" s="18"/>
      <x:c r="J234" s="18" t="str"/>
    </x:row>
    <x:row r="235">
      <x:c r="A235" s="18" t="str">
        <x:v>نايلون تغليف</x:v>
      </x:c>
      <x:c r="B235" s="20" t="str">
        <x:v>Cling Film</x:v>
      </x:c>
      <x:c r="C235" s="20" t="str">
        <x:v>PKG-CLINGFILM</x:v>
      </x:c>
      <x:c r="D235" s="18" t="str">
        <x:v>تغليف</x:v>
      </x:c>
      <x:c r="E235" s="18" t="str">
        <x:v>عبوة</x:v>
      </x:c>
      <x:c r="F235" s="22"/>
      <x:c r="G235" s="22"/>
      <x:c r="H235" s="22"/>
      <x:c r="I235" s="18"/>
      <x:c r="J235" s="18" t="str"/>
    </x:row>
    <x:row r="236">
      <x:c r="A236" s="18" t="str">
        <x:v>قفازات استخدام واحد</x:v>
      </x:c>
      <x:c r="B236" s="20" t="str">
        <x:v>Disposable Gloves</x:v>
      </x:c>
      <x:c r="C236" s="20" t="str">
        <x:v>PKG-GLOVES</x:v>
      </x:c>
      <x:c r="D236" s="18" t="str">
        <x:v>تغليف</x:v>
      </x:c>
      <x:c r="E236" s="18" t="str">
        <x:v>عبوة</x:v>
      </x:c>
      <x:c r="F236" s="22"/>
      <x:c r="G236" s="22"/>
      <x:c r="H236" s="22"/>
      <x:c r="I236" s="18"/>
      <x:c r="J236" s="18" t="str"/>
    </x:row>
    <x:row r="237">
      <x:c r="A237" s="18" t="str">
        <x:v>أعواد أسنان</x:v>
      </x:c>
      <x:c r="B237" s="20" t="str">
        <x:v>Toothpicks</x:v>
      </x:c>
      <x:c r="C237" s="20" t="str">
        <x:v>PKG-TOOTHPICK</x:v>
      </x:c>
      <x:c r="D237" s="18" t="str">
        <x:v>تغليف</x:v>
      </x:c>
      <x:c r="E237" s="18" t="str">
        <x:v>عبوة</x:v>
      </x:c>
      <x:c r="F237" s="22"/>
      <x:c r="G237" s="22"/>
      <x:c r="H237" s="22"/>
      <x:c r="I237" s="18"/>
      <x:c r="J237" s="18" t="str"/>
    </x:row>
    <x:row r="238">
      <x:c r="A238" s="18" t="str">
        <x:v>ملصقات المنتجات</x:v>
      </x:c>
      <x:c r="B238" s="20" t="str">
        <x:v>Product Stickers</x:v>
      </x:c>
      <x:c r="C238" s="20" t="str">
        <x:v>PKG-STICKER</x:v>
      </x:c>
      <x:c r="D238" s="18" t="str">
        <x:v>تغليف</x:v>
      </x:c>
      <x:c r="E238" s="18" t="str">
        <x:v>عبوة</x:v>
      </x:c>
      <x:c r="F238" s="22"/>
      <x:c r="G238" s="22"/>
      <x:c r="H238" s="22"/>
      <x:c r="I238" s="18"/>
      <x:c r="J238" s="18" t="str"/>
    </x:row>
    <x:row r="239">
      <x:c r="A239" s="18" t="str">
        <x:v>رول إيصالات</x:v>
      </x:c>
      <x:c r="B239" s="20" t="str">
        <x:v>Receipt Paper Roll</x:v>
      </x:c>
      <x:c r="C239" s="20" t="str">
        <x:v>EQP-RECEIPT-ROLL</x:v>
      </x:c>
      <x:c r="D239" s="18" t="str">
        <x:v>مستهلكات معدات</x:v>
      </x:c>
      <x:c r="E239" s="18" t="str">
        <x:v>قطعة</x:v>
      </x:c>
      <x:c r="F239" s="22"/>
      <x:c r="G239" s="22"/>
      <x:c r="H239" s="22"/>
      <x:c r="I239" s="18"/>
      <x:c r="J239" s="18" t="str"/>
    </x:row>
    <x:row r="240">
      <x:c r="A240" s="18" t="str">
        <x:v>محارم</x:v>
      </x:c>
      <x:c r="B240" s="20" t="str">
        <x:v>Tissues</x:v>
      </x:c>
      <x:c r="C240" s="20" t="str">
        <x:v>CLN-TISSUE-BOX</x:v>
      </x:c>
      <x:c r="D240" s="18" t="str">
        <x:v>تنظيف</x:v>
      </x:c>
      <x:c r="E240" s="18" t="str">
        <x:v>صندوق</x:v>
      </x:c>
      <x:c r="F240" s="22"/>
      <x:c r="G240" s="22"/>
      <x:c r="H240" s="22" t="n">
        <x:v>15000</x:v>
      </x:c>
      <x:c r="I240" s="18"/>
      <x:c r="J240" s="18" t="str">
        <x:v>مرجع سعر المشروع: 15,000 ل.س/علبة.</x:v>
      </x:c>
    </x:row>
    <x:row r="241">
      <x:c r="A241" s="18" t="str">
        <x:v>سائل جلي بوفالو</x:v>
      </x:c>
      <x:c r="B241" s="20" t="str">
        <x:v>Buffalo Dishwashing Liquid</x:v>
      </x:c>
      <x:c r="C241" s="20" t="str">
        <x:v>CLN-DISH-BUFFALO</x:v>
      </x:c>
      <x:c r="D241" s="18" t="str">
        <x:v>تنظيف</x:v>
      </x:c>
      <x:c r="E241" s="18" t="str">
        <x:v>عبوة</x:v>
      </x:c>
      <x:c r="F241" s="22"/>
      <x:c r="G241" s="22"/>
      <x:c r="H241" s="22" t="n">
        <x:v>14000</x:v>
      </x:c>
      <x:c r="I241" s="18"/>
      <x:c r="J241" s="18" t="str">
        <x:v>مرجع سعر المشروع: 14,000 ل.س/عبوة.</x:v>
      </x:c>
    </x:row>
    <x:row r="242">
      <x:c r="A242" s="18" t="str">
        <x:v>معطر بوفالو</x:v>
      </x:c>
      <x:c r="B242" s="20" t="str">
        <x:v>Buffalo Air Freshener</x:v>
      </x:c>
      <x:c r="C242" s="20" t="str">
        <x:v>CLN-AIR-BUFFALO</x:v>
      </x:c>
      <x:c r="D242" s="18" t="str">
        <x:v>تنظيف</x:v>
      </x:c>
      <x:c r="E242" s="18" t="str">
        <x:v>عبوة</x:v>
      </x:c>
      <x:c r="F242" s="22"/>
      <x:c r="G242" s="22"/>
      <x:c r="H242" s="22" t="n">
        <x:v>15000</x:v>
      </x:c>
      <x:c r="I242" s="18"/>
      <x:c r="J242" s="18" t="str">
        <x:v>حجم العبوة غير محدد.</x:v>
      </x:c>
    </x:row>
    <x:row r="243">
      <x:c r="A243" s="18" t="str">
        <x:v>كلور نورة</x:v>
      </x:c>
      <x:c r="B243" s="20" t="str">
        <x:v>Noura Bleach</x:v>
      </x:c>
      <x:c r="C243" s="20" t="str">
        <x:v>CLN-BLEACH-NOURA</x:v>
      </x:c>
      <x:c r="D243" s="18" t="str">
        <x:v>تنظيف</x:v>
      </x:c>
      <x:c r="E243" s="18" t="str">
        <x:v>زجاجة</x:v>
      </x:c>
      <x:c r="F243" s="22"/>
      <x:c r="G243" s="22"/>
      <x:c r="H243" s="22" t="n">
        <x:v>2000</x:v>
      </x:c>
      <x:c r="I243" s="18"/>
      <x:c r="J243" s="18" t="str">
        <x:v>750 مل + 50% مجاني.</x:v>
      </x:c>
    </x:row>
    <x:row r="244">
      <x:c r="A244" s="18" t="str">
        <x:v>منظف أرضيات</x:v>
      </x:c>
      <x:c r="B244" s="20" t="str">
        <x:v>Floor Cleaner</x:v>
      </x:c>
      <x:c r="C244" s="20" t="str">
        <x:v>CLN-FLOOR</x:v>
      </x:c>
      <x:c r="D244" s="18" t="str">
        <x:v>تنظيف</x:v>
      </x:c>
      <x:c r="E244" s="18" t="str">
        <x:v>لتر</x:v>
      </x:c>
      <x:c r="F244" s="22"/>
      <x:c r="G244" s="22"/>
      <x:c r="H244" s="22"/>
      <x:c r="I244" s="18"/>
      <x:c r="J244" s="18" t="str"/>
    </x:row>
    <x:row r="245">
      <x:c r="A245" s="18" t="str">
        <x:v>معقم أسطح</x:v>
      </x:c>
      <x:c r="B245" s="20" t="str">
        <x:v>Surface Disinfectant</x:v>
      </x:c>
      <x:c r="C245" s="20" t="str">
        <x:v>CLN-SURFACE-DISINFECT</x:v>
      </x:c>
      <x:c r="D245" s="18" t="str">
        <x:v>تنظيف</x:v>
      </x:c>
      <x:c r="E245" s="18" t="str">
        <x:v>لتر</x:v>
      </x:c>
      <x:c r="F245" s="22"/>
      <x:c r="G245" s="22"/>
      <x:c r="H245" s="22"/>
      <x:c r="I245" s="18"/>
      <x:c r="J245" s="18" t="str"/>
    </x:row>
    <x:row r="246">
      <x:c r="A246" s="18" t="str">
        <x:v>صابون يدين</x:v>
      </x:c>
      <x:c r="B246" s="20" t="str">
        <x:v>Hand Soap</x:v>
      </x:c>
      <x:c r="C246" s="20" t="str">
        <x:v>CLN-HANDSOAP</x:v>
      </x:c>
      <x:c r="D246" s="18" t="str">
        <x:v>تنظيف</x:v>
      </x:c>
      <x:c r="E246" s="18" t="str">
        <x:v>لتر</x:v>
      </x:c>
      <x:c r="F246" s="22"/>
      <x:c r="G246" s="22"/>
      <x:c r="H246" s="22"/>
      <x:c r="I246" s="18"/>
      <x:c r="J246" s="18" t="str"/>
    </x:row>
    <x:row r="247">
      <x:c r="A247" s="18" t="str">
        <x:v>مناديل مطبخ</x:v>
      </x:c>
      <x:c r="B247" s="20" t="str">
        <x:v>Kitchen Paper Towels</x:v>
      </x:c>
      <x:c r="C247" s="20" t="str">
        <x:v>CLN-KITCHEN-TOWEL</x:v>
      </x:c>
      <x:c r="D247" s="18" t="str">
        <x:v>تنظيف</x:v>
      </x:c>
      <x:c r="E247" s="18" t="str">
        <x:v>عبوة</x:v>
      </x:c>
      <x:c r="F247" s="22"/>
      <x:c r="G247" s="22"/>
      <x:c r="H247" s="22"/>
      <x:c r="I247" s="18"/>
      <x:c r="J247" s="18" t="str"/>
    </x:row>
    <x:row r="248">
      <x:c r="A248" s="18" t="str">
        <x:v>إسفنج جلي</x:v>
      </x:c>
      <x:c r="B248" s="20" t="str">
        <x:v>Dish Sponge</x:v>
      </x:c>
      <x:c r="C248" s="20" t="str">
        <x:v>CLN-SPONGE</x:v>
      </x:c>
      <x:c r="D248" s="18" t="str">
        <x:v>تنظيف</x:v>
      </x:c>
      <x:c r="E248" s="18" t="str">
        <x:v>قطعة</x:v>
      </x:c>
      <x:c r="F248" s="22"/>
      <x:c r="G248" s="22"/>
      <x:c r="H248" s="22"/>
      <x:c r="I248" s="18"/>
      <x:c r="J248" s="18" t="str"/>
    </x:row>
    <x:row r="249">
      <x:c r="A249" s="18" t="str">
        <x:v>أكياس قمامة</x:v>
      </x:c>
      <x:c r="B249" s="20" t="str">
        <x:v>Garbage Bags</x:v>
      </x:c>
      <x:c r="C249" s="20" t="str">
        <x:v>CLN-GARBAGE-BAG</x:v>
      </x:c>
      <x:c r="D249" s="18" t="str">
        <x:v>تنظيف</x:v>
      </x:c>
      <x:c r="E249" s="18" t="str">
        <x:v>عبوة</x:v>
      </x:c>
      <x:c r="F249" s="22"/>
      <x:c r="G249" s="22"/>
      <x:c r="H249" s="22"/>
      <x:c r="I249" s="18"/>
      <x:c r="J249" s="18" t="str"/>
    </x:row>
    <x:row r="250">
      <x:c r="A250" s="18" t="str">
        <x:v>فلاتر قهوة ورقية</x:v>
      </x:c>
      <x:c r="B250" s="20" t="str">
        <x:v>Paper Coffee Filters</x:v>
      </x:c>
      <x:c r="C250" s="20" t="str">
        <x:v>EQP-COFFEE-FILTER</x:v>
      </x:c>
      <x:c r="D250" s="18" t="str">
        <x:v>مستهلكات معدات</x:v>
      </x:c>
      <x:c r="E250" s="18" t="str">
        <x:v>عبوة</x:v>
      </x:c>
      <x:c r="F250" s="22"/>
      <x:c r="G250" s="22"/>
      <x:c r="H250" s="22"/>
      <x:c r="I250" s="18"/>
      <x:c r="J250" s="18" t="str"/>
    </x:row>
    <x:row r="251">
      <x:c r="A251" s="18" t="str">
        <x:v>فحم للشواية</x:v>
      </x:c>
      <x:c r="B251" s="20" t="str">
        <x:v>Grill Charcoal</x:v>
      </x:c>
      <x:c r="C251" s="20" t="str">
        <x:v>EQP-CHARCOAL</x:v>
      </x:c>
      <x:c r="D251" s="18" t="str">
        <x:v>مستهلكات معدات</x:v>
      </x:c>
      <x:c r="E251" s="18" t="str">
        <x:v>كغ</x:v>
      </x:c>
      <x:c r="F251" s="22"/>
      <x:c r="G251" s="22"/>
      <x:c r="H251" s="22"/>
      <x:c r="I251" s="18"/>
      <x:c r="J251" s="18" t="str">
        <x:v>لبرميل الشوي والفعاليات.</x:v>
      </x:c>
    </x:row>
    <x:row r="252">
      <x:c r="A252" s="18" t="str">
        <x:v>غاز طبخ / تعبئة أسطوانة</x:v>
      </x:c>
      <x:c r="B252" s="20" t="str">
        <x:v>Cooking Gas Refill</x:v>
      </x:c>
      <x:c r="C252" s="20" t="str">
        <x:v>EQP-GAS-REFILL</x:v>
      </x:c>
      <x:c r="D252" s="18" t="str">
        <x:v>مستهلكات معدات</x:v>
      </x:c>
      <x:c r="E252" s="18" t="str">
        <x:v>عبوة</x:v>
      </x:c>
      <x:c r="F252" s="22"/>
      <x:c r="G252" s="22"/>
      <x:c r="H252" s="22"/>
      <x:c r="I252" s="18"/>
      <x:c r="J252" s="18" t="str"/>
    </x:row>
    <x:row r="253">
      <x:c r="A253" s="18" t="str">
        <x:v>خرطوشة فلتر مياه</x:v>
      </x:c>
      <x:c r="B253" s="20" t="str">
        <x:v>Water Filter Cartridge</x:v>
      </x:c>
      <x:c r="C253" s="20" t="str">
        <x:v>EQP-WATER-FILTER</x:v>
      </x:c>
      <x:c r="D253" s="18" t="str">
        <x:v>مستهلكات معدات</x:v>
      </x:c>
      <x:c r="E253" s="18" t="str">
        <x:v>قطعة</x:v>
      </x:c>
      <x:c r="F253" s="22"/>
      <x:c r="G253" s="22"/>
      <x:c r="H253" s="22"/>
      <x:c r="I253" s="18"/>
      <x:c r="J253" s="18" t="str"/>
    </x:row>
  </x:sheetData>
  <x:conditionalFormatting sqref="H2:H253">
    <x:cfRule type="expression" dxfId="0" priority="1">
      <x:formula>H2=""</x:formula>
    </x:cfRule>
  </x:conditionalFormatting>
  <x:dataValidations count="2">
    <x:dataValidation type="list" sqref="D2:D452">
      <x:formula1>"مكوّن,مشروبات ومستلزمات,تغليف,تنظيف,مستهلكات معدات,أخرى"</x:formula1>
    </x:dataValidation>
    <x:dataValidation type="list" sqref="E2:E452">
      <x:formula1>"كغ,غ,لتر,مل,قطعة,عبوة,زجاجة,صندوق,حصة,أخرى"</x:formula1>
    </x:dataValidation>
  </x:dataValidations>
  <x:pageMargins left="0.7" right="0.7" top="0.75" bottom="0.75" header="0.3" footer="0.3"/>
  <x:tableParts count="1">
    <x:tablePart xmlns:r="http://schemas.openxmlformats.org/officeDocument/2006/relationships" r:id="Rd366b915e4154fa3"/>
  </x:tableParts>
</x:worksheet>
</file>

<file path=xl/worksheets/sheet2.xml><?xml version="1.0" encoding="utf-8"?>
<x:worksheet xmlns:x="http://schemas.openxmlformats.org/spreadsheetml/2006/main">
  <x:sheetFormatPr defaultRowHeight="15"/>
  <x:cols>
    <x:col min="1" max="1" width="30" hidden="0" customWidth="1"/>
    <x:col min="2" max="2" width="70" hidden="0" customWidth="1"/>
  </x:cols>
  <x:sheetData>
    <x:row r="1" ht="30" customHeight="1">
      <x:c r="A1" s="26" t="str">
        <x:v>دليل إعداد مواد المخزون</x:v>
      </x:c>
      <x:c r="B1" t="str"/>
    </x:row>
    <x:row r="2">
      <x:c r="A2" s="32" t="str">
        <x:v>عدد المواد المقترحة</x:v>
      </x:c>
      <x:c r="B2" s="32" t="n">
        <x:v>252</x:v>
      </x:c>
    </x:row>
    <x:row r="3">
      <x:c r="A3" s="32" t="str">
        <x:v>مبدأ القائمة</x:v>
      </x:c>
      <x:c r="B3" s="32" t="str">
        <x:v>مواد خام، مشروبات جاهزة، تغليف، تنظيف ومستهلكات تشغيل. المنتجات المباعة مثل كابتشينو أو سندويش لا تُضاف هنا؛ تُربط بهذه المواد عبر وصفة المنتج.</x:v>
      </x:c>
    </x:row>
    <x:row r="4">
      <x:c r="A4" s="32" t="str">
        <x:v>الأكواد</x:v>
      </x:c>
      <x:c r="B4" s="32" t="str">
        <x:v>أكواد مقترحة وليست بيانات سابقة. يمكن اعتمادها كما هي أو تعديلها قبل الإدخال.</x:v>
      </x:c>
    </x:row>
    <x:row r="5">
      <x:c r="A5" s="32" t="str">
        <x:v>الكمية الحالية</x:v>
      </x:c>
      <x:c r="B5" s="32" t="str">
        <x:v>تُركت فارغة لأنها تحتاج جرداً فعلياً. أدخل رصيد الافتتاح بعد العد أو عبر حركة مخزون.</x:v>
      </x:c>
    </x:row>
    <x:row r="6">
      <x:c r="A6" s="32" t="str">
        <x:v>حد التنبيه</x:v>
      </x:c>
      <x:c r="B6" s="32" t="str">
        <x:v>تُرك فارغاً. الأفضل تحديده لاحقاً حسب الاستهلاك وزمن التوريد.</x:v>
      </x:c>
    </x:row>
    <x:row r="7">
      <x:c r="A7" s="32" t="str">
        <x:v>الكلفة التقديرية</x:v>
      </x:c>
      <x:c r="B7" s="32" t="str">
        <x:v>معبأة فقط عندما كان السعر معروفاً. عند تحويل سعر عبوة إلى كغ/لتر، تم توضيح الحساب في الملاحظات.</x:v>
      </x:c>
    </x:row>
    <x:row r="8">
      <x:c r="A8" s="32" t="str">
        <x:v>المورد المفضل</x:v>
      </x:c>
      <x:c r="B8" s="32" t="str">
        <x:v>تُرك فارغاً لعدم وجود أسماء موردين مؤكدة.</x:v>
      </x:c>
    </x:row>
    <x:row r="9">
      <x:c r="A9" s="32" t="str">
        <x:v>ملاحظة المنتجات المحضّرة</x:v>
      </x:c>
      <x:c r="B9" s="32" t="str">
        <x:v>الحمص، المحمّرة، الفلافل، الشنينة والصوصات المحضّرة تُضاف كمخزون مستقل فقط إذا كانت تُشترى جاهزة أو تُدار كدفعات إنتاج.</x:v>
      </x:c>
    </x:row>
    <x:row r="10">
      <x:c r="A10" s="32" t="str">
        <x:v>ملاحظة الأسعار</x:v>
      </x:c>
      <x:c r="B10" s="32" t="str">
        <x:v>الأسعار تاريخية من مراجع المشروع، ويجب تحديثها قبل الشراء أو احتساب الهامش.</x:v>
      </x:c>
    </x:row>
    <x:row r="11">
      <x:c r="A11" s="32" t="str"/>
      <x:c r="B11" s="32" t="str"/>
    </x:row>
    <x:row r="12">
      <x:c r="A12" s="37" t="str">
        <x:v>نوع المادة — القيمة الظاهرة</x:v>
      </x:c>
      <x:c r="B12" s="37" t="str">
        <x:v>القيمة التقنية في النظام</x:v>
      </x:c>
    </x:row>
    <x:row r="13">
      <x:c r="A13" s="32" t="str">
        <x:v>مكوّن</x:v>
      </x:c>
      <x:c r="B13" s="32" t="str">
        <x:v>ingredient</x:v>
      </x:c>
    </x:row>
    <x:row r="14">
      <x:c r="A14" s="32" t="str">
        <x:v>مشروبات ومستلزمات</x:v>
      </x:c>
      <x:c r="B14" s="32" t="str">
        <x:v>drink_supply</x:v>
      </x:c>
    </x:row>
    <x:row r="15">
      <x:c r="A15" s="32" t="str">
        <x:v>تغليف</x:v>
      </x:c>
      <x:c r="B15" s="32" t="str">
        <x:v>packaging</x:v>
      </x:c>
    </x:row>
    <x:row r="16">
      <x:c r="A16" s="32" t="str">
        <x:v>تنظيف</x:v>
      </x:c>
      <x:c r="B16" s="32" t="str">
        <x:v>cleaning</x:v>
      </x:c>
    </x:row>
    <x:row r="17">
      <x:c r="A17" s="32" t="str">
        <x:v>مستهلكات معدات</x:v>
      </x:c>
      <x:c r="B17" s="32" t="str">
        <x:v>equipment_consumable</x:v>
      </x:c>
    </x:row>
    <x:row r="18">
      <x:c r="A18" s="32" t="str">
        <x:v>أخرى</x:v>
      </x:c>
      <x:c r="B18" s="32" t="str">
        <x:v>other</x:v>
      </x:c>
    </x:row>
    <x:row r="19">
      <x:c r="A19" s="32" t="str"/>
      <x:c r="B19" s="32" t="str"/>
    </x:row>
    <x:row r="20">
      <x:c r="A20" s="37" t="str">
        <x:v>وحدة القياس — القيمة الظاهرة</x:v>
      </x:c>
      <x:c r="B20" s="37" t="str">
        <x:v>القيمة التقنية في النظام</x:v>
      </x:c>
    </x:row>
    <x:row r="21">
      <x:c r="A21" s="32" t="str">
        <x:v>كغ</x:v>
      </x:c>
      <x:c r="B21" s="32" t="str">
        <x:v>kg</x:v>
      </x:c>
    </x:row>
    <x:row r="22">
      <x:c r="A22" s="32" t="str">
        <x:v>غ</x:v>
      </x:c>
      <x:c r="B22" s="32" t="str">
        <x:v>g</x:v>
      </x:c>
    </x:row>
    <x:row r="23">
      <x:c r="A23" s="32" t="str">
        <x:v>لتر</x:v>
      </x:c>
      <x:c r="B23" s="32" t="str">
        <x:v>liter</x:v>
      </x:c>
    </x:row>
    <x:row r="24">
      <x:c r="A24" s="32" t="str">
        <x:v>مل</x:v>
      </x:c>
      <x:c r="B24" s="32" t="str">
        <x:v>ml</x:v>
      </x:c>
    </x:row>
    <x:row r="25">
      <x:c r="A25" s="32" t="str">
        <x:v>قطعة</x:v>
      </x:c>
      <x:c r="B25" s="32" t="str">
        <x:v>piece</x:v>
      </x:c>
    </x:row>
    <x:row r="26">
      <x:c r="A26" s="32" t="str">
        <x:v>عبوة</x:v>
      </x:c>
      <x:c r="B26" s="32" t="str">
        <x:v>pack</x:v>
      </x:c>
    </x:row>
    <x:row r="27">
      <x:c r="A27" s="32" t="str">
        <x:v>زجاجة</x:v>
      </x:c>
      <x:c r="B27" s="32" t="str">
        <x:v>bottle</x:v>
      </x:c>
    </x:row>
    <x:row r="28">
      <x:c r="A28" s="32" t="str">
        <x:v>صندوق</x:v>
      </x:c>
      <x:c r="B28" s="32" t="str">
        <x:v>box</x:v>
      </x:c>
    </x:row>
    <x:row r="29">
      <x:c r="A29" s="32" t="str">
        <x:v>حصة</x:v>
      </x:c>
      <x:c r="B29" s="32" t="str">
        <x:v>portion</x:v>
      </x:c>
    </x:row>
    <x:row r="30">
      <x:c r="A30" s="32" t="str">
        <x:v>أخرى</x:v>
      </x:c>
      <x:c r="B30" s="32" t="str">
        <x:v>other</x:v>
      </x:c>
    </x:row>
  </x:sheetData>
  <x:mergeCells>
    <x:mergeCell ref="A1:B1"/>
  </x:mergeCells>
  <x:pageMargins left="0.7" right="0.7" top="0.75" bottom="0.75" header="0.3" footer="0.3"/>
</x:worksheet>
</file>

<file path=xl/worksheets/sheet3.xml><?xml version="1.0" encoding="utf-8"?>
<x:worksheet xmlns:x="http://schemas.openxmlformats.org/spreadsheetml/2006/main">
  <x:sheetFormatPr defaultRowHeight="15"/>
  <x:cols>
    <x:col min="1" max="1" width="55" hidden="0" customWidth="1"/>
    <x:col min="2" max="2" width="70" hidden="0" customWidth="1"/>
  </x:cols>
  <x:sheetData>
    <x:row r="1">
      <x:c r="A1" s="40" t="str">
        <x:v>المصدر</x:v>
      </x:c>
      <x:c r="B1" s="40" t="str">
        <x:v>الاستخدام</x:v>
      </x:c>
    </x:row>
    <x:row r="2">
      <x:c r="A2" s="31" t="str">
        <x:v>https://github.com/Maximad/hub/blob/main/core/models.py</x:v>
      </x:c>
      <x:c r="B2" s="31" t="str">
        <x:v>الحقول والخيارات الحالية لنموذج InventoryItem.</x:v>
      </x:c>
    </x:row>
    <x:row r="3">
      <x:c r="A3" s="31" t="str">
        <x:v>Morning picture request.txt — مرجع الأسعار</x:v>
      </x:c>
      <x:c r="B3" s="31" t="str">
        <x:v>الأسعار المعروفة للخضار، الألبان، الصوصات، البهارات، المشروبات والتنظيف.</x:v>
      </x:c>
    </x:row>
    <x:row r="4">
      <x:c r="A4" s="31" t="str">
        <x:v>Hub / Masharib project conversations</x:v>
      </x:c>
      <x:c r="B4" s="31" t="str">
        <x:v>منتجات مشاريب، سفرة، السندويشات، Black Barrel، الكيش، المازة والأطباق اليومية.</x:v>
      </x:c>
    </x:row>
    <x:row r="5">
      <x:c r="A5" s="31" t="str">
        <x:v>deep-research-report.md</x:v>
      </x:c>
      <x:c r="B5" s="31" t="str">
        <x:v>المشروبات المحلية: المتة، الجلاب، الزهورات، دبس العنب، الشنينة والكركديه.</x:v>
      </x:c>
    </x:row>
    <x:row r="6">
      <x:c r="A6" s="31" t="str">
        <x:v>Hub_Sueda_Concept_Note_AR.docx</x:v>
      </x:c>
      <x:c r="B6" s="31" t="str">
        <x:v>نطاق التشغيل: مشاريب، سناك، مختبر الطعام والفعاليات.</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18" hidden="0" customWidth="1"/>
    <x:col min="2" max="2" width="28" hidden="0" customWidth="1"/>
    <x:col min="3" max="3" width="26" hidden="0" customWidth="1"/>
    <x:col min="4" max="4" width="28" hidden="0" customWidth="1"/>
    <x:col min="5" max="5" width="27" hidden="0" customWidth="1"/>
    <x:col min="6" max="6" width="14" hidden="0" customWidth="1"/>
    <x:col min="7" max="7" width="14" hidden="0" customWidth="1"/>
    <x:col min="8" max="8" width="14" hidden="0" customWidth="1"/>
    <x:col min="9" max="9" width="16" hidden="0" customWidth="1"/>
    <x:col min="10" max="10" width="13" hidden="0" customWidth="1"/>
    <x:col min="11" max="11" width="9" hidden="0" customWidth="1"/>
    <x:col min="12" max="12" width="17" hidden="0" customWidth="1"/>
    <x:col min="13" max="13" width="16" hidden="0" customWidth="1"/>
    <x:col min="14" max="14" width="42" hidden="0" customWidth="1"/>
    <x:col min="15" max="15" width="14" hidden="0" customWidth="1"/>
  </x:cols>
  <x:sheetData>
    <x:row r="1">
      <x:c r="A1" s="65" t="str">
        <x:v>حالة الاستيراد</x:v>
      </x:c>
      <x:c r="B1" s="66" t="str">
        <x:v>اسم المنتج</x:v>
      </x:c>
      <x:c r="C1" s="66" t="str">
        <x:v>مفتاح المنتج</x:v>
      </x:c>
      <x:c r="D1" s="66" t="str">
        <x:v>مادة المخزون</x:v>
      </x:c>
      <x:c r="E1" s="66" t="str">
        <x:v>كود مادة المخزون</x:v>
      </x:c>
      <x:c r="F1" s="66" t="str">
        <x:v>الكمية المدخلة</x:v>
      </x:c>
      <x:c r="G1" s="66" t="str">
        <x:v>وحدة الإدخال</x:v>
      </x:c>
      <x:c r="H1" s="66" t="str">
        <x:v>وحدة المخزون</x:v>
      </x:c>
      <x:c r="I1" s="66" t="str">
        <x:v>الكمية الموحّدة</x:v>
      </x:c>
      <x:c r="J1" s="66" t="str">
        <x:v>نسبة الهدر %</x:v>
      </x:c>
      <x:c r="K1" s="66" t="str">
        <x:v>نشط</x:v>
      </x:c>
      <x:c r="L1" s="66" t="str">
        <x:v>كلفة وحدة المخزون</x:v>
      </x:c>
      <x:c r="M1" s="66" t="str">
        <x:v>كلفة السطر</x:v>
      </x:c>
      <x:c r="N1" s="66" t="str">
        <x:v>ملاحظات</x:v>
      </x:c>
      <x:c r="O1" s="67" t="str">
        <x:v>التحقق</x:v>
      </x:c>
    </x:row>
    <x:row r="2">
      <x:c r="A2" s="79" t="str">
        <x:v>جاهز للاستيراد</x:v>
      </x:c>
      <x:c r="B2" s="80" t="str">
        <x:v>شاي عادي</x:v>
      </x:c>
      <x:c r="C2" s="87" t="str">
        <x:f>IFERROR(VLOOKUP(B2,'مراجع الوصفات'!$A$2:$D$79,2,FALSE),"")</x:f>
        <x:v>regular_tea</x:v>
      </x:c>
      <x:c r="D2" s="80" t="str">
        <x:v>شاي أحمد عادي – ظرف</x:v>
      </x:c>
      <x:c r="E2" s="87" t="str">
        <x:f>IFERROR(VLOOKUP(D2,'مراجع الوصفات'!$F$2:$I$253,2,FALSE),"")</x:f>
        <x:v>DRK-TEA-AHMAD-BAG</x:v>
      </x:c>
      <x:c r="F2" s="83" t="n">
        <x:v>1</x:v>
      </x:c>
      <x:c r="G2" s="80" t="str">
        <x:v>حصة</x:v>
      </x:c>
      <x:c r="H2" s="87" t="str">
        <x:f>IFERROR(VLOOKUP(D2,'مراجع الوصفات'!$F$2:$I$253,3,FALSE),"")</x:f>
        <x:v>حصة</x:v>
      </x:c>
      <x:c r="I2" s="89" t="n">
        <x:f>IF(OR(F2="",G2="",H2=""),"",IF(G2=H2,F2,IF(AND(G2="غ",H2="كغ"),F2/1000,IF(AND(G2="كغ",H2="غ"),F2*1000,IF(AND(G2="مل",H2="لتر"),F2/1000,IF(AND(G2="لتر",H2="مل"),F2*1000,"خطأ وحدة"))))))</x:f>
        <x:v>1</x:v>
      </x:c>
      <x:c r="J2" s="85" t="n">
        <x:v>0</x:v>
      </x:c>
      <x:c r="K2" s="80" t="str">
        <x:v>نعم</x:v>
      </x:c>
      <x:c r="L2" s="91" t="n">
        <x:f>IFERROR(VLOOKUP(D2,'مراجع الوصفات'!$F$2:$I$253,4,FALSE),"")</x:f>
        <x:v>420</x:v>
      </x:c>
      <x:c r="M2" s="91" t="n">
        <x:f>IF(OR(I2="",NOT(ISNUMBER(I2)),L2=""),"",I2*L2*(1+J2/100))</x:f>
        <x:v>420</x:v>
      </x:c>
      <x:c r="N2" s="80" t="str">
        <x:v>لا يشمل السكر لأنه خيار متغيّر.</x:v>
      </x:c>
      <x:c r="O2" s="93" t="str">
        <x:f>IF(AND(B2="",D2="",F2=""),"",IF(A2="تجاهل","تجاهل",IF(OR(B2="",D2="",F2="",G2="",H2=""),"ناقص",IF(NOT(ISNUMBER(I2)),"خطأ وحدة",IF(OR(J2&lt;0,J2&gt;100),"خطأ هدر","صالح")))))</x:f>
        <x:v>صالح</x:v>
      </x:c>
    </x:row>
    <x:row r="3">
      <x:c r="A3" s="79" t="str">
        <x:v>جاهز للاستيراد</x:v>
      </x:c>
      <x:c r="B3" s="80" t="str">
        <x:v>شاي مع نعنع</x:v>
      </x:c>
      <x:c r="C3" s="87" t="str">
        <x:f>IFERROR(VLOOKUP(B3,'مراجع الوصفات'!$A$2:$D$79,2,FALSE),"")</x:f>
        <x:v>mint_tea</x:v>
      </x:c>
      <x:c r="D3" s="80" t="str">
        <x:v>شاي أحمد عادي – ظرف</x:v>
      </x:c>
      <x:c r="E3" s="87" t="str">
        <x:f>IFERROR(VLOOKUP(D3,'مراجع الوصفات'!$F$2:$I$253,2,FALSE),"")</x:f>
        <x:v>DRK-TEA-AHMAD-BAG</x:v>
      </x:c>
      <x:c r="F3" s="83" t="n">
        <x:v>1</x:v>
      </x:c>
      <x:c r="G3" s="80" t="str">
        <x:v>حصة</x:v>
      </x:c>
      <x:c r="H3" s="87" t="str">
        <x:f>IFERROR(VLOOKUP(D3,'مراجع الوصفات'!$F$2:$I$253,3,FALSE),"")</x:f>
        <x:v>حصة</x:v>
      </x:c>
      <x:c r="I3" s="89" t="n">
        <x:f>IF(OR(F3="",G3="",H3=""),"",IF(G3=H3,F3,IF(AND(G3="غ",H3="كغ"),F3/1000,IF(AND(G3="كغ",H3="غ"),F3*1000,IF(AND(G3="مل",H3="لتر"),F3/1000,IF(AND(G3="لتر",H3="مل"),F3*1000,"خطأ وحدة"))))))</x:f>
        <x:v>1</x:v>
      </x:c>
      <x:c r="J3" s="85" t="n">
        <x:v>0</x:v>
      </x:c>
      <x:c r="K3" s="80" t="str">
        <x:v>نعم</x:v>
      </x:c>
      <x:c r="L3" s="91" t="n">
        <x:f>IFERROR(VLOOKUP(D3,'مراجع الوصفات'!$F$2:$I$253,4,FALSE),"")</x:f>
        <x:v>420</x:v>
      </x:c>
      <x:c r="M3" s="91" t="n">
        <x:f>IF(OR(I3="",NOT(ISNUMBER(I3)),L3=""),"",I3*L3*(1+J3/100))</x:f>
        <x:v>420</x:v>
      </x:c>
      <x:c r="N3" s="80" t="str"/>
      <x:c r="O3" s="93" t="str">
        <x:f>IF(AND(B3="",D3="",F3=""),"",IF(A3="تجاهل","تجاهل",IF(OR(B3="",D3="",F3="",G3="",H3=""),"ناقص",IF(NOT(ISNUMBER(I3)),"خطأ وحدة",IF(OR(J3&lt;0,J3&gt;100),"خطأ هدر","صالح")))))</x:f>
        <x:v>صالح</x:v>
      </x:c>
    </x:row>
    <x:row r="4">
      <x:c r="A4" s="79" t="str">
        <x:v>بحاجة مراجعة</x:v>
      </x:c>
      <x:c r="B4" s="80" t="str">
        <x:v>شاي مع نعنع</x:v>
      </x:c>
      <x:c r="C4" s="87" t="str">
        <x:f>IFERROR(VLOOKUP(B4,'مراجع الوصفات'!$A$2:$D$79,2,FALSE),"")</x:f>
        <x:v>mint_tea</x:v>
      </x:c>
      <x:c r="D4" s="80" t="str">
        <x:v>نعنع طازج</x:v>
      </x:c>
      <x:c r="E4" s="87" t="str">
        <x:f>IFERROR(VLOOKUP(D4,'مراجع الوصفات'!$F$2:$I$253,2,FALSE),"")</x:f>
        <x:v>ING-HERB-MINT</x:v>
      </x:c>
      <x:c r="F4" s="83" t="n">
        <x:v>0.05</x:v>
      </x:c>
      <x:c r="G4" s="80" t="str">
        <x:v>عبوة</x:v>
      </x:c>
      <x:c r="H4" s="87" t="str">
        <x:f>IFERROR(VLOOKUP(D4,'مراجع الوصفات'!$F$2:$I$253,3,FALSE),"")</x:f>
        <x:v>عبوة</x:v>
      </x:c>
      <x:c r="I4" s="89" t="n">
        <x:f>IF(OR(F4="",G4="",H4=""),"",IF(G4=H4,F4,IF(AND(G4="غ",H4="كغ"),F4/1000,IF(AND(G4="كغ",H4="غ"),F4*1000,IF(AND(G4="مل",H4="لتر"),F4/1000,IF(AND(G4="لتر",H4="مل"),F4*1000,"خطأ وحدة"))))))</x:f>
        <x:v>0.05</x:v>
      </x:c>
      <x:c r="J4" s="85" t="n">
        <x:v>0</x:v>
      </x:c>
      <x:c r="K4" s="80" t="str">
        <x:v>نعم</x:v>
      </x:c>
      <x:c r="L4" s="91" t="n">
        <x:f>IFERROR(VLOOKUP(D4,'مراجع الوصفات'!$F$2:$I$253,4,FALSE),"")</x:f>
        <x:v>1500</x:v>
      </x:c>
      <x:c r="M4" s="91" t="n">
        <x:f>IF(OR(I4="",NOT(ISNUMBER(I4)),L4=""),"",I4*L4*(1+J4/100))</x:f>
        <x:v>75</x:v>
      </x:c>
      <x:c r="N4" s="80" t="str">
        <x:v>تقدير: 5% من عبوة نعنع؛ راجع حجم العبوة الفعلي.</x:v>
      </x:c>
      <x:c r="O4" s="93" t="str">
        <x:f>IF(AND(B4="",D4="",F4=""),"",IF(A4="تجاهل","تجاهل",IF(OR(B4="",D4="",F4="",G4="",H4=""),"ناقص",IF(NOT(ISNUMBER(I4)),"خطأ وحدة",IF(OR(J4&lt;0,J4&gt;100),"خطأ هدر","صالح")))))</x:f>
        <x:v>صالح</x:v>
      </x:c>
    </x:row>
    <x:row r="5">
      <x:c r="A5" s="79" t="str">
        <x:v>جاهز للاستيراد</x:v>
      </x:c>
      <x:c r="B5" s="80" t="str">
        <x:v>شاي مع ميرمية</x:v>
      </x:c>
      <x:c r="C5" s="87" t="str">
        <x:f>IFERROR(VLOOKUP(B5,'مراجع الوصفات'!$A$2:$D$79,2,FALSE),"")</x:f>
        <x:v>sage_tea</x:v>
      </x:c>
      <x:c r="D5" s="80" t="str">
        <x:v>شاي أحمد عادي – ظرف</x:v>
      </x:c>
      <x:c r="E5" s="87" t="str">
        <x:f>IFERROR(VLOOKUP(D5,'مراجع الوصفات'!$F$2:$I$253,2,FALSE),"")</x:f>
        <x:v>DRK-TEA-AHMAD-BAG</x:v>
      </x:c>
      <x:c r="F5" s="83" t="n">
        <x:v>1</x:v>
      </x:c>
      <x:c r="G5" s="80" t="str">
        <x:v>حصة</x:v>
      </x:c>
      <x:c r="H5" s="87" t="str">
        <x:f>IFERROR(VLOOKUP(D5,'مراجع الوصفات'!$F$2:$I$253,3,FALSE),"")</x:f>
        <x:v>حصة</x:v>
      </x:c>
      <x:c r="I5" s="89" t="n">
        <x:f>IF(OR(F5="",G5="",H5=""),"",IF(G5=H5,F5,IF(AND(G5="غ",H5="كغ"),F5/1000,IF(AND(G5="كغ",H5="غ"),F5*1000,IF(AND(G5="مل",H5="لتر"),F5/1000,IF(AND(G5="لتر",H5="مل"),F5*1000,"خطأ وحدة"))))))</x:f>
        <x:v>1</x:v>
      </x:c>
      <x:c r="J5" s="85" t="n">
        <x:v>0</x:v>
      </x:c>
      <x:c r="K5" s="80" t="str">
        <x:v>نعم</x:v>
      </x:c>
      <x:c r="L5" s="91" t="n">
        <x:f>IFERROR(VLOOKUP(D5,'مراجع الوصفات'!$F$2:$I$253,4,FALSE),"")</x:f>
        <x:v>420</x:v>
      </x:c>
      <x:c r="M5" s="91" t="n">
        <x:f>IF(OR(I5="",NOT(ISNUMBER(I5)),L5=""),"",I5*L5*(1+J5/100))</x:f>
        <x:v>420</x:v>
      </x:c>
      <x:c r="N5" s="80" t="str"/>
      <x:c r="O5" s="93" t="str">
        <x:f>IF(AND(B5="",D5="",F5=""),"",IF(A5="تجاهل","تجاهل",IF(OR(B5="",D5="",F5="",G5="",H5=""),"ناقص",IF(NOT(ISNUMBER(I5)),"خطأ وحدة",IF(OR(J5&lt;0,J5&gt;100),"خطأ هدر","صالح")))))</x:f>
        <x:v>صالح</x:v>
      </x:c>
    </x:row>
    <x:row r="6">
      <x:c r="A6" s="79" t="str">
        <x:v>بحاجة مراجعة</x:v>
      </x:c>
      <x:c r="B6" s="80" t="str">
        <x:v>شاي مع ميرمية</x:v>
      </x:c>
      <x:c r="C6" s="87" t="str">
        <x:f>IFERROR(VLOOKUP(B6,'مراجع الوصفات'!$A$2:$D$79,2,FALSE),"")</x:f>
        <x:v>sage_tea</x:v>
      </x:c>
      <x:c r="D6" s="80" t="str">
        <x:v>ميرمية مجففة</x:v>
      </x:c>
      <x:c r="E6" s="87" t="str">
        <x:f>IFERROR(VLOOKUP(D6,'مراجع الوصفات'!$F$2:$I$253,2,FALSE),"")</x:f>
        <x:v>ING-HERB-SAGE</x:v>
      </x:c>
      <x:c r="F6" s="83" t="n">
        <x:v>2</x:v>
      </x:c>
      <x:c r="G6" s="80" t="str">
        <x:v>غ</x:v>
      </x:c>
      <x:c r="H6" s="87" t="str">
        <x:f>IFERROR(VLOOKUP(D6,'مراجع الوصفات'!$F$2:$I$253,3,FALSE),"")</x:f>
        <x:v>كغ</x:v>
      </x:c>
      <x:c r="I6" s="89" t="n">
        <x:f>IF(OR(F6="",G6="",H6=""),"",IF(G6=H6,F6,IF(AND(G6="غ",H6="كغ"),F6/1000,IF(AND(G6="كغ",H6="غ"),F6*1000,IF(AND(G6="مل",H6="لتر"),F6/1000,IF(AND(G6="لتر",H6="مل"),F6*1000,"خطأ وحدة"))))))</x:f>
        <x:v>0.002</x:v>
      </x:c>
      <x:c r="J6" s="85" t="n">
        <x:v>0</x:v>
      </x:c>
      <x:c r="K6" s="80" t="str">
        <x:v>نعم</x:v>
      </x:c>
      <x:c r="L6" s="91" t="str">
        <x:f>IFERROR(VLOOKUP(D6,'مراجع الوصفات'!$F$2:$I$253,4,FALSE),"")</x:f>
      </x:c>
      <x:c r="M6" s="91" t="str">
        <x:f>IF(OR(I6="",NOT(ISNUMBER(I6)),L6=""),"",I6*L6*(1+J6/100))</x:f>
      </x:c>
      <x:c r="N6" s="80" t="str">
        <x:v>جرعة تقديرية 2غ.</x:v>
      </x:c>
      <x:c r="O6" s="93" t="str">
        <x:f>IF(AND(B6="",D6="",F6=""),"",IF(A6="تجاهل","تجاهل",IF(OR(B6="",D6="",F6="",G6="",H6=""),"ناقص",IF(NOT(ISNUMBER(I6)),"خطأ وحدة",IF(OR(J6&lt;0,J6&gt;100),"خطأ هدر","صالح")))))</x:f>
        <x:v>صالح</x:v>
      </x:c>
    </x:row>
    <x:row r="7">
      <x:c r="A7" s="79" t="str">
        <x:v>جاهز للاستيراد</x:v>
      </x:c>
      <x:c r="B7" s="80" t="str">
        <x:v>شاي إيرل غراي</x:v>
      </x:c>
      <x:c r="C7" s="87" t="str">
        <x:f>IFERROR(VLOOKUP(B7,'مراجع الوصفات'!$A$2:$D$79,2,FALSE),"")</x:f>
        <x:v>earl_grey_tea</x:v>
      </x:c>
      <x:c r="D7" s="80" t="str">
        <x:v>شاي أحمد إيرل غراي – ظرف</x:v>
      </x:c>
      <x:c r="E7" s="87" t="str">
        <x:f>IFERROR(VLOOKUP(D7,'مراجع الوصفات'!$F$2:$I$253,2,FALSE),"")</x:f>
        <x:v>DRK-TEA-EARLGREY-BAG</x:v>
      </x:c>
      <x:c r="F7" s="83" t="n">
        <x:v>1</x:v>
      </x:c>
      <x:c r="G7" s="80" t="str">
        <x:v>حصة</x:v>
      </x:c>
      <x:c r="H7" s="87" t="str">
        <x:f>IFERROR(VLOOKUP(D7,'مراجع الوصفات'!$F$2:$I$253,3,FALSE),"")</x:f>
        <x:v>حصة</x:v>
      </x:c>
      <x:c r="I7" s="89" t="n">
        <x:f>IF(OR(F7="",G7="",H7=""),"",IF(G7=H7,F7,IF(AND(G7="غ",H7="كغ"),F7/1000,IF(AND(G7="كغ",H7="غ"),F7*1000,IF(AND(G7="مل",H7="لتر"),F7/1000,IF(AND(G7="لتر",H7="مل"),F7*1000,"خطأ وحدة"))))))</x:f>
        <x:v>1</x:v>
      </x:c>
      <x:c r="J7" s="85" t="n">
        <x:v>0</x:v>
      </x:c>
      <x:c r="K7" s="80" t="str">
        <x:v>نعم</x:v>
      </x:c>
      <x:c r="L7" s="91" t="n">
        <x:f>IFERROR(VLOOKUP(D7,'مراجع الوصفات'!$F$2:$I$253,4,FALSE),"")</x:f>
        <x:v>585</x:v>
      </x:c>
      <x:c r="M7" s="91" t="n">
        <x:f>IF(OR(I7="",NOT(ISNUMBER(I7)),L7=""),"",I7*L7*(1+J7/100))</x:f>
        <x:v>585</x:v>
      </x:c>
      <x:c r="N7" s="80" t="str"/>
      <x:c r="O7" s="93" t="str">
        <x:f>IF(AND(B7="",D7="",F7=""),"",IF(A7="تجاهل","تجاهل",IF(OR(B7="",D7="",F7="",G7="",H7=""),"ناقص",IF(NOT(ISNUMBER(I7)),"خطأ وحدة",IF(OR(J7&lt;0,J7&gt;100),"خطأ هدر","صالح")))))</x:f>
        <x:v>صالح</x:v>
      </x:c>
    </x:row>
    <x:row r="8">
      <x:c r="A8" s="79" t="str">
        <x:v>جاهز للاستيراد</x:v>
      </x:c>
      <x:c r="B8" s="80" t="str">
        <x:v>شاي فواكه / منكه</x:v>
      </x:c>
      <x:c r="C8" s="87" t="str">
        <x:f>IFERROR(VLOOKUP(B8,'مراجع الوصفات'!$A$2:$D$79,2,FALSE),"")</x:f>
        <x:v>fruit_flavored_tea</x:v>
      </x:c>
      <x:c r="D8" s="80" t="str">
        <x:v>شاي أحمد فواكه – ظرف</x:v>
      </x:c>
      <x:c r="E8" s="87" t="str">
        <x:f>IFERROR(VLOOKUP(D8,'مراجع الوصفات'!$F$2:$I$253,2,FALSE),"")</x:f>
        <x:v>DRK-TEA-FRUIT-BAG</x:v>
      </x:c>
      <x:c r="F8" s="83" t="n">
        <x:v>1</x:v>
      </x:c>
      <x:c r="G8" s="80" t="str">
        <x:v>حصة</x:v>
      </x:c>
      <x:c r="H8" s="87" t="str">
        <x:f>IFERROR(VLOOKUP(D8,'مراجع الوصفات'!$F$2:$I$253,3,FALSE),"")</x:f>
        <x:v>حصة</x:v>
      </x:c>
      <x:c r="I8" s="89" t="n">
        <x:f>IF(OR(F8="",G8="",H8=""),"",IF(G8=H8,F8,IF(AND(G8="غ",H8="كغ"),F8/1000,IF(AND(G8="كغ",H8="غ"),F8*1000,IF(AND(G8="مل",H8="لتر"),F8/1000,IF(AND(G8="لتر",H8="مل"),F8*1000,"خطأ وحدة"))))))</x:f>
        <x:v>1</x:v>
      </x:c>
      <x:c r="J8" s="85" t="n">
        <x:v>0</x:v>
      </x:c>
      <x:c r="K8" s="80" t="str">
        <x:v>نعم</x:v>
      </x:c>
      <x:c r="L8" s="91" t="n">
        <x:f>IFERROR(VLOOKUP(D8,'مراجع الوصفات'!$F$2:$I$253,4,FALSE),"")</x:f>
        <x:v>1325</x:v>
      </x:c>
      <x:c r="M8" s="91" t="n">
        <x:f>IF(OR(I8="",NOT(ISNUMBER(I8)),L8=""),"",I8*L8*(1+J8/100))</x:f>
        <x:v>1325</x:v>
      </x:c>
      <x:c r="N8" s="80" t="str">
        <x:v>استخدم شاي الفواكه؛ بدّل الكود إلى الشاي المنكّه إذا كان المنتج المقصود.</x:v>
      </x:c>
      <x:c r="O8" s="93" t="str">
        <x:f>IF(AND(B8="",D8="",F8=""),"",IF(A8="تجاهل","تجاهل",IF(OR(B8="",D8="",F8="",G8="",H8=""),"ناقص",IF(NOT(ISNUMBER(I8)),"خطأ وحدة",IF(OR(J8&lt;0,J8&gt;100),"خطأ هدر","صالح")))))</x:f>
        <x:v>صالح</x:v>
      </x:c>
    </x:row>
    <x:row r="9">
      <x:c r="A9" s="79" t="str">
        <x:v>بحاجة مراجعة</x:v>
      </x:c>
      <x:c r="B9" s="80" t="str">
        <x:v>زهورات</x:v>
      </x:c>
      <x:c r="C9" s="87" t="str">
        <x:f>IFERROR(VLOOKUP(B9,'مراجع الوصفات'!$A$2:$D$79,2,FALSE),"")</x:f>
        <x:v>zhourat</x:v>
      </x:c>
      <x:c r="D9" s="80" t="str">
        <x:v>زهورات مشكلة</x:v>
      </x:c>
      <x:c r="E9" s="87" t="str">
        <x:f>IFERROR(VLOOKUP(D9,'مراجع الوصفات'!$F$2:$I$253,2,FALSE),"")</x:f>
        <x:v>DRK-HERBAL-ZHOURAT</x:v>
      </x:c>
      <x:c r="F9" s="83" t="n">
        <x:v>5</x:v>
      </x:c>
      <x:c r="G9" s="80" t="str">
        <x:v>غ</x:v>
      </x:c>
      <x:c r="H9" s="87" t="str">
        <x:f>IFERROR(VLOOKUP(D9,'مراجع الوصفات'!$F$2:$I$253,3,FALSE),"")</x:f>
        <x:v>كغ</x:v>
      </x:c>
      <x:c r="I9" s="89" t="n">
        <x:f>IF(OR(F9="",G9="",H9=""),"",IF(G9=H9,F9,IF(AND(G9="غ",H9="كغ"),F9/1000,IF(AND(G9="كغ",H9="غ"),F9*1000,IF(AND(G9="مل",H9="لتر"),F9/1000,IF(AND(G9="لتر",H9="مل"),F9*1000,"خطأ وحدة"))))))</x:f>
        <x:v>0.005</x:v>
      </x:c>
      <x:c r="J9" s="85" t="n">
        <x:v>0</x:v>
      </x:c>
      <x:c r="K9" s="80" t="str">
        <x:v>نعم</x:v>
      </x:c>
      <x:c r="L9" s="91" t="str">
        <x:f>IFERROR(VLOOKUP(D9,'مراجع الوصفات'!$F$2:$I$253,4,FALSE),"")</x:f>
      </x:c>
      <x:c r="M9" s="91" t="str">
        <x:f>IF(OR(I9="",NOT(ISNUMBER(I9)),L9=""),"",I9*L9*(1+J9/100))</x:f>
      </x:c>
      <x:c r="N9" s="80" t="str">
        <x:v>تقدير 5غ للكاسة.</x:v>
      </x:c>
      <x:c r="O9" s="93" t="str">
        <x:f>IF(AND(B9="",D9="",F9=""),"",IF(A9="تجاهل","تجاهل",IF(OR(B9="",D9="",F9="",G9="",H9=""),"ناقص",IF(NOT(ISNUMBER(I9)),"خطأ وحدة",IF(OR(J9&lt;0,J9&gt;100),"خطأ هدر","صالح")))))</x:f>
        <x:v>صالح</x:v>
      </x:c>
    </x:row>
    <x:row r="10">
      <x:c r="A10" s="79" t="str">
        <x:v>جاهز للاستيراد</x:v>
      </x:c>
      <x:c r="B10" s="80" t="str">
        <x:v>هوت شوكليت بالماء</x:v>
      </x:c>
      <x:c r="C10" s="87" t="str">
        <x:f>IFERROR(VLOOKUP(B10,'مراجع الوصفات'!$A$2:$D$79,2,FALSE),"")</x:f>
        <x:v>hot_chocolate_water</x:v>
      </x:c>
      <x:c r="D10" s="80" t="str">
        <x:v>هوت شوكليت – ظرف</x:v>
      </x:c>
      <x:c r="E10" s="87" t="str">
        <x:f>IFERROR(VLOOKUP(D10,'مراجع الوصفات'!$F$2:$I$253,2,FALSE),"")</x:f>
        <x:v>DRK-CHOCO-SACHET</x:v>
      </x:c>
      <x:c r="F10" s="83" t="n">
        <x:v>1</x:v>
      </x:c>
      <x:c r="G10" s="80" t="str">
        <x:v>حصة</x:v>
      </x:c>
      <x:c r="H10" s="87" t="str">
        <x:f>IFERROR(VLOOKUP(D10,'مراجع الوصفات'!$F$2:$I$253,3,FALSE),"")</x:f>
        <x:v>حصة</x:v>
      </x:c>
      <x:c r="I10" s="89" t="n">
        <x:f>IF(OR(F10="",G10="",H10=""),"",IF(G10=H10,F10,IF(AND(G10="غ",H10="كغ"),F10/1000,IF(AND(G10="كغ",H10="غ"),F10*1000,IF(AND(G10="مل",H10="لتر"),F10/1000,IF(AND(G10="لتر",H10="مل"),F10*1000,"خطأ وحدة"))))))</x:f>
        <x:v>1</x:v>
      </x:c>
      <x:c r="J10" s="85" t="n">
        <x:v>0</x:v>
      </x:c>
      <x:c r="K10" s="80" t="str">
        <x:v>نعم</x:v>
      </x:c>
      <x:c r="L10" s="91" t="n">
        <x:f>IFERROR(VLOOKUP(D10,'مراجع الوصفات'!$F$2:$I$253,4,FALSE),"")</x:f>
        <x:v>3000</x:v>
      </x:c>
      <x:c r="M10" s="91" t="n">
        <x:f>IF(OR(I10="",NOT(ISNUMBER(I10)),L10=""),"",I10*L10*(1+J10/100))</x:f>
        <x:v>3000</x:v>
      </x:c>
      <x:c r="N10" s="80" t="str"/>
      <x:c r="O10" s="93" t="str">
        <x:f>IF(AND(B10="",D10="",F10=""),"",IF(A10="تجاهل","تجاهل",IF(OR(B10="",D10="",F10="",G10="",H10=""),"ناقص",IF(NOT(ISNUMBER(I10)),"خطأ وحدة",IF(OR(J10&lt;0,J10&gt;100),"خطأ هدر","صالح")))))</x:f>
        <x:v>صالح</x:v>
      </x:c>
    </x:row>
    <x:row r="11">
      <x:c r="A11" s="79" t="str">
        <x:v>جاهز للاستيراد</x:v>
      </x:c>
      <x:c r="B11" s="80" t="str">
        <x:v>هوت شوكليت بالحليب</x:v>
      </x:c>
      <x:c r="C11" s="87" t="str">
        <x:f>IFERROR(VLOOKUP(B11,'مراجع الوصفات'!$A$2:$D$79,2,FALSE),"")</x:f>
        <x:v>hot_chocolate_milk</x:v>
      </x:c>
      <x:c r="D11" s="80" t="str">
        <x:v>هوت شوكليت – ظرف</x:v>
      </x:c>
      <x:c r="E11" s="87" t="str">
        <x:f>IFERROR(VLOOKUP(D11,'مراجع الوصفات'!$F$2:$I$253,2,FALSE),"")</x:f>
        <x:v>DRK-CHOCO-SACHET</x:v>
      </x:c>
      <x:c r="F11" s="83" t="n">
        <x:v>1</x:v>
      </x:c>
      <x:c r="G11" s="80" t="str">
        <x:v>حصة</x:v>
      </x:c>
      <x:c r="H11" s="87" t="str">
        <x:f>IFERROR(VLOOKUP(D11,'مراجع الوصفات'!$F$2:$I$253,3,FALSE),"")</x:f>
        <x:v>حصة</x:v>
      </x:c>
      <x:c r="I11" s="89" t="n">
        <x:f>IF(OR(F11="",G11="",H11=""),"",IF(G11=H11,F11,IF(AND(G11="غ",H11="كغ"),F11/1000,IF(AND(G11="كغ",H11="غ"),F11*1000,IF(AND(G11="مل",H11="لتر"),F11/1000,IF(AND(G11="لتر",H11="مل"),F11*1000,"خطأ وحدة"))))))</x:f>
        <x:v>1</x:v>
      </x:c>
      <x:c r="J11" s="85" t="n">
        <x:v>0</x:v>
      </x:c>
      <x:c r="K11" s="80" t="str">
        <x:v>نعم</x:v>
      </x:c>
      <x:c r="L11" s="91" t="n">
        <x:f>IFERROR(VLOOKUP(D11,'مراجع الوصفات'!$F$2:$I$253,4,FALSE),"")</x:f>
        <x:v>3000</x:v>
      </x:c>
      <x:c r="M11" s="91" t="n">
        <x:f>IF(OR(I11="",NOT(ISNUMBER(I11)),L11=""),"",I11*L11*(1+J11/100))</x:f>
        <x:v>3000</x:v>
      </x:c>
      <x:c r="N11" s="80" t="str"/>
      <x:c r="O11" s="93" t="str">
        <x:f>IF(AND(B11="",D11="",F11=""),"",IF(A11="تجاهل","تجاهل",IF(OR(B11="",D11="",F11="",G11="",H11=""),"ناقص",IF(NOT(ISNUMBER(I11)),"خطأ وحدة",IF(OR(J11&lt;0,J11&gt;100),"خطأ هدر","صالح")))))</x:f>
        <x:v>صالح</x:v>
      </x:c>
    </x:row>
    <x:row r="12">
      <x:c r="A12" s="79" t="str">
        <x:v>بحاجة مراجعة</x:v>
      </x:c>
      <x:c r="B12" s="80" t="str">
        <x:v>هوت شوكليت بالحليب</x:v>
      </x:c>
      <x:c r="C12" s="87" t="str">
        <x:f>IFERROR(VLOOKUP(B12,'مراجع الوصفات'!$A$2:$D$79,2,FALSE),"")</x:f>
        <x:v>hot_chocolate_milk</x:v>
      </x:c>
      <x:c r="D12" s="80" t="str">
        <x:v>حليب</x:v>
      </x:c>
      <x:c r="E12" s="87" t="str">
        <x:f>IFERROR(VLOOKUP(D12,'مراجع الوصفات'!$F$2:$I$253,2,FALSE),"")</x:f>
        <x:v>ING-DAIRY-MILK</x:v>
      </x:c>
      <x:c r="F12" s="83" t="n">
        <x:v>200</x:v>
      </x:c>
      <x:c r="G12" s="80" t="str">
        <x:v>مل</x:v>
      </x:c>
      <x:c r="H12" s="87" t="str">
        <x:f>IFERROR(VLOOKUP(D12,'مراجع الوصفات'!$F$2:$I$253,3,FALSE),"")</x:f>
        <x:v>لتر</x:v>
      </x:c>
      <x:c r="I12" s="89" t="n">
        <x:f>IF(OR(F12="",G12="",H12=""),"",IF(G12=H12,F12,IF(AND(G12="غ",H12="كغ"),F12/1000,IF(AND(G12="كغ",H12="غ"),F12*1000,IF(AND(G12="مل",H12="لتر"),F12/1000,IF(AND(G12="لتر",H12="مل"),F12*1000,"خطأ وحدة"))))))</x:f>
        <x:v>0.2</x:v>
      </x:c>
      <x:c r="J12" s="85" t="n">
        <x:v>0</x:v>
      </x:c>
      <x:c r="K12" s="80" t="str">
        <x:v>نعم</x:v>
      </x:c>
      <x:c r="L12" s="91" t="n">
        <x:f>IFERROR(VLOOKUP(D12,'مراجع الوصفات'!$F$2:$I$253,4,FALSE),"")</x:f>
        <x:v>15000</x:v>
      </x:c>
      <x:c r="M12" s="91" t="n">
        <x:f>IF(OR(I12="",NOT(ISNUMBER(I12)),L12=""),"",I12*L12*(1+J12/100))</x:f>
        <x:v>3000</x:v>
      </x:c>
      <x:c r="N12" s="80" t="str">
        <x:v>تقدير 200مل حليب.</x:v>
      </x:c>
      <x:c r="O12" s="93" t="str">
        <x:f>IF(AND(B12="",D12="",F12=""),"",IF(A12="تجاهل","تجاهل",IF(OR(B12="",D12="",F12="",G12="",H12=""),"ناقص",IF(NOT(ISNUMBER(I12)),"خطأ وحدة",IF(OR(J12&lt;0,J12&gt;100),"خطأ هدر","صالح")))))</x:f>
        <x:v>صالح</x:v>
      </x:c>
    </x:row>
    <x:row r="13">
      <x:c r="A13" s="79" t="str">
        <x:v>جاهز للاستيراد</x:v>
      </x:c>
      <x:c r="B13" s="80" t="str">
        <x:v>ماتشا بالماء</x:v>
      </x:c>
      <x:c r="C13" s="87" t="str">
        <x:f>IFERROR(VLOOKUP(B13,'مراجع الوصفات'!$A$2:$D$79,2,FALSE),"")</x:f>
        <x:v>matcha_water</x:v>
      </x:c>
      <x:c r="D13" s="80" t="str">
        <x:v>ماتشا – حصة</x:v>
      </x:c>
      <x:c r="E13" s="87" t="str">
        <x:f>IFERROR(VLOOKUP(D13,'مراجع الوصفات'!$F$2:$I$253,2,FALSE),"")</x:f>
        <x:v>DRK-MATCHA-PORTION</x:v>
      </x:c>
      <x:c r="F13" s="83" t="n">
        <x:v>1</x:v>
      </x:c>
      <x:c r="G13" s="80" t="str">
        <x:v>حصة</x:v>
      </x:c>
      <x:c r="H13" s="87" t="str">
        <x:f>IFERROR(VLOOKUP(D13,'مراجع الوصفات'!$F$2:$I$253,3,FALSE),"")</x:f>
        <x:v>حصة</x:v>
      </x:c>
      <x:c r="I13" s="89" t="n">
        <x:f>IF(OR(F13="",G13="",H13=""),"",IF(G13=H13,F13,IF(AND(G13="غ",H13="كغ"),F13/1000,IF(AND(G13="كغ",H13="غ"),F13*1000,IF(AND(G13="مل",H13="لتر"),F13/1000,IF(AND(G13="لتر",H13="مل"),F13*1000,"خطأ وحدة"))))))</x:f>
        <x:v>1</x:v>
      </x:c>
      <x:c r="J13" s="85" t="n">
        <x:v>0</x:v>
      </x:c>
      <x:c r="K13" s="80" t="str">
        <x:v>نعم</x:v>
      </x:c>
      <x:c r="L13" s="91" t="n">
        <x:f>IFERROR(VLOOKUP(D13,'مراجع الوصفات'!$F$2:$I$253,4,FALSE),"")</x:f>
        <x:v>4450</x:v>
      </x:c>
      <x:c r="M13" s="91" t="n">
        <x:f>IF(OR(I13="",NOT(ISNUMBER(I13)),L13=""),"",I13*L13*(1+J13/100))</x:f>
        <x:v>4450</x:v>
      </x:c>
      <x:c r="N13" s="80" t="str"/>
      <x:c r="O13" s="93" t="str">
        <x:f>IF(AND(B13="",D13="",F13=""),"",IF(A13="تجاهل","تجاهل",IF(OR(B13="",D13="",F13="",G13="",H13=""),"ناقص",IF(NOT(ISNUMBER(I13)),"خطأ وحدة",IF(OR(J13&lt;0,J13&gt;100),"خطأ هدر","صالح")))))</x:f>
        <x:v>صالح</x:v>
      </x:c>
    </x:row>
    <x:row r="14">
      <x:c r="A14" s="79" t="str">
        <x:v>جاهز للاستيراد</x:v>
      </x:c>
      <x:c r="B14" s="80" t="str">
        <x:v>ماتشا لاتيه ساخن</x:v>
      </x:c>
      <x:c r="C14" s="87" t="str">
        <x:f>IFERROR(VLOOKUP(B14,'مراجع الوصفات'!$A$2:$D$79,2,FALSE),"")</x:f>
        <x:v>hot_matcha_latte</x:v>
      </x:c>
      <x:c r="D14" s="80" t="str">
        <x:v>ماتشا – حصة</x:v>
      </x:c>
      <x:c r="E14" s="87" t="str">
        <x:f>IFERROR(VLOOKUP(D14,'مراجع الوصفات'!$F$2:$I$253,2,FALSE),"")</x:f>
        <x:v>DRK-MATCHA-PORTION</x:v>
      </x:c>
      <x:c r="F14" s="83" t="n">
        <x:v>1</x:v>
      </x:c>
      <x:c r="G14" s="80" t="str">
        <x:v>حصة</x:v>
      </x:c>
      <x:c r="H14" s="87" t="str">
        <x:f>IFERROR(VLOOKUP(D14,'مراجع الوصفات'!$F$2:$I$253,3,FALSE),"")</x:f>
        <x:v>حصة</x:v>
      </x:c>
      <x:c r="I14" s="89" t="n">
        <x:f>IF(OR(F14="",G14="",H14=""),"",IF(G14=H14,F14,IF(AND(G14="غ",H14="كغ"),F14/1000,IF(AND(G14="كغ",H14="غ"),F14*1000,IF(AND(G14="مل",H14="لتر"),F14/1000,IF(AND(G14="لتر",H14="مل"),F14*1000,"خطأ وحدة"))))))</x:f>
        <x:v>1</x:v>
      </x:c>
      <x:c r="J14" s="85" t="n">
        <x:v>0</x:v>
      </x:c>
      <x:c r="K14" s="80" t="str">
        <x:v>نعم</x:v>
      </x:c>
      <x:c r="L14" s="91" t="n">
        <x:f>IFERROR(VLOOKUP(D14,'مراجع الوصفات'!$F$2:$I$253,4,FALSE),"")</x:f>
        <x:v>4450</x:v>
      </x:c>
      <x:c r="M14" s="91" t="n">
        <x:f>IF(OR(I14="",NOT(ISNUMBER(I14)),L14=""),"",I14*L14*(1+J14/100))</x:f>
        <x:v>4450</x:v>
      </x:c>
      <x:c r="N14" s="80" t="str"/>
      <x:c r="O14" s="93" t="str">
        <x:f>IF(AND(B14="",D14="",F14=""),"",IF(A14="تجاهل","تجاهل",IF(OR(B14="",D14="",F14="",G14="",H14=""),"ناقص",IF(NOT(ISNUMBER(I14)),"خطأ وحدة",IF(OR(J14&lt;0,J14&gt;100),"خطأ هدر","صالح")))))</x:f>
        <x:v>صالح</x:v>
      </x:c>
    </x:row>
    <x:row r="15">
      <x:c r="A15" s="79" t="str">
        <x:v>بحاجة مراجعة</x:v>
      </x:c>
      <x:c r="B15" s="80" t="str">
        <x:v>ماتشا لاتيه ساخن</x:v>
      </x:c>
      <x:c r="C15" s="87" t="str">
        <x:f>IFERROR(VLOOKUP(B15,'مراجع الوصفات'!$A$2:$D$79,2,FALSE),"")</x:f>
        <x:v>hot_matcha_latte</x:v>
      </x:c>
      <x:c r="D15" s="80" t="str">
        <x:v>حليب</x:v>
      </x:c>
      <x:c r="E15" s="87" t="str">
        <x:f>IFERROR(VLOOKUP(D15,'مراجع الوصفات'!$F$2:$I$253,2,FALSE),"")</x:f>
        <x:v>ING-DAIRY-MILK</x:v>
      </x:c>
      <x:c r="F15" s="83" t="n">
        <x:v>200</x:v>
      </x:c>
      <x:c r="G15" s="80" t="str">
        <x:v>مل</x:v>
      </x:c>
      <x:c r="H15" s="87" t="str">
        <x:f>IFERROR(VLOOKUP(D15,'مراجع الوصفات'!$F$2:$I$253,3,FALSE),"")</x:f>
        <x:v>لتر</x:v>
      </x:c>
      <x:c r="I15" s="89" t="n">
        <x:f>IF(OR(F15="",G15="",H15=""),"",IF(G15=H15,F15,IF(AND(G15="غ",H15="كغ"),F15/1000,IF(AND(G15="كغ",H15="غ"),F15*1000,IF(AND(G15="مل",H15="لتر"),F15/1000,IF(AND(G15="لتر",H15="مل"),F15*1000,"خطأ وحدة"))))))</x:f>
        <x:v>0.2</x:v>
      </x:c>
      <x:c r="J15" s="85" t="n">
        <x:v>0</x:v>
      </x:c>
      <x:c r="K15" s="80" t="str">
        <x:v>نعم</x:v>
      </x:c>
      <x:c r="L15" s="91" t="n">
        <x:f>IFERROR(VLOOKUP(D15,'مراجع الوصفات'!$F$2:$I$253,4,FALSE),"")</x:f>
        <x:v>15000</x:v>
      </x:c>
      <x:c r="M15" s="91" t="n">
        <x:f>IF(OR(I15="",NOT(ISNUMBER(I15)),L15=""),"",I15*L15*(1+J15/100))</x:f>
        <x:v>3000</x:v>
      </x:c>
      <x:c r="N15" s="80" t="str">
        <x:v>تقدير 200مل حليب.</x:v>
      </x:c>
      <x:c r="O15" s="93" t="str">
        <x:f>IF(AND(B15="",D15="",F15=""),"",IF(A15="تجاهل","تجاهل",IF(OR(B15="",D15="",F15="",G15="",H15=""),"ناقص",IF(NOT(ISNUMBER(I15)),"خطأ وحدة",IF(OR(J15&lt;0,J15&gt;100),"خطأ هدر","صالح")))))</x:f>
        <x:v>صالح</x:v>
      </x:c>
    </x:row>
    <x:row r="16">
      <x:c r="A16" s="79" t="str">
        <x:v>بحاجة مراجعة</x:v>
      </x:c>
      <x:c r="B16" s="80" t="str">
        <x:v>كولا / سفن أب — كاسة</x:v>
      </x:c>
      <x:c r="C16" s="87" t="str">
        <x:f>IFERROR(VLOOKUP(B16,'مراجع الوصفات'!$A$2:$D$79,2,FALSE),"")</x:f>
        <x:v>cola_7up_glass</x:v>
      </x:c>
      <x:c r="D16" s="80" t="str">
        <x:v>سوبرين سفن أب / كولا 2.25 لتر</x:v>
      </x:c>
      <x:c r="E16" s="87" t="str">
        <x:f>IFERROR(VLOOKUP(D16,'مراجع الوصفات'!$F$2:$I$253,2,FALSE),"")</x:f>
        <x:v>DRK-SODA-SUPRIN-225</x:v>
      </x:c>
      <x:c r="F16" s="83" t="n">
        <x:v>0.111</x:v>
      </x:c>
      <x:c r="G16" s="80" t="str">
        <x:v>زجاجة</x:v>
      </x:c>
      <x:c r="H16" s="87" t="str">
        <x:f>IFERROR(VLOOKUP(D16,'مراجع الوصفات'!$F$2:$I$253,3,FALSE),"")</x:f>
        <x:v>زجاجة</x:v>
      </x:c>
      <x:c r="I16" s="89" t="n">
        <x:f>IF(OR(F16="",G16="",H16=""),"",IF(G16=H16,F16,IF(AND(G16="غ",H16="كغ"),F16/1000,IF(AND(G16="كغ",H16="غ"),F16*1000,IF(AND(G16="مل",H16="لتر"),F16/1000,IF(AND(G16="لتر",H16="مل"),F16*1000,"خطأ وحدة"))))))</x:f>
        <x:v>0.111</x:v>
      </x:c>
      <x:c r="J16" s="85" t="n">
        <x:v>0</x:v>
      </x:c>
      <x:c r="K16" s="80" t="str">
        <x:v>نعم</x:v>
      </x:c>
      <x:c r="L16" s="91" t="n">
        <x:f>IFERROR(VLOOKUP(D16,'مراجع الوصفات'!$F$2:$I$253,4,FALSE),"")</x:f>
        <x:v>15000</x:v>
      </x:c>
      <x:c r="M16" s="91" t="n">
        <x:f>IF(OR(I16="",NOT(ISNUMBER(I16)),L16=""),"",I16*L16*(1+J16/100))</x:f>
        <x:v>1665</x:v>
      </x:c>
      <x:c r="N16" s="80" t="str">
        <x:v>يعادل تقريباً 250مل من زجاجة 2.25 لتر.</x:v>
      </x:c>
      <x:c r="O16" s="93" t="str">
        <x:f>IF(AND(B16="",D16="",F16=""),"",IF(A16="تجاهل","تجاهل",IF(OR(B16="",D16="",F16="",G16="",H16=""),"ناقص",IF(NOT(ISNUMBER(I16)),"خطأ وحدة",IF(OR(J16&lt;0,J16&gt;100),"خطأ هدر","صالح")))))</x:f>
        <x:v>صالح</x:v>
      </x:c>
    </x:row>
    <x:row r="17">
      <x:c r="A17" s="79" t="str">
        <x:v>جاهز للاستيراد</x:v>
      </x:c>
      <x:c r="B17" s="80" t="str">
        <x:v>مشروب معلب / غازي</x:v>
      </x:c>
      <x:c r="C17" s="87" t="str">
        <x:f>IFERROR(VLOOKUP(B17,'مراجع الوصفات'!$A$2:$D$79,2,FALSE),"")</x:f>
        <x:v>canned_fizzy_drink</x:v>
      </x:c>
      <x:c r="D17" s="80" t="str">
        <x:v>صودا – علبة</x:v>
      </x:c>
      <x:c r="E17" s="87" t="str">
        <x:f>IFERROR(VLOOKUP(D17,'مراجع الوصفات'!$F$2:$I$253,2,FALSE),"")</x:f>
        <x:v>DRK-SODA-CAN</x:v>
      </x:c>
      <x:c r="F17" s="83" t="n">
        <x:v>1</x:v>
      </x:c>
      <x:c r="G17" s="80" t="str">
        <x:v>قطعة</x:v>
      </x:c>
      <x:c r="H17" s="87" t="str">
        <x:f>IFERROR(VLOOKUP(D17,'مراجع الوصفات'!$F$2:$I$253,3,FALSE),"")</x:f>
        <x:v>قطعة</x:v>
      </x:c>
      <x:c r="I17" s="89" t="n">
        <x:f>IF(OR(F17="",G17="",H17=""),"",IF(G17=H17,F17,IF(AND(G17="غ",H17="كغ"),F17/1000,IF(AND(G17="كغ",H17="غ"),F17*1000,IF(AND(G17="مل",H17="لتر"),F17/1000,IF(AND(G17="لتر",H17="مل"),F17*1000,"خطأ وحدة"))))))</x:f>
        <x:v>1</x:v>
      </x:c>
      <x:c r="J17" s="85" t="n">
        <x:v>0</x:v>
      </x:c>
      <x:c r="K17" s="80" t="str">
        <x:v>نعم</x:v>
      </x:c>
      <x:c r="L17" s="91" t="str">
        <x:f>IFERROR(VLOOKUP(D17,'مراجع الوصفات'!$F$2:$I$253,4,FALSE),"")</x:f>
      </x:c>
      <x:c r="M17" s="91" t="str">
        <x:f>IF(OR(I17="",NOT(ISNUMBER(I17)),L17=""),"",I17*L17*(1+J17/100))</x:f>
      </x:c>
      <x:c r="N17" s="80" t="str"/>
      <x:c r="O17" s="93" t="str">
        <x:f>IF(AND(B17="",D17="",F17=""),"",IF(A17="تجاهل","تجاهل",IF(OR(B17="",D17="",F17="",G17="",H17=""),"ناقص",IF(NOT(ISNUMBER(I17)),"خطأ وحدة",IF(OR(J17&lt;0,J17&gt;100),"خطأ هدر","صالح")))))</x:f>
        <x:v>صالح</x:v>
      </x:c>
    </x:row>
    <x:row r="18">
      <x:c r="A18" s="79" t="str">
        <x:v>بحاجة مراجعة</x:v>
      </x:c>
      <x:c r="B18" s="80" t="str">
        <x:v>عصير كاسة</x:v>
      </x:c>
      <x:c r="C18" s="87" t="str">
        <x:f>IFERROR(VLOOKUP(B18,'مراجع الوصفات'!$A$2:$D$79,2,FALSE),"")</x:f>
        <x:v>juice_glass</x:v>
      </x:c>
      <x:c r="D18" s="80" t="str">
        <x:v>عصير فيوري 1 لتر</x:v>
      </x:c>
      <x:c r="E18" s="87" t="str">
        <x:f>IFERROR(VLOOKUP(D18,'مراجع الوصفات'!$F$2:$I$253,2,FALSE),"")</x:f>
        <x:v>DRK-JUICE-FIORI-1L</x:v>
      </x:c>
      <x:c r="F18" s="83" t="n">
        <x:v>250</x:v>
      </x:c>
      <x:c r="G18" s="80" t="str">
        <x:v>مل</x:v>
      </x:c>
      <x:c r="H18" s="87" t="str">
        <x:f>IFERROR(VLOOKUP(D18,'مراجع الوصفات'!$F$2:$I$253,3,FALSE),"")</x:f>
        <x:v>لتر</x:v>
      </x:c>
      <x:c r="I18" s="89" t="n">
        <x:f>IF(OR(F18="",G18="",H18=""),"",IF(G18=H18,F18,IF(AND(G18="غ",H18="كغ"),F18/1000,IF(AND(G18="كغ",H18="غ"),F18*1000,IF(AND(G18="مل",H18="لتر"),F18/1000,IF(AND(G18="لتر",H18="مل"),F18*1000,"خطأ وحدة"))))))</x:f>
        <x:v>0.25</x:v>
      </x:c>
      <x:c r="J18" s="85" t="n">
        <x:v>0</x:v>
      </x:c>
      <x:c r="K18" s="80" t="str">
        <x:v>نعم</x:v>
      </x:c>
      <x:c r="L18" s="91" t="n">
        <x:f>IFERROR(VLOOKUP(D18,'مراجع الوصفات'!$F$2:$I$253,4,FALSE),"")</x:f>
        <x:v>15000</x:v>
      </x:c>
      <x:c r="M18" s="91" t="n">
        <x:f>IF(OR(I18="",NOT(ISNUMBER(I18)),L18=""),"",I18*L18*(1+J18/100))</x:f>
        <x:v>3750</x:v>
      </x:c>
      <x:c r="N18" s="80" t="str">
        <x:v>تقدير كاسة 250مل.</x:v>
      </x:c>
      <x:c r="O18" s="93" t="str">
        <x:f>IF(AND(B18="",D18="",F18=""),"",IF(A18="تجاهل","تجاهل",IF(OR(B18="",D18="",F18="",G18="",H18=""),"ناقص",IF(NOT(ISNUMBER(I18)),"خطأ وحدة",IF(OR(J18&lt;0,J18&gt;100),"خطأ هدر","صالح")))))</x:f>
        <x:v>صالح</x:v>
      </x:c>
    </x:row>
    <x:row r="19">
      <x:c r="A19" s="79" t="str">
        <x:v>بحاجة مراجعة</x:v>
      </x:c>
      <x:c r="B19" s="80" t="str">
        <x:v>عصير كبير</x:v>
      </x:c>
      <x:c r="C19" s="87" t="str">
        <x:f>IFERROR(VLOOKUP(B19,'مراجع الوصفات'!$A$2:$D$79,2,FALSE),"")</x:f>
        <x:v>large_juice</x:v>
      </x:c>
      <x:c r="D19" s="80" t="str">
        <x:v>عصير فيوري 1 لتر</x:v>
      </x:c>
      <x:c r="E19" s="87" t="str">
        <x:f>IFERROR(VLOOKUP(D19,'مراجع الوصفات'!$F$2:$I$253,2,FALSE),"")</x:f>
        <x:v>DRK-JUICE-FIORI-1L</x:v>
      </x:c>
      <x:c r="F19" s="83" t="n">
        <x:v>400</x:v>
      </x:c>
      <x:c r="G19" s="80" t="str">
        <x:v>مل</x:v>
      </x:c>
      <x:c r="H19" s="87" t="str">
        <x:f>IFERROR(VLOOKUP(D19,'مراجع الوصفات'!$F$2:$I$253,3,FALSE),"")</x:f>
        <x:v>لتر</x:v>
      </x:c>
      <x:c r="I19" s="89" t="n">
        <x:f>IF(OR(F19="",G19="",H19=""),"",IF(G19=H19,F19,IF(AND(G19="غ",H19="كغ"),F19/1000,IF(AND(G19="كغ",H19="غ"),F19*1000,IF(AND(G19="مل",H19="لتر"),F19/1000,IF(AND(G19="لتر",H19="مل"),F19*1000,"خطأ وحدة"))))))</x:f>
        <x:v>0.4</x:v>
      </x:c>
      <x:c r="J19" s="85" t="n">
        <x:v>0</x:v>
      </x:c>
      <x:c r="K19" s="80" t="str">
        <x:v>نعم</x:v>
      </x:c>
      <x:c r="L19" s="91" t="n">
        <x:f>IFERROR(VLOOKUP(D19,'مراجع الوصفات'!$F$2:$I$253,4,FALSE),"")</x:f>
        <x:v>15000</x:v>
      </x:c>
      <x:c r="M19" s="91" t="n">
        <x:f>IF(OR(I19="",NOT(ISNUMBER(I19)),L19=""),"",I19*L19*(1+J19/100))</x:f>
        <x:v>6000</x:v>
      </x:c>
      <x:c r="N19" s="80" t="str">
        <x:v>تقدير كاسة كبيرة 400مل.</x:v>
      </x:c>
      <x:c r="O19" s="93" t="str">
        <x:f>IF(AND(B19="",D19="",F19=""),"",IF(A19="تجاهل","تجاهل",IF(OR(B19="",D19="",F19="",G19="",H19=""),"ناقص",IF(NOT(ISNUMBER(I19)),"خطأ وحدة",IF(OR(J19&lt;0,J19&gt;100),"خطأ هدر","صالح")))))</x:f>
        <x:v>صالح</x:v>
      </x:c>
    </x:row>
    <x:row r="20">
      <x:c r="A20" s="79" t="str">
        <x:v>بحاجة مراجعة</x:v>
      </x:c>
      <x:c r="B20" s="80" t="str">
        <x:v>شنينة / لبن بارد</x:v>
      </x:c>
      <x:c r="C20" s="87" t="str">
        <x:f>IFERROR(VLOOKUP(B20,'مراجع الوصفات'!$A$2:$D$79,2,FALSE),"")</x:f>
        <x:v>cold_yogurt_drink</x:v>
      </x:c>
      <x:c r="D20" s="80" t="str">
        <x:v>شنينة جاهزة</x:v>
      </x:c>
      <x:c r="E20" s="87" t="str">
        <x:f>IFERROR(VLOOKUP(D20,'مراجع الوصفات'!$F$2:$I$253,2,FALSE),"")</x:f>
        <x:v>DRK-AYRAN-READY</x:v>
      </x:c>
      <x:c r="F20" s="83" t="n">
        <x:v>300</x:v>
      </x:c>
      <x:c r="G20" s="80" t="str">
        <x:v>مل</x:v>
      </x:c>
      <x:c r="H20" s="87" t="str">
        <x:f>IFERROR(VLOOKUP(D20,'مراجع الوصفات'!$F$2:$I$253,3,FALSE),"")</x:f>
        <x:v>لتر</x:v>
      </x:c>
      <x:c r="I20" s="89" t="n">
        <x:f>IF(OR(F20="",G20="",H20=""),"",IF(G20=H20,F20,IF(AND(G20="غ",H20="كغ"),F20/1000,IF(AND(G20="كغ",H20="غ"),F20*1000,IF(AND(G20="مل",H20="لتر"),F20/1000,IF(AND(G20="لتر",H20="مل"),F20*1000,"خطأ وحدة"))))))</x:f>
        <x:v>0.3</x:v>
      </x:c>
      <x:c r="J20" s="85" t="n">
        <x:v>0</x:v>
      </x:c>
      <x:c r="K20" s="80" t="str">
        <x:v>نعم</x:v>
      </x:c>
      <x:c r="L20" s="91" t="str">
        <x:f>IFERROR(VLOOKUP(D20,'مراجع الوصفات'!$F$2:$I$253,4,FALSE),"")</x:f>
      </x:c>
      <x:c r="M20" s="91" t="str">
        <x:f>IF(OR(I20="",NOT(ISNUMBER(I20)),L20=""),"",I20*L20*(1+J20/100))</x:f>
      </x:c>
      <x:c r="N20" s="80" t="str">
        <x:v>على أساس شنينة جاهزة.</x:v>
      </x:c>
      <x:c r="O20" s="93" t="str">
        <x:f>IF(AND(B20="",D20="",F20=""),"",IF(A20="تجاهل","تجاهل",IF(OR(B20="",D20="",F20="",G20="",H20=""),"ناقص",IF(NOT(ISNUMBER(I20)),"خطأ وحدة",IF(OR(J20&lt;0,J20&gt;100),"خطأ هدر","صالح")))))</x:f>
        <x:v>صالح</x:v>
      </x:c>
    </x:row>
    <x:row r="21">
      <x:c r="A21" s="79" t="str">
        <x:v>بحاجة مراجعة</x:v>
      </x:c>
      <x:c r="B21" s="80" t="str">
        <x:v>دبس وليمون</x:v>
      </x:c>
      <x:c r="C21" s="87" t="str">
        <x:f>IFERROR(VLOOKUP(B21,'مراجع الوصفات'!$A$2:$D$79,2,FALSE),"")</x:f>
        <x:v>dibs_lemon</x:v>
      </x:c>
      <x:c r="D21" s="80" t="str">
        <x:v>دبس عنب</x:v>
      </x:c>
      <x:c r="E21" s="87" t="str">
        <x:f>IFERROR(VLOOKUP(D21,'مراجع الوصفات'!$F$2:$I$253,2,FALSE),"")</x:f>
        <x:v>ING-SWEET-GRAPEMOLASSES</x:v>
      </x:c>
      <x:c r="F21" s="83" t="n">
        <x:v>30</x:v>
      </x:c>
      <x:c r="G21" s="80" t="str">
        <x:v>غ</x:v>
      </x:c>
      <x:c r="H21" s="87" t="str">
        <x:f>IFERROR(VLOOKUP(D21,'مراجع الوصفات'!$F$2:$I$253,3,FALSE),"")</x:f>
        <x:v>كغ</x:v>
      </x:c>
      <x:c r="I21" s="89" t="n">
        <x:f>IF(OR(F21="",G21="",H21=""),"",IF(G21=H21,F21,IF(AND(G21="غ",H21="كغ"),F21/1000,IF(AND(G21="كغ",H21="غ"),F21*1000,IF(AND(G21="مل",H21="لتر"),F21/1000,IF(AND(G21="لتر",H21="مل"),F21*1000,"خطأ وحدة"))))))</x:f>
        <x:v>0.03</x:v>
      </x:c>
      <x:c r="J21" s="85" t="n">
        <x:v>0</x:v>
      </x:c>
      <x:c r="K21" s="80" t="str">
        <x:v>نعم</x:v>
      </x:c>
      <x:c r="L21" s="91" t="str">
        <x:f>IFERROR(VLOOKUP(D21,'مراجع الوصفات'!$F$2:$I$253,4,FALSE),"")</x:f>
      </x:c>
      <x:c r="M21" s="91" t="str">
        <x:f>IF(OR(I21="",NOT(ISNUMBER(I21)),L21=""),"",I21*L21*(1+J21/100))</x:f>
      </x:c>
      <x:c r="N21" s="80" t="str">
        <x:v>تقدير 30غ دبس عنب.</x:v>
      </x:c>
      <x:c r="O21" s="93" t="str">
        <x:f>IF(AND(B21="",D21="",F21=""),"",IF(A21="تجاهل","تجاهل",IF(OR(B21="",D21="",F21="",G21="",H21=""),"ناقص",IF(NOT(ISNUMBER(I21)),"خطأ وحدة",IF(OR(J21&lt;0,J21&gt;100),"خطأ هدر","صالح")))))</x:f>
        <x:v>صالح</x:v>
      </x:c>
    </x:row>
    <x:row r="22">
      <x:c r="A22" s="79" t="str">
        <x:v>بحاجة مراجعة</x:v>
      </x:c>
      <x:c r="B22" s="80" t="str">
        <x:v>دبس وليمون</x:v>
      </x:c>
      <x:c r="C22" s="87" t="str">
        <x:f>IFERROR(VLOOKUP(B22,'مراجع الوصفات'!$A$2:$D$79,2,FALSE),"")</x:f>
        <x:v>dibs_lemon</x:v>
      </x:c>
      <x:c r="D22" s="80" t="str">
        <x:v>ليمون</x:v>
      </x:c>
      <x:c r="E22" s="87" t="str">
        <x:f>IFERROR(VLOOKUP(D22,'مراجع الوصفات'!$F$2:$I$253,2,FALSE),"")</x:f>
        <x:v>ING-FRT-LEMON</x:v>
      </x:c>
      <x:c r="F22" s="83" t="n">
        <x:v>35</x:v>
      </x:c>
      <x:c r="G22" s="80" t="str">
        <x:v>غ</x:v>
      </x:c>
      <x:c r="H22" s="87" t="str">
        <x:f>IFERROR(VLOOKUP(D22,'مراجع الوصفات'!$F$2:$I$253,3,FALSE),"")</x:f>
        <x:v>كغ</x:v>
      </x:c>
      <x:c r="I22" s="89" t="n">
        <x:f>IF(OR(F22="",G22="",H22=""),"",IF(G22=H22,F22,IF(AND(G22="غ",H22="كغ"),F22/1000,IF(AND(G22="كغ",H22="غ"),F22*1000,IF(AND(G22="مل",H22="لتر"),F22/1000,IF(AND(G22="لتر",H22="مل"),F22*1000,"خطأ وحدة"))))))</x:f>
        <x:v>0.035</x:v>
      </x:c>
      <x:c r="J22" s="85" t="n">
        <x:v>0</x:v>
      </x:c>
      <x:c r="K22" s="80" t="str">
        <x:v>نعم</x:v>
      </x:c>
      <x:c r="L22" s="91" t="n">
        <x:f>IFERROR(VLOOKUP(D22,'مراجع الوصفات'!$F$2:$I$253,4,FALSE),"")</x:f>
        <x:v>30000</x:v>
      </x:c>
      <x:c r="M22" s="91" t="n">
        <x:f>IF(OR(I22="",NOT(ISNUMBER(I22)),L22=""),"",I22*L22*(1+J22/100))</x:f>
        <x:v>1050</x:v>
      </x:c>
      <x:c r="N22" s="80" t="str">
        <x:v>تقدير 35غ ليمون.</x:v>
      </x:c>
      <x:c r="O22" s="93" t="str">
        <x:f>IF(AND(B22="",D22="",F22=""),"",IF(A22="تجاهل","تجاهل",IF(OR(B22="",D22="",F22="",G22="",H22=""),"ناقص",IF(NOT(ISNUMBER(I22)),"خطأ وحدة",IF(OR(J22&lt;0,J22&gt;100),"خطأ هدر","صالح")))))</x:f>
        <x:v>صالح</x:v>
      </x:c>
    </x:row>
    <x:row r="23">
      <x:c r="A23" s="79" t="str">
        <x:v>بحاجة مراجعة</x:v>
      </x:c>
      <x:c r="B23" s="80" t="str">
        <x:v>جلاب الكرمة</x:v>
      </x:c>
      <x:c r="C23" s="87" t="str">
        <x:f>IFERROR(VLOOKUP(B23,'مراجع الوصفات'!$A$2:$D$79,2,FALSE),"")</x:f>
        <x:v>karma_jallab</x:v>
      </x:c>
      <x:c r="D23" s="80" t="str">
        <x:v>جلاب مركز</x:v>
      </x:c>
      <x:c r="E23" s="87" t="str">
        <x:f>IFERROR(VLOOKUP(D23,'مراجع الوصفات'!$F$2:$I$253,2,FALSE),"")</x:f>
        <x:v>DRK-LOCAL-JALLAB</x:v>
      </x:c>
      <x:c r="F23" s="83" t="n">
        <x:v>40</x:v>
      </x:c>
      <x:c r="G23" s="80" t="str">
        <x:v>مل</x:v>
      </x:c>
      <x:c r="H23" s="87" t="str">
        <x:f>IFERROR(VLOOKUP(D23,'مراجع الوصفات'!$F$2:$I$253,3,FALSE),"")</x:f>
        <x:v>لتر</x:v>
      </x:c>
      <x:c r="I23" s="89" t="n">
        <x:f>IF(OR(F23="",G23="",H23=""),"",IF(G23=H23,F23,IF(AND(G23="غ",H23="كغ"),F23/1000,IF(AND(G23="كغ",H23="غ"),F23*1000,IF(AND(G23="مل",H23="لتر"),F23/1000,IF(AND(G23="لتر",H23="مل"),F23*1000,"خطأ وحدة"))))))</x:f>
        <x:v>0.04</x:v>
      </x:c>
      <x:c r="J23" s="85" t="n">
        <x:v>0</x:v>
      </x:c>
      <x:c r="K23" s="80" t="str">
        <x:v>نعم</x:v>
      </x:c>
      <x:c r="L23" s="91" t="str">
        <x:f>IFERROR(VLOOKUP(D23,'مراجع الوصفات'!$F$2:$I$253,4,FALSE),"")</x:f>
      </x:c>
      <x:c r="M23" s="91" t="str">
        <x:f>IF(OR(I23="",NOT(ISNUMBER(I23)),L23=""),"",I23*L23*(1+J23/100))</x:f>
      </x:c>
      <x:c r="N23" s="80" t="str">
        <x:v>تقدير 40مل مركز؛ المكسرات خيار ولا تدخل بالوصفة الأساسية.</x:v>
      </x:c>
      <x:c r="O23" s="93" t="str">
        <x:f>IF(AND(B23="",D23="",F23=""),"",IF(A23="تجاهل","تجاهل",IF(OR(B23="",D23="",F23="",G23="",H23=""),"ناقص",IF(NOT(ISNUMBER(I23)),"خطأ وحدة",IF(OR(J23&lt;0,J23&gt;100),"خطأ هدر","صالح")))))</x:f>
        <x:v>صالح</x:v>
      </x:c>
    </x:row>
    <x:row r="24">
      <x:c r="A24" s="79" t="str">
        <x:v>جاهز للاستيراد</x:v>
      </x:c>
      <x:c r="B24" s="80" t="str">
        <x:v>آيس ماتشا لاتيه</x:v>
      </x:c>
      <x:c r="C24" s="87" t="str">
        <x:f>IFERROR(VLOOKUP(B24,'مراجع الوصفات'!$A$2:$D$79,2,FALSE),"")</x:f>
        <x:v>iced_matcha_latte</x:v>
      </x:c>
      <x:c r="D24" s="80" t="str">
        <x:v>ماتشا – حصة</x:v>
      </x:c>
      <x:c r="E24" s="87" t="str">
        <x:f>IFERROR(VLOOKUP(D24,'مراجع الوصفات'!$F$2:$I$253,2,FALSE),"")</x:f>
        <x:v>DRK-MATCHA-PORTION</x:v>
      </x:c>
      <x:c r="F24" s="83" t="n">
        <x:v>1</x:v>
      </x:c>
      <x:c r="G24" s="80" t="str">
        <x:v>حصة</x:v>
      </x:c>
      <x:c r="H24" s="87" t="str">
        <x:f>IFERROR(VLOOKUP(D24,'مراجع الوصفات'!$F$2:$I$253,3,FALSE),"")</x:f>
        <x:v>حصة</x:v>
      </x:c>
      <x:c r="I24" s="89" t="n">
        <x:f>IF(OR(F24="",G24="",H24=""),"",IF(G24=H24,F24,IF(AND(G24="غ",H24="كغ"),F24/1000,IF(AND(G24="كغ",H24="غ"),F24*1000,IF(AND(G24="مل",H24="لتر"),F24/1000,IF(AND(G24="لتر",H24="مل"),F24*1000,"خطأ وحدة"))))))</x:f>
        <x:v>1</x:v>
      </x:c>
      <x:c r="J24" s="85" t="n">
        <x:v>0</x:v>
      </x:c>
      <x:c r="K24" s="80" t="str">
        <x:v>نعم</x:v>
      </x:c>
      <x:c r="L24" s="91" t="n">
        <x:f>IFERROR(VLOOKUP(D24,'مراجع الوصفات'!$F$2:$I$253,4,FALSE),"")</x:f>
        <x:v>4450</x:v>
      </x:c>
      <x:c r="M24" s="91" t="n">
        <x:f>IF(OR(I24="",NOT(ISNUMBER(I24)),L24=""),"",I24*L24*(1+J24/100))</x:f>
        <x:v>4450</x:v>
      </x:c>
      <x:c r="N24" s="80" t="str"/>
      <x:c r="O24" s="93" t="str">
        <x:f>IF(AND(B24="",D24="",F24=""),"",IF(A24="تجاهل","تجاهل",IF(OR(B24="",D24="",F24="",G24="",H24=""),"ناقص",IF(NOT(ISNUMBER(I24)),"خطأ وحدة",IF(OR(J24&lt;0,J24&gt;100),"خطأ هدر","صالح")))))</x:f>
        <x:v>صالح</x:v>
      </x:c>
    </x:row>
    <x:row r="25">
      <x:c r="A25" s="79" t="str">
        <x:v>بحاجة مراجعة</x:v>
      </x:c>
      <x:c r="B25" s="80" t="str">
        <x:v>آيس ماتشا لاتيه</x:v>
      </x:c>
      <x:c r="C25" s="87" t="str">
        <x:f>IFERROR(VLOOKUP(B25,'مراجع الوصفات'!$A$2:$D$79,2,FALSE),"")</x:f>
        <x:v>iced_matcha_latte</x:v>
      </x:c>
      <x:c r="D25" s="80" t="str">
        <x:v>حليب</x:v>
      </x:c>
      <x:c r="E25" s="87" t="str">
        <x:f>IFERROR(VLOOKUP(D25,'مراجع الوصفات'!$F$2:$I$253,2,FALSE),"")</x:f>
        <x:v>ING-DAIRY-MILK</x:v>
      </x:c>
      <x:c r="F25" s="83" t="n">
        <x:v>200</x:v>
      </x:c>
      <x:c r="G25" s="80" t="str">
        <x:v>مل</x:v>
      </x:c>
      <x:c r="H25" s="87" t="str">
        <x:f>IFERROR(VLOOKUP(D25,'مراجع الوصفات'!$F$2:$I$253,3,FALSE),"")</x:f>
        <x:v>لتر</x:v>
      </x:c>
      <x:c r="I25" s="89" t="n">
        <x:f>IF(OR(F25="",G25="",H25=""),"",IF(G25=H25,F25,IF(AND(G25="غ",H25="كغ"),F25/1000,IF(AND(G25="كغ",H25="غ"),F25*1000,IF(AND(G25="مل",H25="لتر"),F25/1000,IF(AND(G25="لتر",H25="مل"),F25*1000,"خطأ وحدة"))))))</x:f>
        <x:v>0.2</x:v>
      </x:c>
      <x:c r="J25" s="85" t="n">
        <x:v>0</x:v>
      </x:c>
      <x:c r="K25" s="80" t="str">
        <x:v>نعم</x:v>
      </x:c>
      <x:c r="L25" s="91" t="n">
        <x:f>IFERROR(VLOOKUP(D25,'مراجع الوصفات'!$F$2:$I$253,4,FALSE),"")</x:f>
        <x:v>15000</x:v>
      </x:c>
      <x:c r="M25" s="91" t="n">
        <x:f>IF(OR(I25="",NOT(ISNUMBER(I25)),L25=""),"",I25*L25*(1+J25/100))</x:f>
        <x:v>3000</x:v>
      </x:c>
      <x:c r="N25" s="80" t="str">
        <x:v>تقدير 200مل حليب.</x:v>
      </x:c>
      <x:c r="O25" s="93" t="str">
        <x:f>IF(AND(B25="",D25="",F25=""),"",IF(A25="تجاهل","تجاهل",IF(OR(B25="",D25="",F25="",G25="",H25=""),"ناقص",IF(NOT(ISNUMBER(I25)),"خطأ وحدة",IF(OR(J25&lt;0,J25&gt;100),"خطأ هدر","صالح")))))</x:f>
        <x:v>صالح</x:v>
      </x:c>
    </x:row>
    <x:row r="26">
      <x:c r="A26" s="79" t="str">
        <x:v>بحاجة مراجعة</x:v>
      </x:c>
      <x:c r="B26" s="80" t="str">
        <x:v>آيس ماتشا لاتيه</x:v>
      </x:c>
      <x:c r="C26" s="87" t="str">
        <x:f>IFERROR(VLOOKUP(B26,'مراجع الوصفات'!$A$2:$D$79,2,FALSE),"")</x:f>
        <x:v>iced_matcha_latte</x:v>
      </x:c>
      <x:c r="D26" s="80" t="str">
        <x:v>ثلج</x:v>
      </x:c>
      <x:c r="E26" s="87" t="str">
        <x:f>IFERROR(VLOOKUP(D26,'مراجع الوصفات'!$F$2:$I$253,2,FALSE),"")</x:f>
        <x:v>DRK-ICE</x:v>
      </x:c>
      <x:c r="F26" s="83" t="n">
        <x:v>150</x:v>
      </x:c>
      <x:c r="G26" s="80" t="str">
        <x:v>غ</x:v>
      </x:c>
      <x:c r="H26" s="87" t="str">
        <x:f>IFERROR(VLOOKUP(D26,'مراجع الوصفات'!$F$2:$I$253,3,FALSE),"")</x:f>
        <x:v>كغ</x:v>
      </x:c>
      <x:c r="I26" s="89" t="n">
        <x:f>IF(OR(F26="",G26="",H26=""),"",IF(G26=H26,F26,IF(AND(G26="غ",H26="كغ"),F26/1000,IF(AND(G26="كغ",H26="غ"),F26*1000,IF(AND(G26="مل",H26="لتر"),F26/1000,IF(AND(G26="لتر",H26="مل"),F26*1000,"خطأ وحدة"))))))</x:f>
        <x:v>0.15</x:v>
      </x:c>
      <x:c r="J26" s="85" t="n">
        <x:v>0</x:v>
      </x:c>
      <x:c r="K26" s="80" t="str">
        <x:v>نعم</x:v>
      </x:c>
      <x:c r="L26" s="91" t="n">
        <x:f>IFERROR(VLOOKUP(D26,'مراجع الوصفات'!$F$2:$I$253,4,FALSE),"")</x:f>
        <x:v>4000</x:v>
      </x:c>
      <x:c r="M26" s="91" t="n">
        <x:f>IF(OR(I26="",NOT(ISNUMBER(I26)),L26=""),"",I26*L26*(1+J26/100))</x:f>
        <x:v>600</x:v>
      </x:c>
      <x:c r="N26" s="80" t="str">
        <x:v>تقدير 150غ ثلج.</x:v>
      </x:c>
      <x:c r="O26" s="93" t="str">
        <x:f>IF(AND(B26="",D26="",F26=""),"",IF(A26="تجاهل","تجاهل",IF(OR(B26="",D26="",F26="",G26="",H26=""),"ناقص",IF(NOT(ISNUMBER(I26)),"خطأ وحدة",IF(OR(J26&lt;0,J26&gt;100),"خطأ هدر","صالح")))))</x:f>
        <x:v>صالح</x:v>
      </x:c>
    </x:row>
    <x:row r="27">
      <x:c r="A27" s="79" t="str">
        <x:v>بحاجة مراجعة</x:v>
      </x:c>
      <x:c r="B27" s="80" t="str">
        <x:v>كاسة الواجب — متّة مشاريب</x:v>
      </x:c>
      <x:c r="C27" s="87" t="str">
        <x:f>IFERROR(VLOOKUP(B27,'مراجع الوصفات'!$A$2:$D$79,2,FALSE),"")</x:f>
        <x:v>wajib_cup_mate</x:v>
      </x:c>
      <x:c r="D27" s="80" t="str">
        <x:v>متة</x:v>
      </x:c>
      <x:c r="E27" s="87" t="str">
        <x:f>IFERROR(VLOOKUP(D27,'مراجع الوصفات'!$F$2:$I$253,2,FALSE),"")</x:f>
        <x:v>DRK-MATE-YERBA</x:v>
      </x:c>
      <x:c r="F27" s="83" t="n">
        <x:v>25</x:v>
      </x:c>
      <x:c r="G27" s="80" t="str">
        <x:v>غ</x:v>
      </x:c>
      <x:c r="H27" s="87" t="str">
        <x:f>IFERROR(VLOOKUP(D27,'مراجع الوصفات'!$F$2:$I$253,3,FALSE),"")</x:f>
        <x:v>كغ</x:v>
      </x:c>
      <x:c r="I27" s="89" t="n">
        <x:f>IF(OR(F27="",G27="",H27=""),"",IF(G27=H27,F27,IF(AND(G27="غ",H27="كغ"),F27/1000,IF(AND(G27="كغ",H27="غ"),F27*1000,IF(AND(G27="مل",H27="لتر"),F27/1000,IF(AND(G27="لتر",H27="مل"),F27*1000,"خطأ وحدة"))))))</x:f>
        <x:v>0.025</x:v>
      </x:c>
      <x:c r="J27" s="85" t="n">
        <x:v>0</x:v>
      </x:c>
      <x:c r="K27" s="80" t="str">
        <x:v>نعم</x:v>
      </x:c>
      <x:c r="L27" s="91" t="str">
        <x:f>IFERROR(VLOOKUP(D27,'مراجع الوصفات'!$F$2:$I$253,4,FALSE),"")</x:f>
      </x:c>
      <x:c r="M27" s="91" t="str">
        <x:f>IF(OR(I27="",NOT(ISNUMBER(I27)),L27=""),"",I27*L27*(1+J27/100))</x:f>
      </x:c>
      <x:c r="N27" s="80" t="str">
        <x:v>تقدير 25غ متّة للكاسة.</x:v>
      </x:c>
      <x:c r="O27" s="93" t="str">
        <x:f>IF(AND(B27="",D27="",F27=""),"",IF(A27="تجاهل","تجاهل",IF(OR(B27="",D27="",F27="",G27="",H27=""),"ناقص",IF(NOT(ISNUMBER(I27)),"خطأ وحدة",IF(OR(J27&lt;0,J27&gt;100),"خطأ هدر","صالح")))))</x:f>
        <x:v>صالح</x:v>
      </x:c>
    </x:row>
    <x:row r="28">
      <x:c r="A28" s="79" t="str">
        <x:v>بحاجة مراجعة</x:v>
      </x:c>
      <x:c r="B28" s="80" t="str">
        <x:v>متّة طاولة</x:v>
      </x:c>
      <x:c r="C28" s="87" t="str">
        <x:f>IFERROR(VLOOKUP(B28,'مراجع الوصفات'!$A$2:$D$79,2,FALSE),"")</x:f>
        <x:v>table_mate</x:v>
      </x:c>
      <x:c r="D28" s="80" t="str">
        <x:v>متة</x:v>
      </x:c>
      <x:c r="E28" s="87" t="str">
        <x:f>IFERROR(VLOOKUP(D28,'مراجع الوصفات'!$F$2:$I$253,2,FALSE),"")</x:f>
        <x:v>DRK-MATE-YERBA</x:v>
      </x:c>
      <x:c r="F28" s="83" t="n">
        <x:v>50</x:v>
      </x:c>
      <x:c r="G28" s="80" t="str">
        <x:v>غ</x:v>
      </x:c>
      <x:c r="H28" s="87" t="str">
        <x:f>IFERROR(VLOOKUP(D28,'مراجع الوصفات'!$F$2:$I$253,3,FALSE),"")</x:f>
        <x:v>كغ</x:v>
      </x:c>
      <x:c r="I28" s="89" t="n">
        <x:f>IF(OR(F28="",G28="",H28=""),"",IF(G28=H28,F28,IF(AND(G28="غ",H28="كغ"),F28/1000,IF(AND(G28="كغ",H28="غ"),F28*1000,IF(AND(G28="مل",H28="لتر"),F28/1000,IF(AND(G28="لتر",H28="مل"),F28*1000,"خطأ وحدة"))))))</x:f>
        <x:v>0.05</x:v>
      </x:c>
      <x:c r="J28" s="85" t="n">
        <x:v>0</x:v>
      </x:c>
      <x:c r="K28" s="80" t="str">
        <x:v>نعم</x:v>
      </x:c>
      <x:c r="L28" s="91" t="str">
        <x:f>IFERROR(VLOOKUP(D28,'مراجع الوصفات'!$F$2:$I$253,4,FALSE),"")</x:f>
      </x:c>
      <x:c r="M28" s="91" t="str">
        <x:f>IF(OR(I28="",NOT(ISNUMBER(I28)),L28=""),"",I28*L28*(1+J28/100))</x:f>
      </x:c>
      <x:c r="N28" s="80" t="str">
        <x:v>تقدير 50غ للطاولة.</x:v>
      </x:c>
      <x:c r="O28" s="93" t="str">
        <x:f>IF(AND(B28="",D28="",F28=""),"",IF(A28="تجاهل","تجاهل",IF(OR(B28="",D28="",F28="",G28="",H28=""),"ناقص",IF(NOT(ISNUMBER(I28)),"خطأ وحدة",IF(OR(J28&lt;0,J28&gt;100),"خطأ هدر","صالح")))))</x:f>
        <x:v>صالح</x:v>
      </x:c>
    </x:row>
    <x:row r="29">
      <x:c r="A29" s="79" t="str">
        <x:v>بحاجة مراجعة</x:v>
      </x:c>
      <x:c r="B29" s="80" t="str">
        <x:v>زهرات البازلت</x:v>
      </x:c>
      <x:c r="C29" s="87" t="str">
        <x:f>IFERROR(VLOOKUP(B29,'مراجع الوصفات'!$A$2:$D$79,2,FALSE),"")</x:f>
        <x:v>basalt_zhourat</x:v>
      </x:c>
      <x:c r="D29" s="80" t="str">
        <x:v>زهورات مشكلة</x:v>
      </x:c>
      <x:c r="E29" s="87" t="str">
        <x:f>IFERROR(VLOOKUP(D29,'مراجع الوصفات'!$F$2:$I$253,2,FALSE),"")</x:f>
        <x:v>DRK-HERBAL-ZHOURAT</x:v>
      </x:c>
      <x:c r="F29" s="83" t="n">
        <x:v>5</x:v>
      </x:c>
      <x:c r="G29" s="80" t="str">
        <x:v>غ</x:v>
      </x:c>
      <x:c r="H29" s="87" t="str">
        <x:f>IFERROR(VLOOKUP(D29,'مراجع الوصفات'!$F$2:$I$253,3,FALSE),"")</x:f>
        <x:v>كغ</x:v>
      </x:c>
      <x:c r="I29" s="89" t="n">
        <x:f>IF(OR(F29="",G29="",H29=""),"",IF(G29=H29,F29,IF(AND(G29="غ",H29="كغ"),F29/1000,IF(AND(G29="كغ",H29="غ"),F29*1000,IF(AND(G29="مل",H29="لتر"),F29/1000,IF(AND(G29="لتر",H29="مل"),F29*1000,"خطأ وحدة"))))))</x:f>
        <x:v>0.005</x:v>
      </x:c>
      <x:c r="J29" s="85" t="n">
        <x:v>0</x:v>
      </x:c>
      <x:c r="K29" s="80" t="str">
        <x:v>نعم</x:v>
      </x:c>
      <x:c r="L29" s="91" t="str">
        <x:f>IFERROR(VLOOKUP(D29,'مراجع الوصفات'!$F$2:$I$253,4,FALSE),"")</x:f>
      </x:c>
      <x:c r="M29" s="91" t="str">
        <x:f>IF(OR(I29="",NOT(ISNUMBER(I29)),L29=""),"",I29*L29*(1+J29/100))</x:f>
      </x:c>
      <x:c r="N29" s="80" t="str">
        <x:v>تقدير 5غ.</x:v>
      </x:c>
      <x:c r="O29" s="93" t="str">
        <x:f>IF(AND(B29="",D29="",F29=""),"",IF(A29="تجاهل","تجاهل",IF(OR(B29="",D29="",F29="",G29="",H29=""),"ناقص",IF(NOT(ISNUMBER(I29)),"خطأ وحدة",IF(OR(J29&lt;0,J29&gt;100),"خطأ هدر","صالح")))))</x:f>
        <x:v>صالح</x:v>
      </x:c>
    </x:row>
    <x:row r="30">
      <x:c r="A30" s="79" t="str">
        <x:v>جاهز للاستيراد</x:v>
      </x:c>
      <x:c r="B30" s="80" t="str">
        <x:v>شاي تفاح وميرمية</x:v>
      </x:c>
      <x:c r="C30" s="87" t="str">
        <x:f>IFERROR(VLOOKUP(B30,'مراجع الوصفات'!$A$2:$D$79,2,FALSE),"")</x:f>
        <x:v>apple_sage_tea</x:v>
      </x:c>
      <x:c r="D30" s="80" t="str">
        <x:v>شاي أحمد عادي – ظرف</x:v>
      </x:c>
      <x:c r="E30" s="87" t="str">
        <x:f>IFERROR(VLOOKUP(D30,'مراجع الوصفات'!$F$2:$I$253,2,FALSE),"")</x:f>
        <x:v>DRK-TEA-AHMAD-BAG</x:v>
      </x:c>
      <x:c r="F30" s="83" t="n">
        <x:v>1</x:v>
      </x:c>
      <x:c r="G30" s="80" t="str">
        <x:v>حصة</x:v>
      </x:c>
      <x:c r="H30" s="87" t="str">
        <x:f>IFERROR(VLOOKUP(D30,'مراجع الوصفات'!$F$2:$I$253,3,FALSE),"")</x:f>
        <x:v>حصة</x:v>
      </x:c>
      <x:c r="I30" s="89" t="n">
        <x:f>IF(OR(F30="",G30="",H30=""),"",IF(G30=H30,F30,IF(AND(G30="غ",H30="كغ"),F30/1000,IF(AND(G30="كغ",H30="غ"),F30*1000,IF(AND(G30="مل",H30="لتر"),F30/1000,IF(AND(G30="لتر",H30="مل"),F30*1000,"خطأ وحدة"))))))</x:f>
        <x:v>1</x:v>
      </x:c>
      <x:c r="J30" s="85" t="n">
        <x:v>0</x:v>
      </x:c>
      <x:c r="K30" s="80" t="str">
        <x:v>نعم</x:v>
      </x:c>
      <x:c r="L30" s="91" t="n">
        <x:f>IFERROR(VLOOKUP(D30,'مراجع الوصفات'!$F$2:$I$253,4,FALSE),"")</x:f>
        <x:v>420</x:v>
      </x:c>
      <x:c r="M30" s="91" t="n">
        <x:f>IF(OR(I30="",NOT(ISNUMBER(I30)),L30=""),"",I30*L30*(1+J30/100))</x:f>
        <x:v>420</x:v>
      </x:c>
      <x:c r="N30" s="80" t="str"/>
      <x:c r="O30" s="93" t="str">
        <x:f>IF(AND(B30="",D30="",F30=""),"",IF(A30="تجاهل","تجاهل",IF(OR(B30="",D30="",F30="",G30="",H30=""),"ناقص",IF(NOT(ISNUMBER(I30)),"خطأ وحدة",IF(OR(J30&lt;0,J30&gt;100),"خطأ هدر","صالح")))))</x:f>
        <x:v>صالح</x:v>
      </x:c>
    </x:row>
    <x:row r="31">
      <x:c r="A31" s="79" t="str">
        <x:v>بحاجة مراجعة</x:v>
      </x:c>
      <x:c r="B31" s="80" t="str">
        <x:v>شاي تفاح وميرمية</x:v>
      </x:c>
      <x:c r="C31" s="87" t="str">
        <x:f>IFERROR(VLOOKUP(B31,'مراجع الوصفات'!$A$2:$D$79,2,FALSE),"")</x:f>
        <x:v>apple_sage_tea</x:v>
      </x:c>
      <x:c r="D31" s="80" t="str">
        <x:v>تفاح</x:v>
      </x:c>
      <x:c r="E31" s="87" t="str">
        <x:f>IFERROR(VLOOKUP(D31,'مراجع الوصفات'!$F$2:$I$253,2,FALSE),"")</x:f>
        <x:v>ING-FRT-APPLE</x:v>
      </x:c>
      <x:c r="F31" s="83" t="n">
        <x:v>50</x:v>
      </x:c>
      <x:c r="G31" s="80" t="str">
        <x:v>غ</x:v>
      </x:c>
      <x:c r="H31" s="87" t="str">
        <x:f>IFERROR(VLOOKUP(D31,'مراجع الوصفات'!$F$2:$I$253,3,FALSE),"")</x:f>
        <x:v>كغ</x:v>
      </x:c>
      <x:c r="I31" s="89" t="n">
        <x:f>IF(OR(F31="",G31="",H31=""),"",IF(G31=H31,F31,IF(AND(G31="غ",H31="كغ"),F31/1000,IF(AND(G31="كغ",H31="غ"),F31*1000,IF(AND(G31="مل",H31="لتر"),F31/1000,IF(AND(G31="لتر",H31="مل"),F31*1000,"خطأ وحدة"))))))</x:f>
        <x:v>0.05</x:v>
      </x:c>
      <x:c r="J31" s="85" t="n">
        <x:v>0</x:v>
      </x:c>
      <x:c r="K31" s="80" t="str">
        <x:v>نعم</x:v>
      </x:c>
      <x:c r="L31" s="91" t="str">
        <x:f>IFERROR(VLOOKUP(D31,'مراجع الوصفات'!$F$2:$I$253,4,FALSE),"")</x:f>
      </x:c>
      <x:c r="M31" s="91" t="str">
        <x:f>IF(OR(I31="",NOT(ISNUMBER(I31)),L31=""),"",I31*L31*(1+J31/100))</x:f>
      </x:c>
      <x:c r="N31" s="80" t="str">
        <x:v>تقدير 50غ تفاح.</x:v>
      </x:c>
      <x:c r="O31" s="93" t="str">
        <x:f>IF(AND(B31="",D31="",F31=""),"",IF(A31="تجاهل","تجاهل",IF(OR(B31="",D31="",F31="",G31="",H31=""),"ناقص",IF(NOT(ISNUMBER(I31)),"خطأ وحدة",IF(OR(J31&lt;0,J31&gt;100),"خطأ هدر","صالح")))))</x:f>
        <x:v>صالح</x:v>
      </x:c>
    </x:row>
    <x:row r="32">
      <x:c r="A32" s="79" t="str">
        <x:v>بحاجة مراجعة</x:v>
      </x:c>
      <x:c r="B32" s="80" t="str">
        <x:v>شاي تفاح وميرمية</x:v>
      </x:c>
      <x:c r="C32" s="87" t="str">
        <x:f>IFERROR(VLOOKUP(B32,'مراجع الوصفات'!$A$2:$D$79,2,FALSE),"")</x:f>
        <x:v>apple_sage_tea</x:v>
      </x:c>
      <x:c r="D32" s="80" t="str">
        <x:v>ميرمية مجففة</x:v>
      </x:c>
      <x:c r="E32" s="87" t="str">
        <x:f>IFERROR(VLOOKUP(D32,'مراجع الوصفات'!$F$2:$I$253,2,FALSE),"")</x:f>
        <x:v>ING-HERB-SAGE</x:v>
      </x:c>
      <x:c r="F32" s="83" t="n">
        <x:v>2</x:v>
      </x:c>
      <x:c r="G32" s="80" t="str">
        <x:v>غ</x:v>
      </x:c>
      <x:c r="H32" s="87" t="str">
        <x:f>IFERROR(VLOOKUP(D32,'مراجع الوصفات'!$F$2:$I$253,3,FALSE),"")</x:f>
        <x:v>كغ</x:v>
      </x:c>
      <x:c r="I32" s="89" t="n">
        <x:f>IF(OR(F32="",G32="",H32=""),"",IF(G32=H32,F32,IF(AND(G32="غ",H32="كغ"),F32/1000,IF(AND(G32="كغ",H32="غ"),F32*1000,IF(AND(G32="مل",H32="لتر"),F32/1000,IF(AND(G32="لتر",H32="مل"),F32*1000,"خطأ وحدة"))))))</x:f>
        <x:v>0.002</x:v>
      </x:c>
      <x:c r="J32" s="85" t="n">
        <x:v>0</x:v>
      </x:c>
      <x:c r="K32" s="80" t="str">
        <x:v>نعم</x:v>
      </x:c>
      <x:c r="L32" s="91" t="str">
        <x:f>IFERROR(VLOOKUP(D32,'مراجع الوصفات'!$F$2:$I$253,4,FALSE),"")</x:f>
      </x:c>
      <x:c r="M32" s="91" t="str">
        <x:f>IF(OR(I32="",NOT(ISNUMBER(I32)),L32=""),"",I32*L32*(1+J32/100))</x:f>
      </x:c>
      <x:c r="N32" s="80" t="str">
        <x:v>تقدير 2غ ميرمية.</x:v>
      </x:c>
      <x:c r="O32" s="93" t="str">
        <x:f>IF(AND(B32="",D32="",F32=""),"",IF(A32="تجاهل","تجاهل",IF(OR(B32="",D32="",F32="",G32="",H32=""),"ناقص",IF(NOT(ISNUMBER(I32)),"خطأ وحدة",IF(OR(J32&lt;0,J32&gt;100),"خطأ هدر","صالح")))))</x:f>
        <x:v>صالح</x:v>
      </x:c>
    </x:row>
    <x:row r="33">
      <x:c r="A33" s="79" t="str">
        <x:v>بحاجة مراجعة</x:v>
      </x:c>
      <x:c r="B33" s="80" t="str">
        <x:v>عرق الريان — كأس</x:v>
      </x:c>
      <x:c r="C33" s="87" t="str">
        <x:f>IFERROR(VLOOKUP(B33,'مراجع الوصفات'!$A$2:$D$79,2,FALSE),"")</x:f>
        <x:v>rayan_arak_glass</x:v>
      </x:c>
      <x:c r="D33" s="80" t="str">
        <x:v>عرق الريان</x:v>
      </x:c>
      <x:c r="E33" s="87" t="str">
        <x:f>IFERROR(VLOOKUP(D33,'مراجع الوصفات'!$F$2:$I$253,2,FALSE),"")</x:f>
        <x:v>DRK-ALC-ARAK-RAYAN</x:v>
      </x:c>
      <x:c r="F33" s="83" t="n">
        <x:v>50</x:v>
      </x:c>
      <x:c r="G33" s="80" t="str">
        <x:v>مل</x:v>
      </x:c>
      <x:c r="H33" s="87" t="str">
        <x:f>IFERROR(VLOOKUP(D33,'مراجع الوصفات'!$F$2:$I$253,3,FALSE),"")</x:f>
        <x:v>لتر</x:v>
      </x:c>
      <x:c r="I33" s="89" t="n">
        <x:f>IF(OR(F33="",G33="",H33=""),"",IF(G33=H33,F33,IF(AND(G33="غ",H33="كغ"),F33/1000,IF(AND(G33="كغ",H33="غ"),F33*1000,IF(AND(G33="مل",H33="لتر"),F33/1000,IF(AND(G33="لتر",H33="مل"),F33*1000,"خطأ وحدة"))))))</x:f>
        <x:v>0.05</x:v>
      </x:c>
      <x:c r="J33" s="85" t="n">
        <x:v>0</x:v>
      </x:c>
      <x:c r="K33" s="80" t="str">
        <x:v>نعم</x:v>
      </x:c>
      <x:c r="L33" s="91" t="n">
        <x:f>IFERROR(VLOOKUP(D33,'مراجع الوصفات'!$F$2:$I$253,4,FALSE),"")</x:f>
        <x:v>52000</x:v>
      </x:c>
      <x:c r="M33" s="91" t="n">
        <x:f>IF(OR(I33="",NOT(ISNUMBER(I33)),L33=""),"",I33*L33*(1+J33/100))</x:f>
        <x:v>2600</x:v>
      </x:c>
      <x:c r="N33" s="80" t="str">
        <x:v>راجع حجم الكأس الفعلي.</x:v>
      </x:c>
      <x:c r="O33" s="93" t="str">
        <x:f>IF(AND(B33="",D33="",F33=""),"",IF(A33="تجاهل","تجاهل",IF(OR(B33="",D33="",F33="",G33="",H33=""),"ناقص",IF(NOT(ISNUMBER(I33)),"خطأ وحدة",IF(OR(J33&lt;0,J33&gt;100),"خطأ هدر","صالح")))))</x:f>
        <x:v>صالح</x:v>
      </x:c>
    </x:row>
    <x:row r="34">
      <x:c r="A34" s="79" t="str">
        <x:v>بحاجة مراجعة</x:v>
      </x:c>
      <x:c r="B34" s="80" t="str">
        <x:v>عرق الريان — كاراف صغير</x:v>
      </x:c>
      <x:c r="C34" s="87" t="str">
        <x:f>IFERROR(VLOOKUP(B34,'مراجع الوصفات'!$A$2:$D$79,2,FALSE),"")</x:f>
        <x:v>rayan_arak_small_carafe</x:v>
      </x:c>
      <x:c r="D34" s="80" t="str">
        <x:v>عرق الريان</x:v>
      </x:c>
      <x:c r="E34" s="87" t="str">
        <x:f>IFERROR(VLOOKUP(D34,'مراجع الوصفات'!$F$2:$I$253,2,FALSE),"")</x:f>
        <x:v>DRK-ALC-ARAK-RAYAN</x:v>
      </x:c>
      <x:c r="F34" s="83" t="n">
        <x:v>250</x:v>
      </x:c>
      <x:c r="G34" s="80" t="str">
        <x:v>مل</x:v>
      </x:c>
      <x:c r="H34" s="87" t="str">
        <x:f>IFERROR(VLOOKUP(D34,'مراجع الوصفات'!$F$2:$I$253,3,FALSE),"")</x:f>
        <x:v>لتر</x:v>
      </x:c>
      <x:c r="I34" s="89" t="n">
        <x:f>IF(OR(F34="",G34="",H34=""),"",IF(G34=H34,F34,IF(AND(G34="غ",H34="كغ"),F34/1000,IF(AND(G34="كغ",H34="غ"),F34*1000,IF(AND(G34="مل",H34="لتر"),F34/1000,IF(AND(G34="لتر",H34="مل"),F34*1000,"خطأ وحدة"))))))</x:f>
        <x:v>0.25</x:v>
      </x:c>
      <x:c r="J34" s="85" t="n">
        <x:v>0</x:v>
      </x:c>
      <x:c r="K34" s="80" t="str">
        <x:v>نعم</x:v>
      </x:c>
      <x:c r="L34" s="91" t="n">
        <x:f>IFERROR(VLOOKUP(D34,'مراجع الوصفات'!$F$2:$I$253,4,FALSE),"")</x:f>
        <x:v>52000</x:v>
      </x:c>
      <x:c r="M34" s="91" t="n">
        <x:f>IF(OR(I34="",NOT(ISNUMBER(I34)),L34=""),"",I34*L34*(1+J34/100))</x:f>
        <x:v>13000</x:v>
      </x:c>
      <x:c r="N34" s="80" t="str">
        <x:v>راجع حجم الكاراف الفعلي.</x:v>
      </x:c>
      <x:c r="O34" s="93" t="str">
        <x:f>IF(AND(B34="",D34="",F34=""),"",IF(A34="تجاهل","تجاهل",IF(OR(B34="",D34="",F34="",G34="",H34=""),"ناقص",IF(NOT(ISNUMBER(I34)),"خطأ وحدة",IF(OR(J34&lt;0,J34&gt;100),"خطأ هدر","صالح")))))</x:f>
        <x:v>صالح</x:v>
      </x:c>
    </x:row>
    <x:row r="35">
      <x:c r="A35" s="79" t="str">
        <x:v>جاهز للاستيراد</x:v>
      </x:c>
      <x:c r="B35" s="80" t="str">
        <x:v>عرق الريان — لتر طاولة</x:v>
      </x:c>
      <x:c r="C35" s="87" t="str">
        <x:f>IFERROR(VLOOKUP(B35,'مراجع الوصفات'!$A$2:$D$79,2,FALSE),"")</x:f>
        <x:v>rayan_arak_table_liter</x:v>
      </x:c>
      <x:c r="D35" s="80" t="str">
        <x:v>عرق الريان</x:v>
      </x:c>
      <x:c r="E35" s="87" t="str">
        <x:f>IFERROR(VLOOKUP(D35,'مراجع الوصفات'!$F$2:$I$253,2,FALSE),"")</x:f>
        <x:v>DRK-ALC-ARAK-RAYAN</x:v>
      </x:c>
      <x:c r="F35" s="83" t="n">
        <x:v>1</x:v>
      </x:c>
      <x:c r="G35" s="80" t="str">
        <x:v>لتر</x:v>
      </x:c>
      <x:c r="H35" s="87" t="str">
        <x:f>IFERROR(VLOOKUP(D35,'مراجع الوصفات'!$F$2:$I$253,3,FALSE),"")</x:f>
        <x:v>لتر</x:v>
      </x:c>
      <x:c r="I35" s="89" t="n">
        <x:f>IF(OR(F35="",G35="",H35=""),"",IF(G35=H35,F35,IF(AND(G35="غ",H35="كغ"),F35/1000,IF(AND(G35="كغ",H35="غ"),F35*1000,IF(AND(G35="مل",H35="لتر"),F35/1000,IF(AND(G35="لتر",H35="مل"),F35*1000,"خطأ وحدة"))))))</x:f>
        <x:v>1</x:v>
      </x:c>
      <x:c r="J35" s="85" t="n">
        <x:v>0</x:v>
      </x:c>
      <x:c r="K35" s="80" t="str">
        <x:v>نعم</x:v>
      </x:c>
      <x:c r="L35" s="91" t="n">
        <x:f>IFERROR(VLOOKUP(D35,'مراجع الوصفات'!$F$2:$I$253,4,FALSE),"")</x:f>
        <x:v>52000</x:v>
      </x:c>
      <x:c r="M35" s="91" t="n">
        <x:f>IF(OR(I35="",NOT(ISNUMBER(I35)),L35=""),"",I35*L35*(1+J35/100))</x:f>
        <x:v>52000</x:v>
      </x:c>
      <x:c r="N35" s="80" t="str"/>
      <x:c r="O35" s="93" t="str">
        <x:f>IF(AND(B35="",D35="",F35=""),"",IF(A35="تجاهل","تجاهل",IF(OR(B35="",D35="",F35="",G35="",H35=""),"ناقص",IF(NOT(ISNUMBER(I35)),"خطأ وحدة",IF(OR(J35&lt;0,J35&gt;100),"خطأ هدر","صالح")))))</x:f>
        <x:v>صالح</x:v>
      </x:c>
    </x:row>
    <x:row r="36">
      <x:c r="A36" s="79" t="str">
        <x:v>جاهز للاستيراد</x:v>
      </x:c>
      <x:c r="B36" s="80" t="str">
        <x:v>بيرة خفيفة</x:v>
      </x:c>
      <x:c r="C36" s="87" t="str">
        <x:f>IFERROR(VLOOKUP(B36,'مراجع الوصفات'!$A$2:$D$79,2,FALSE),"")</x:f>
        <x:v>light_beer</x:v>
      </x:c>
      <x:c r="D36" s="80" t="str">
        <x:v>بيرة خفيفة</x:v>
      </x:c>
      <x:c r="E36" s="87" t="str">
        <x:f>IFERROR(VLOOKUP(D36,'مراجع الوصفات'!$F$2:$I$253,2,FALSE),"")</x:f>
        <x:v>DRK-ALC-BEER-LIGHT</x:v>
      </x:c>
      <x:c r="F36" s="83" t="n">
        <x:v>1</x:v>
      </x:c>
      <x:c r="G36" s="80" t="str">
        <x:v>زجاجة</x:v>
      </x:c>
      <x:c r="H36" s="87" t="str">
        <x:f>IFERROR(VLOOKUP(D36,'مراجع الوصفات'!$F$2:$I$253,3,FALSE),"")</x:f>
        <x:v>زجاجة</x:v>
      </x:c>
      <x:c r="I36" s="89" t="n">
        <x:f>IF(OR(F36="",G36="",H36=""),"",IF(G36=H36,F36,IF(AND(G36="غ",H36="كغ"),F36/1000,IF(AND(G36="كغ",H36="غ"),F36*1000,IF(AND(G36="مل",H36="لتر"),F36/1000,IF(AND(G36="لتر",H36="مل"),F36*1000,"خطأ وحدة"))))))</x:f>
        <x:v>1</x:v>
      </x:c>
      <x:c r="J36" s="85" t="n">
        <x:v>0</x:v>
      </x:c>
      <x:c r="K36" s="80" t="str">
        <x:v>نعم</x:v>
      </x:c>
      <x:c r="L36" s="91" t="n">
        <x:f>IFERROR(VLOOKUP(D36,'مراجع الوصفات'!$F$2:$I$253,4,FALSE),"")</x:f>
        <x:v>35000</x:v>
      </x:c>
      <x:c r="M36" s="91" t="n">
        <x:f>IF(OR(I36="",NOT(ISNUMBER(I36)),L36=""),"",I36*L36*(1+J36/100))</x:f>
        <x:v>35000</x:v>
      </x:c>
      <x:c r="N36" s="80" t="str"/>
      <x:c r="O36" s="93" t="str">
        <x:f>IF(AND(B36="",D36="",F36=""),"",IF(A36="تجاهل","تجاهل",IF(OR(B36="",D36="",F36="",G36="",H36=""),"ناقص",IF(NOT(ISNUMBER(I36)),"خطأ وحدة",IF(OR(J36&lt;0,J36&gt;100),"خطأ هدر","صالح")))))</x:f>
        <x:v>صالح</x:v>
      </x:c>
    </x:row>
    <x:row r="37">
      <x:c r="A37" s="79" t="str">
        <x:v>جاهز للاستيراد</x:v>
      </x:c>
      <x:c r="B37" s="80" t="str">
        <x:v>بيرة ثقيلة</x:v>
      </x:c>
      <x:c r="C37" s="87" t="str">
        <x:f>IFERROR(VLOOKUP(B37,'مراجع الوصفات'!$A$2:$D$79,2,FALSE),"")</x:f>
        <x:v>strong_beer</x:v>
      </x:c>
      <x:c r="D37" s="80" t="str">
        <x:v>بيرة ثقيلة</x:v>
      </x:c>
      <x:c r="E37" s="87" t="str">
        <x:f>IFERROR(VLOOKUP(D37,'مراجع الوصفات'!$F$2:$I$253,2,FALSE),"")</x:f>
        <x:v>DRK-ALC-BEER-STRONG</x:v>
      </x:c>
      <x:c r="F37" s="83" t="n">
        <x:v>1</x:v>
      </x:c>
      <x:c r="G37" s="80" t="str">
        <x:v>زجاجة</x:v>
      </x:c>
      <x:c r="H37" s="87" t="str">
        <x:f>IFERROR(VLOOKUP(D37,'مراجع الوصفات'!$F$2:$I$253,3,FALSE),"")</x:f>
        <x:v>زجاجة</x:v>
      </x:c>
      <x:c r="I37" s="89" t="n">
        <x:f>IF(OR(F37="",G37="",H37=""),"",IF(G37=H37,F37,IF(AND(G37="غ",H37="كغ"),F37/1000,IF(AND(G37="كغ",H37="غ"),F37*1000,IF(AND(G37="مل",H37="لتر"),F37/1000,IF(AND(G37="لتر",H37="مل"),F37*1000,"خطأ وحدة"))))))</x:f>
        <x:v>1</x:v>
      </x:c>
      <x:c r="J37" s="85" t="n">
        <x:v>0</x:v>
      </x:c>
      <x:c r="K37" s="80" t="str">
        <x:v>نعم</x:v>
      </x:c>
      <x:c r="L37" s="91" t="n">
        <x:f>IFERROR(VLOOKUP(D37,'مراجع الوصفات'!$F$2:$I$253,4,FALSE),"")</x:f>
        <x:v>40000</x:v>
      </x:c>
      <x:c r="M37" s="91" t="n">
        <x:f>IF(OR(I37="",NOT(ISNUMBER(I37)),L37=""),"",I37*L37*(1+J37/100))</x:f>
        <x:v>40000</x:v>
      </x:c>
      <x:c r="N37" s="80" t="str"/>
      <x:c r="O37" s="93" t="str">
        <x:f>IF(AND(B37="",D37="",F37=""),"",IF(A37="تجاهل","تجاهل",IF(OR(B37="",D37="",F37="",G37="",H37=""),"ناقص",IF(NOT(ISNUMBER(I37)),"خطأ وحدة",IF(OR(J37&lt;0,J37&gt;100),"خطأ هدر","صالح")))))</x:f>
        <x:v>صالح</x:v>
      </x:c>
    </x:row>
    <x:row r="38">
      <x:c r="A38" s="79" t="str">
        <x:v>بحاجة مراجعة</x:v>
      </x:c>
      <x:c r="B38" s="80" t="str">
        <x:v>لبنة وأعشاب</x:v>
      </x:c>
      <x:c r="C38" s="87" t="str">
        <x:f>IFERROR(VLOOKUP(B38,'مراجع الوصفات'!$A$2:$D$79,2,FALSE),"")</x:f>
      </x:c>
      <x:c r="D38" s="80" t="str">
        <x:v>خبز سمون</x:v>
      </x:c>
      <x:c r="E38" s="87" t="str">
        <x:f>IFERROR(VLOOKUP(D38,'مراجع الوصفات'!$F$2:$I$253,2,FALSE),"")</x:f>
        <x:v>ING-BREAD-SAMOON</x:v>
      </x:c>
      <x:c r="F38" s="83" t="n">
        <x:v>1</x:v>
      </x:c>
      <x:c r="G38" s="80" t="str">
        <x:v>قطعة</x:v>
      </x:c>
      <x:c r="H38" s="87" t="str">
        <x:f>IFERROR(VLOOKUP(D38,'مراجع الوصفات'!$F$2:$I$253,3,FALSE),"")</x:f>
        <x:v>قطعة</x:v>
      </x:c>
      <x:c r="I38" s="89" t="n">
        <x:f>IF(OR(F38="",G38="",H38=""),"",IF(G38=H38,F38,IF(AND(G38="غ",H38="كغ"),F38/1000,IF(AND(G38="كغ",H38="غ"),F38*1000,IF(AND(G38="مل",H38="لتر"),F38/1000,IF(AND(G38="لتر",H38="مل"),F38*1000,"خطأ وحدة"))))))</x:f>
        <x:v>1</x:v>
      </x:c>
      <x:c r="J38" s="85" t="n">
        <x:v>0</x:v>
      </x:c>
      <x:c r="K38" s="80" t="str">
        <x:v>نعم</x:v>
      </x:c>
      <x:c r="L38" s="91" t="str">
        <x:f>IFERROR(VLOOKUP(D38,'مراجع الوصفات'!$F$2:$I$253,4,FALSE),"")</x:f>
      </x:c>
      <x:c r="M38" s="91" t="str">
        <x:f>IF(OR(I38="",NOT(ISNUMBER(I38)),L38=""),"",I38*L38*(1+J38/100))</x:f>
      </x:c>
      <x:c r="N38" s="80" t="str">
        <x:v>بدّل نوع الخبز بحسب المنتج الفعلي.</x:v>
      </x:c>
      <x:c r="O38" s="93" t="str">
        <x:f>IF(AND(B38="",D38="",F38=""),"",IF(A38="تجاهل","تجاهل",IF(OR(B38="",D38="",F38="",G38="",H38=""),"ناقص",IF(NOT(ISNUMBER(I38)),"خطأ وحدة",IF(OR(J38&lt;0,J38&gt;100),"خطأ هدر","صالح")))))</x:f>
        <x:v>صالح</x:v>
      </x:c>
    </x:row>
    <x:row r="39">
      <x:c r="A39" s="79" t="str">
        <x:v>بحاجة مراجعة</x:v>
      </x:c>
      <x:c r="B39" s="80" t="str">
        <x:v>لبنة وأعشاب</x:v>
      </x:c>
      <x:c r="C39" s="87" t="str">
        <x:f>IFERROR(VLOOKUP(B39,'مراجع الوصفات'!$A$2:$D$79,2,FALSE),"")</x:f>
      </x:c>
      <x:c r="D39" s="80" t="str">
        <x:v>لبنة</x:v>
      </x:c>
      <x:c r="E39" s="87" t="str">
        <x:f>IFERROR(VLOOKUP(D39,'مراجع الوصفات'!$F$2:$I$253,2,FALSE),"")</x:f>
        <x:v>ING-DAIRY-LABNEH</x:v>
      </x:c>
      <x:c r="F39" s="83" t="n">
        <x:v>100</x:v>
      </x:c>
      <x:c r="G39" s="80" t="str">
        <x:v>غ</x:v>
      </x:c>
      <x:c r="H39" s="87" t="str">
        <x:f>IFERROR(VLOOKUP(D39,'مراجع الوصفات'!$F$2:$I$253,3,FALSE),"")</x:f>
        <x:v>كغ</x:v>
      </x:c>
      <x:c r="I39" s="89" t="n">
        <x:f>IF(OR(F39="",G39="",H39=""),"",IF(G39=H39,F39,IF(AND(G39="غ",H39="كغ"),F39/1000,IF(AND(G39="كغ",H39="غ"),F39*1000,IF(AND(G39="مل",H39="لتر"),F39/1000,IF(AND(G39="لتر",H39="مل"),F39*1000,"خطأ وحدة"))))))</x:f>
        <x:v>0.1</x:v>
      </x:c>
      <x:c r="J39" s="85" t="n">
        <x:v>0</x:v>
      </x:c>
      <x:c r="K39" s="80" t="str">
        <x:v>نعم</x:v>
      </x:c>
      <x:c r="L39" s="91" t="str">
        <x:f>IFERROR(VLOOKUP(D39,'مراجع الوصفات'!$F$2:$I$253,4,FALSE),"")</x:f>
      </x:c>
      <x:c r="M39" s="91" t="str">
        <x:f>IF(OR(I39="",NOT(ISNUMBER(I39)),L39=""),"",I39*L39*(1+J39/100))</x:f>
      </x:c>
      <x:c r="N39" s="80" t="str"/>
      <x:c r="O39" s="93" t="str">
        <x:f>IF(AND(B39="",D39="",F39=""),"",IF(A39="تجاهل","تجاهل",IF(OR(B39="",D39="",F39="",G39="",H39=""),"ناقص",IF(NOT(ISNUMBER(I39)),"خطأ وحدة",IF(OR(J39&lt;0,J39&gt;100),"خطأ هدر","صالح")))))</x:f>
        <x:v>صالح</x:v>
      </x:c>
    </x:row>
    <x:row r="40">
      <x:c r="A40" s="79" t="str">
        <x:v>بحاجة مراجعة</x:v>
      </x:c>
      <x:c r="B40" s="80" t="str">
        <x:v>لبنة وأعشاب</x:v>
      </x:c>
      <x:c r="C40" s="87" t="str">
        <x:f>IFERROR(VLOOKUP(B40,'مراجع الوصفات'!$A$2:$D$79,2,FALSE),"")</x:f>
      </x:c>
      <x:c r="D40" s="80" t="str">
        <x:v>نعنع طازج</x:v>
      </x:c>
      <x:c r="E40" s="87" t="str">
        <x:f>IFERROR(VLOOKUP(D40,'مراجع الوصفات'!$F$2:$I$253,2,FALSE),"")</x:f>
        <x:v>ING-HERB-MINT</x:v>
      </x:c>
      <x:c r="F40" s="83" t="n">
        <x:v>0.05</x:v>
      </x:c>
      <x:c r="G40" s="80" t="str">
        <x:v>عبوة</x:v>
      </x:c>
      <x:c r="H40" s="87" t="str">
        <x:f>IFERROR(VLOOKUP(D40,'مراجع الوصفات'!$F$2:$I$253,3,FALSE),"")</x:f>
        <x:v>عبوة</x:v>
      </x:c>
      <x:c r="I40" s="89" t="n">
        <x:f>IF(OR(F40="",G40="",H40=""),"",IF(G40=H40,F40,IF(AND(G40="غ",H40="كغ"),F40/1000,IF(AND(G40="كغ",H40="غ"),F40*1000,IF(AND(G40="مل",H40="لتر"),F40/1000,IF(AND(G40="لتر",H40="مل"),F40*1000,"خطأ وحدة"))))))</x:f>
        <x:v>0.05</x:v>
      </x:c>
      <x:c r="J40" s="85" t="n">
        <x:v>0</x:v>
      </x:c>
      <x:c r="K40" s="80" t="str">
        <x:v>نعم</x:v>
      </x:c>
      <x:c r="L40" s="91" t="n">
        <x:f>IFERROR(VLOOKUP(D40,'مراجع الوصفات'!$F$2:$I$253,4,FALSE),"")</x:f>
        <x:v>1500</x:v>
      </x:c>
      <x:c r="M40" s="91" t="n">
        <x:f>IF(OR(I40="",NOT(ISNUMBER(I40)),L40=""),"",I40*L40*(1+J40/100))</x:f>
        <x:v>75</x:v>
      </x:c>
      <x:c r="N40" s="80" t="str">
        <x:v>نعنع مرفق تلقائياً مع اللبنة.</x:v>
      </x:c>
      <x:c r="O40" s="93" t="str">
        <x:f>IF(AND(B40="",D40="",F40=""),"",IF(A40="تجاهل","تجاهل",IF(OR(B40="",D40="",F40="",G40="",H40=""),"ناقص",IF(NOT(ISNUMBER(I40)),"خطأ وحدة",IF(OR(J40&lt;0,J40&gt;100),"خطأ هدر","صالح")))))</x:f>
        <x:v>صالح</x:v>
      </x:c>
    </x:row>
    <x:row r="41">
      <x:c r="A41" s="79" t="str">
        <x:v>بحاجة مراجعة</x:v>
      </x:c>
      <x:c r="B41" s="80" t="str">
        <x:v>لبنة وأعشاب</x:v>
      </x:c>
      <x:c r="C41" s="87" t="str">
        <x:f>IFERROR(VLOOKUP(B41,'مراجع الوصفات'!$A$2:$D$79,2,FALSE),"")</x:f>
      </x:c>
      <x:c r="D41" s="80" t="str">
        <x:v>زيت زيتون</x:v>
      </x:c>
      <x:c r="E41" s="87" t="str">
        <x:f>IFERROR(VLOOKUP(D41,'مراجع الوصفات'!$F$2:$I$253,2,FALSE),"")</x:f>
        <x:v>ING-OIL-OLIVE</x:v>
      </x:c>
      <x:c r="F41" s="83" t="n">
        <x:v>10</x:v>
      </x:c>
      <x:c r="G41" s="80" t="str">
        <x:v>مل</x:v>
      </x:c>
      <x:c r="H41" s="87" t="str">
        <x:f>IFERROR(VLOOKUP(D41,'مراجع الوصفات'!$F$2:$I$253,3,FALSE),"")</x:f>
        <x:v>لتر</x:v>
      </x:c>
      <x:c r="I41" s="89" t="n">
        <x:f>IF(OR(F41="",G41="",H41=""),"",IF(G41=H41,F41,IF(AND(G41="غ",H41="كغ"),F41/1000,IF(AND(G41="كغ",H41="غ"),F41*1000,IF(AND(G41="مل",H41="لتر"),F41/1000,IF(AND(G41="لتر",H41="مل"),F41*1000,"خطأ وحدة"))))))</x:f>
        <x:v>0.01</x:v>
      </x:c>
      <x:c r="J41" s="85" t="n">
        <x:v>0</x:v>
      </x:c>
      <x:c r="K41" s="80" t="str">
        <x:v>نعم</x:v>
      </x:c>
      <x:c r="L41" s="91" t="str">
        <x:f>IFERROR(VLOOKUP(D41,'مراجع الوصفات'!$F$2:$I$253,4,FALSE),"")</x:f>
      </x:c>
      <x:c r="M41" s="91" t="str">
        <x:f>IF(OR(I41="",NOT(ISNUMBER(I41)),L41=""),"",I41*L41*(1+J41/100))</x:f>
      </x:c>
      <x:c r="N41" s="80" t="str"/>
      <x:c r="O41" s="93" t="str">
        <x:f>IF(AND(B41="",D41="",F41=""),"",IF(A41="تجاهل","تجاهل",IF(OR(B41="",D41="",F41="",G41="",H41=""),"ناقص",IF(NOT(ISNUMBER(I41)),"خطأ وحدة",IF(OR(J41&lt;0,J41&gt;100),"خطأ هدر","صالح")))))</x:f>
        <x:v>صالح</x:v>
      </x:c>
    </x:row>
    <x:row r="42">
      <x:c r="A42" s="79" t="str">
        <x:v>بحاجة مراجعة</x:v>
      </x:c>
      <x:c r="B42" s="80" t="str">
        <x:v>لبنة وأعشاب</x:v>
      </x:c>
      <x:c r="C42" s="87" t="str">
        <x:f>IFERROR(VLOOKUP(B42,'مراجع الوصفات'!$A$2:$D$79,2,FALSE),"")</x:f>
      </x:c>
      <x:c r="D42" s="80" t="str">
        <x:v>بندورة</x:v>
      </x:c>
      <x:c r="E42" s="87" t="str">
        <x:f>IFERROR(VLOOKUP(D42,'مراجع الوصفات'!$F$2:$I$253,2,FALSE),"")</x:f>
        <x:v>ING-VEG-TOMATO</x:v>
      </x:c>
      <x:c r="F42" s="83" t="n">
        <x:v>50</x:v>
      </x:c>
      <x:c r="G42" s="80" t="str">
        <x:v>غ</x:v>
      </x:c>
      <x:c r="H42" s="87" t="str">
        <x:f>IFERROR(VLOOKUP(D42,'مراجع الوصفات'!$F$2:$I$253,3,FALSE),"")</x:f>
        <x:v>كغ</x:v>
      </x:c>
      <x:c r="I42" s="89" t="n">
        <x:f>IF(OR(F42="",G42="",H42=""),"",IF(G42=H42,F42,IF(AND(G42="غ",H42="كغ"),F42/1000,IF(AND(G42="كغ",H42="غ"),F42*1000,IF(AND(G42="مل",H42="لتر"),F42/1000,IF(AND(G42="لتر",H42="مل"),F42*1000,"خطأ وحدة"))))))</x:f>
        <x:v>0.05</x:v>
      </x:c>
      <x:c r="J42" s="85" t="n">
        <x:v>0</x:v>
      </x:c>
      <x:c r="K42" s="80" t="str">
        <x:v>نعم</x:v>
      </x:c>
      <x:c r="L42" s="91" t="n">
        <x:f>IFERROR(VLOOKUP(D42,'مراجع الوصفات'!$F$2:$I$253,4,FALSE),"")</x:f>
        <x:v>9000</x:v>
      </x:c>
      <x:c r="M42" s="91" t="n">
        <x:f>IF(OR(I42="",NOT(ISNUMBER(I42)),L42=""),"",I42*L42*(1+J42/100))</x:f>
        <x:v>450</x:v>
      </x:c>
      <x:c r="N42" s="80" t="str"/>
      <x:c r="O42" s="93" t="str">
        <x:f>IF(AND(B42="",D42="",F42=""),"",IF(A42="تجاهل","تجاهل",IF(OR(B42="",D42="",F42="",G42="",H42=""),"ناقص",IF(NOT(ISNUMBER(I42)),"خطأ وحدة",IF(OR(J42&lt;0,J42&gt;100),"خطأ هدر","صالح")))))</x:f>
        <x:v>صالح</x:v>
      </x:c>
    </x:row>
    <x:row r="43">
      <x:c r="A43" s="79" t="str">
        <x:v>بحاجة مراجعة</x:v>
      </x:c>
      <x:c r="B43" s="80" t="str">
        <x:v>لبنة وأعشاب</x:v>
      </x:c>
      <x:c r="C43" s="87" t="str">
        <x:f>IFERROR(VLOOKUP(B43,'مراجع الوصفات'!$A$2:$D$79,2,FALSE),"")</x:f>
      </x:c>
      <x:c r="D43" s="80" t="str">
        <x:v>خيار / بعجور</x:v>
      </x:c>
      <x:c r="E43" s="87" t="str">
        <x:f>IFERROR(VLOOKUP(D43,'مراجع الوصفات'!$F$2:$I$253,2,FALSE),"")</x:f>
        <x:v>ING-VEG-CUCUMBER</x:v>
      </x:c>
      <x:c r="F43" s="83" t="n">
        <x:v>50</x:v>
      </x:c>
      <x:c r="G43" s="80" t="str">
        <x:v>غ</x:v>
      </x:c>
      <x:c r="H43" s="87" t="str">
        <x:f>IFERROR(VLOOKUP(D43,'مراجع الوصفات'!$F$2:$I$253,3,FALSE),"")</x:f>
        <x:v>كغ</x:v>
      </x:c>
      <x:c r="I43" s="89" t="n">
        <x:f>IF(OR(F43="",G43="",H43=""),"",IF(G43=H43,F43,IF(AND(G43="غ",H43="كغ"),F43/1000,IF(AND(G43="كغ",H43="غ"),F43*1000,IF(AND(G43="مل",H43="لتر"),F43/1000,IF(AND(G43="لتر",H43="مل"),F43*1000,"خطأ وحدة"))))))</x:f>
        <x:v>0.05</x:v>
      </x:c>
      <x:c r="J43" s="85" t="n">
        <x:v>0</x:v>
      </x:c>
      <x:c r="K43" s="80" t="str">
        <x:v>نعم</x:v>
      </x:c>
      <x:c r="L43" s="91" t="n">
        <x:f>IFERROR(VLOOKUP(D43,'مراجع الوصفات'!$F$2:$I$253,4,FALSE),"")</x:f>
        <x:v>5000</x:v>
      </x:c>
      <x:c r="M43" s="91" t="n">
        <x:f>IF(OR(I43="",NOT(ISNUMBER(I43)),L43=""),"",I43*L43*(1+J43/100))</x:f>
        <x:v>250</x:v>
      </x:c>
      <x:c r="N43" s="80" t="str"/>
      <x:c r="O43" s="93" t="str">
        <x:f>IF(AND(B43="",D43="",F43=""),"",IF(A43="تجاهل","تجاهل",IF(OR(B43="",D43="",F43="",G43="",H43=""),"ناقص",IF(NOT(ISNUMBER(I43)),"خطأ وحدة",IF(OR(J43&lt;0,J43&gt;100),"خطأ هدر","صالح")))))</x:f>
        <x:v>صالح</x:v>
      </x:c>
    </x:row>
    <x:row r="44">
      <x:c r="A44" s="79" t="str">
        <x:v>بحاجة مراجعة</x:v>
      </x:c>
      <x:c r="B44" s="80" t="str">
        <x:v>زيت وزعتر</x:v>
      </x:c>
      <x:c r="C44" s="87" t="str">
        <x:f>IFERROR(VLOOKUP(B44,'مراجع الوصفات'!$A$2:$D$79,2,FALSE),"")</x:f>
      </x:c>
      <x:c r="D44" s="80" t="str">
        <x:v>خبز سمون</x:v>
      </x:c>
      <x:c r="E44" s="87" t="str">
        <x:f>IFERROR(VLOOKUP(D44,'مراجع الوصفات'!$F$2:$I$253,2,FALSE),"")</x:f>
        <x:v>ING-BREAD-SAMOON</x:v>
      </x:c>
      <x:c r="F44" s="83" t="n">
        <x:v>1</x:v>
      </x:c>
      <x:c r="G44" s="80" t="str">
        <x:v>قطعة</x:v>
      </x:c>
      <x:c r="H44" s="87" t="str">
        <x:f>IFERROR(VLOOKUP(D44,'مراجع الوصفات'!$F$2:$I$253,3,FALSE),"")</x:f>
        <x:v>قطعة</x:v>
      </x:c>
      <x:c r="I44" s="89" t="n">
        <x:f>IF(OR(F44="",G44="",H44=""),"",IF(G44=H44,F44,IF(AND(G44="غ",H44="كغ"),F44/1000,IF(AND(G44="كغ",H44="غ"),F44*1000,IF(AND(G44="مل",H44="لتر"),F44/1000,IF(AND(G44="لتر",H44="مل"),F44*1000,"خطأ وحدة"))))))</x:f>
        <x:v>1</x:v>
      </x:c>
      <x:c r="J44" s="85" t="n">
        <x:v>0</x:v>
      </x:c>
      <x:c r="K44" s="80" t="str">
        <x:v>نعم</x:v>
      </x:c>
      <x:c r="L44" s="91" t="str">
        <x:f>IFERROR(VLOOKUP(D44,'مراجع الوصفات'!$F$2:$I$253,4,FALSE),"")</x:f>
      </x:c>
      <x:c r="M44" s="91" t="str">
        <x:f>IF(OR(I44="",NOT(ISNUMBER(I44)),L44=""),"",I44*L44*(1+J44/100))</x:f>
      </x:c>
      <x:c r="N44" s="80" t="str"/>
      <x:c r="O44" s="93" t="str">
        <x:f>IF(AND(B44="",D44="",F44=""),"",IF(A44="تجاهل","تجاهل",IF(OR(B44="",D44="",F44="",G44="",H44=""),"ناقص",IF(NOT(ISNUMBER(I44)),"خطأ وحدة",IF(OR(J44&lt;0,J44&gt;100),"خطأ هدر","صالح")))))</x:f>
        <x:v>صالح</x:v>
      </x:c>
    </x:row>
    <x:row r="45">
      <x:c r="A45" s="79" t="str">
        <x:v>بحاجة مراجعة</x:v>
      </x:c>
      <x:c r="B45" s="80" t="str">
        <x:v>زيت وزعتر</x:v>
      </x:c>
      <x:c r="C45" s="87" t="str">
        <x:f>IFERROR(VLOOKUP(B45,'مراجع الوصفات'!$A$2:$D$79,2,FALSE),"")</x:f>
      </x:c>
      <x:c r="D45" s="80" t="str">
        <x:v>زيت زيتون</x:v>
      </x:c>
      <x:c r="E45" s="87" t="str">
        <x:f>IFERROR(VLOOKUP(D45,'مراجع الوصفات'!$F$2:$I$253,2,FALSE),"")</x:f>
        <x:v>ING-OIL-OLIVE</x:v>
      </x:c>
      <x:c r="F45" s="83" t="n">
        <x:v>20</x:v>
      </x:c>
      <x:c r="G45" s="80" t="str">
        <x:v>مل</x:v>
      </x:c>
      <x:c r="H45" s="87" t="str">
        <x:f>IFERROR(VLOOKUP(D45,'مراجع الوصفات'!$F$2:$I$253,3,FALSE),"")</x:f>
        <x:v>لتر</x:v>
      </x:c>
      <x:c r="I45" s="89" t="n">
        <x:f>IF(OR(F45="",G45="",H45=""),"",IF(G45=H45,F45,IF(AND(G45="غ",H45="كغ"),F45/1000,IF(AND(G45="كغ",H45="غ"),F45*1000,IF(AND(G45="مل",H45="لتر"),F45/1000,IF(AND(G45="لتر",H45="مل"),F45*1000,"خطأ وحدة"))))))</x:f>
        <x:v>0.02</x:v>
      </x:c>
      <x:c r="J45" s="85" t="n">
        <x:v>0</x:v>
      </x:c>
      <x:c r="K45" s="80" t="str">
        <x:v>نعم</x:v>
      </x:c>
      <x:c r="L45" s="91" t="str">
        <x:f>IFERROR(VLOOKUP(D45,'مراجع الوصفات'!$F$2:$I$253,4,FALSE),"")</x:f>
      </x:c>
      <x:c r="M45" s="91" t="str">
        <x:f>IF(OR(I45="",NOT(ISNUMBER(I45)),L45=""),"",I45*L45*(1+J45/100))</x:f>
      </x:c>
      <x:c r="N45" s="80" t="str"/>
      <x:c r="O45" s="93" t="str">
        <x:f>IF(AND(B45="",D45="",F45=""),"",IF(A45="تجاهل","تجاهل",IF(OR(B45="",D45="",F45="",G45="",H45=""),"ناقص",IF(NOT(ISNUMBER(I45)),"خطأ وحدة",IF(OR(J45&lt;0,J45&gt;100),"خطأ هدر","صالح")))))</x:f>
        <x:v>صالح</x:v>
      </x:c>
    </x:row>
    <x:row r="46">
      <x:c r="A46" s="79" t="str">
        <x:v>بحاجة مراجعة</x:v>
      </x:c>
      <x:c r="B46" s="80" t="str">
        <x:v>زيت وزعتر</x:v>
      </x:c>
      <x:c r="C46" s="87" t="str">
        <x:f>IFERROR(VLOOKUP(B46,'مراجع الوصفات'!$A$2:$D$79,2,FALSE),"")</x:f>
      </x:c>
      <x:c r="D46" s="80" t="str">
        <x:v>زعتر يابس</x:v>
      </x:c>
      <x:c r="E46" s="87" t="str">
        <x:f>IFERROR(VLOOKUP(D46,'مراجع الوصفات'!$F$2:$I$253,2,FALSE),"")</x:f>
        <x:v>ING-HERB-DRIEDTHYME</x:v>
      </x:c>
      <x:c r="F46" s="83" t="n">
        <x:v>15</x:v>
      </x:c>
      <x:c r="G46" s="80" t="str">
        <x:v>غ</x:v>
      </x:c>
      <x:c r="H46" s="87" t="str">
        <x:f>IFERROR(VLOOKUP(D46,'مراجع الوصفات'!$F$2:$I$253,3,FALSE),"")</x:f>
        <x:v>كغ</x:v>
      </x:c>
      <x:c r="I46" s="89" t="n">
        <x:f>IF(OR(F46="",G46="",H46=""),"",IF(G46=H46,F46,IF(AND(G46="غ",H46="كغ"),F46/1000,IF(AND(G46="كغ",H46="غ"),F46*1000,IF(AND(G46="مل",H46="لتر"),F46/1000,IF(AND(G46="لتر",H46="مل"),F46*1000,"خطأ وحدة"))))))</x:f>
        <x:v>0.015</x:v>
      </x:c>
      <x:c r="J46" s="85" t="n">
        <x:v>0</x:v>
      </x:c>
      <x:c r="K46" s="80" t="str">
        <x:v>نعم</x:v>
      </x:c>
      <x:c r="L46" s="91" t="str">
        <x:f>IFERROR(VLOOKUP(D46,'مراجع الوصفات'!$F$2:$I$253,4,FALSE),"")</x:f>
      </x:c>
      <x:c r="M46" s="91" t="str">
        <x:f>IF(OR(I46="",NOT(ISNUMBER(I46)),L46=""),"",I46*L46*(1+J46/100))</x:f>
      </x:c>
      <x:c r="N46" s="80" t="str"/>
      <x:c r="O46" s="93" t="str">
        <x:f>IF(AND(B46="",D46="",F46=""),"",IF(A46="تجاهل","تجاهل",IF(OR(B46="",D46="",F46="",G46="",H46=""),"ناقص",IF(NOT(ISNUMBER(I46)),"خطأ وحدة",IF(OR(J46&lt;0,J46&gt;100),"خطأ هدر","صالح")))))</x:f>
        <x:v>صالح</x:v>
      </x:c>
    </x:row>
    <x:row r="47">
      <x:c r="A47" s="79" t="str">
        <x:v>بحاجة مراجعة</x:v>
      </x:c>
      <x:c r="B47" s="80" t="str">
        <x:v>زيت وزعتر</x:v>
      </x:c>
      <x:c r="C47" s="87" t="str">
        <x:f>IFERROR(VLOOKUP(B47,'مراجع الوصفات'!$A$2:$D$79,2,FALSE),"")</x:f>
      </x:c>
      <x:c r="D47" s="80" t="str">
        <x:v>بندورة</x:v>
      </x:c>
      <x:c r="E47" s="87" t="str">
        <x:f>IFERROR(VLOOKUP(D47,'مراجع الوصفات'!$F$2:$I$253,2,FALSE),"")</x:f>
        <x:v>ING-VEG-TOMATO</x:v>
      </x:c>
      <x:c r="F47" s="83" t="n">
        <x:v>40</x:v>
      </x:c>
      <x:c r="G47" s="80" t="str">
        <x:v>غ</x:v>
      </x:c>
      <x:c r="H47" s="87" t="str">
        <x:f>IFERROR(VLOOKUP(D47,'مراجع الوصفات'!$F$2:$I$253,3,FALSE),"")</x:f>
        <x:v>كغ</x:v>
      </x:c>
      <x:c r="I47" s="89" t="n">
        <x:f>IF(OR(F47="",G47="",H47=""),"",IF(G47=H47,F47,IF(AND(G47="غ",H47="كغ"),F47/1000,IF(AND(G47="كغ",H47="غ"),F47*1000,IF(AND(G47="مل",H47="لتر"),F47/1000,IF(AND(G47="لتر",H47="مل"),F47*1000,"خطأ وحدة"))))))</x:f>
        <x:v>0.04</x:v>
      </x:c>
      <x:c r="J47" s="85" t="n">
        <x:v>0</x:v>
      </x:c>
      <x:c r="K47" s="80" t="str">
        <x:v>نعم</x:v>
      </x:c>
      <x:c r="L47" s="91" t="n">
        <x:f>IFERROR(VLOOKUP(D47,'مراجع الوصفات'!$F$2:$I$253,4,FALSE),"")</x:f>
        <x:v>9000</x:v>
      </x:c>
      <x:c r="M47" s="91" t="n">
        <x:f>IF(OR(I47="",NOT(ISNUMBER(I47)),L47=""),"",I47*L47*(1+J47/100))</x:f>
        <x:v>360</x:v>
      </x:c>
      <x:c r="N47" s="80" t="str"/>
      <x:c r="O47" s="93" t="str">
        <x:f>IF(AND(B47="",D47="",F47=""),"",IF(A47="تجاهل","تجاهل",IF(OR(B47="",D47="",F47="",G47="",H47=""),"ناقص",IF(NOT(ISNUMBER(I47)),"خطأ وحدة",IF(OR(J47&lt;0,J47&gt;100),"خطأ هدر","صالح")))))</x:f>
        <x:v>صالح</x:v>
      </x:c>
    </x:row>
    <x:row r="48">
      <x:c r="A48" s="79" t="str">
        <x:v>بحاجة مراجعة</x:v>
      </x:c>
      <x:c r="B48" s="80" t="str">
        <x:v>زيت وزعتر</x:v>
      </x:c>
      <x:c r="C48" s="87" t="str">
        <x:f>IFERROR(VLOOKUP(B48,'مراجع الوصفات'!$A$2:$D$79,2,FALSE),"")</x:f>
      </x:c>
      <x:c r="D48" s="80" t="str">
        <x:v>خيار / بعجور</x:v>
      </x:c>
      <x:c r="E48" s="87" t="str">
        <x:f>IFERROR(VLOOKUP(D48,'مراجع الوصفات'!$F$2:$I$253,2,FALSE),"")</x:f>
        <x:v>ING-VEG-CUCUMBER</x:v>
      </x:c>
      <x:c r="F48" s="83" t="n">
        <x:v>40</x:v>
      </x:c>
      <x:c r="G48" s="80" t="str">
        <x:v>غ</x:v>
      </x:c>
      <x:c r="H48" s="87" t="str">
        <x:f>IFERROR(VLOOKUP(D48,'مراجع الوصفات'!$F$2:$I$253,3,FALSE),"")</x:f>
        <x:v>كغ</x:v>
      </x:c>
      <x:c r="I48" s="89" t="n">
        <x:f>IF(OR(F48="",G48="",H48=""),"",IF(G48=H48,F48,IF(AND(G48="غ",H48="كغ"),F48/1000,IF(AND(G48="كغ",H48="غ"),F48*1000,IF(AND(G48="مل",H48="لتر"),F48/1000,IF(AND(G48="لتر",H48="مل"),F48*1000,"خطأ وحدة"))))))</x:f>
        <x:v>0.04</x:v>
      </x:c>
      <x:c r="J48" s="85" t="n">
        <x:v>0</x:v>
      </x:c>
      <x:c r="K48" s="80" t="str">
        <x:v>نعم</x:v>
      </x:c>
      <x:c r="L48" s="91" t="n">
        <x:f>IFERROR(VLOOKUP(D48,'مراجع الوصفات'!$F$2:$I$253,4,FALSE),"")</x:f>
        <x:v>5000</x:v>
      </x:c>
      <x:c r="M48" s="91" t="n">
        <x:f>IF(OR(I48="",NOT(ISNUMBER(I48)),L48=""),"",I48*L48*(1+J48/100))</x:f>
        <x:v>200</x:v>
      </x:c>
      <x:c r="N48" s="80" t="str"/>
      <x:c r="O48" s="93" t="str">
        <x:f>IF(AND(B48="",D48="",F48=""),"",IF(A48="تجاهل","تجاهل",IF(OR(B48="",D48="",F48="",G48="",H48=""),"ناقص",IF(NOT(ISNUMBER(I48)),"خطأ وحدة",IF(OR(J48&lt;0,J48&gt;100),"خطأ هدر","صالح")))))</x:f>
        <x:v>صالح</x:v>
      </x:c>
    </x:row>
    <x:row r="49">
      <x:c r="A49" s="79" t="str">
        <x:v>بحاجة مراجعة</x:v>
      </x:c>
      <x:c r="B49" s="80" t="str">
        <x:v>محمّرة</x:v>
      </x:c>
      <x:c r="C49" s="87" t="str">
        <x:f>IFERROR(VLOOKUP(B49,'مراجع الوصفات'!$A$2:$D$79,2,FALSE),"")</x:f>
      </x:c>
      <x:c r="D49" s="80" t="str">
        <x:v>خبز سمون</x:v>
      </x:c>
      <x:c r="E49" s="87" t="str">
        <x:f>IFERROR(VLOOKUP(D49,'مراجع الوصفات'!$F$2:$I$253,2,FALSE),"")</x:f>
        <x:v>ING-BREAD-SAMOON</x:v>
      </x:c>
      <x:c r="F49" s="83" t="n">
        <x:v>1</x:v>
      </x:c>
      <x:c r="G49" s="80" t="str">
        <x:v>قطعة</x:v>
      </x:c>
      <x:c r="H49" s="87" t="str">
        <x:f>IFERROR(VLOOKUP(D49,'مراجع الوصفات'!$F$2:$I$253,3,FALSE),"")</x:f>
        <x:v>قطعة</x:v>
      </x:c>
      <x:c r="I49" s="89" t="n">
        <x:f>IF(OR(F49="",G49="",H49=""),"",IF(G49=H49,F49,IF(AND(G49="غ",H49="كغ"),F49/1000,IF(AND(G49="كغ",H49="غ"),F49*1000,IF(AND(G49="مل",H49="لتر"),F49/1000,IF(AND(G49="لتر",H49="مل"),F49*1000,"خطأ وحدة"))))))</x:f>
        <x:v>1</x:v>
      </x:c>
      <x:c r="J49" s="85" t="n">
        <x:v>0</x:v>
      </x:c>
      <x:c r="K49" s="80" t="str">
        <x:v>نعم</x:v>
      </x:c>
      <x:c r="L49" s="91" t="str">
        <x:f>IFERROR(VLOOKUP(D49,'مراجع الوصفات'!$F$2:$I$253,4,FALSE),"")</x:f>
      </x:c>
      <x:c r="M49" s="91" t="str">
        <x:f>IF(OR(I49="",NOT(ISNUMBER(I49)),L49=""),"",I49*L49*(1+J49/100))</x:f>
      </x:c>
      <x:c r="N49" s="80" t="str"/>
      <x:c r="O49" s="93" t="str">
        <x:f>IF(AND(B49="",D49="",F49=""),"",IF(A49="تجاهل","تجاهل",IF(OR(B49="",D49="",F49="",G49="",H49=""),"ناقص",IF(NOT(ISNUMBER(I49)),"خطأ وحدة",IF(OR(J49&lt;0,J49&gt;100),"خطأ هدر","صالح")))))</x:f>
        <x:v>صالح</x:v>
      </x:c>
    </x:row>
    <x:row r="50">
      <x:c r="A50" s="79" t="str">
        <x:v>بحاجة مراجعة</x:v>
      </x:c>
      <x:c r="B50" s="80" t="str">
        <x:v>محمّرة</x:v>
      </x:c>
      <x:c r="C50" s="87" t="str">
        <x:f>IFERROR(VLOOKUP(B50,'مراجع الوصفات'!$A$2:$D$79,2,FALSE),"")</x:f>
      </x:c>
      <x:c r="D50" s="80" t="str">
        <x:v>محمّرة جاهزة</x:v>
      </x:c>
      <x:c r="E50" s="87" t="str">
        <x:f>IFERROR(VLOOKUP(D50,'مراجع الوصفات'!$F$2:$I$253,2,FALSE),"")</x:f>
        <x:v>ING-PREP-MUHAMMARA</x:v>
      </x:c>
      <x:c r="F50" s="83" t="n">
        <x:v>120</x:v>
      </x:c>
      <x:c r="G50" s="80" t="str">
        <x:v>غ</x:v>
      </x:c>
      <x:c r="H50" s="87" t="str">
        <x:f>IFERROR(VLOOKUP(D50,'مراجع الوصفات'!$F$2:$I$253,3,FALSE),"")</x:f>
        <x:v>كغ</x:v>
      </x:c>
      <x:c r="I50" s="89" t="n">
        <x:f>IF(OR(F50="",G50="",H50=""),"",IF(G50=H50,F50,IF(AND(G50="غ",H50="كغ"),F50/1000,IF(AND(G50="كغ",H50="غ"),F50*1000,IF(AND(G50="مل",H50="لتر"),F50/1000,IF(AND(G50="لتر",H50="مل"),F50*1000,"خطأ وحدة"))))))</x:f>
        <x:v>0.12</x:v>
      </x:c>
      <x:c r="J50" s="85" t="n">
        <x:v>0</x:v>
      </x:c>
      <x:c r="K50" s="80" t="str">
        <x:v>نعم</x:v>
      </x:c>
      <x:c r="L50" s="91" t="str">
        <x:f>IFERROR(VLOOKUP(D50,'مراجع الوصفات'!$F$2:$I$253,4,FALSE),"")</x:f>
      </x:c>
      <x:c r="M50" s="91" t="str">
        <x:f>IF(OR(I50="",NOT(ISNUMBER(I50)),L50=""),"",I50*L50*(1+J50/100))</x:f>
      </x:c>
      <x:c r="N50" s="80" t="str"/>
      <x:c r="O50" s="93" t="str">
        <x:f>IF(AND(B50="",D50="",F50=""),"",IF(A50="تجاهل","تجاهل",IF(OR(B50="",D50="",F50="",G50="",H50=""),"ناقص",IF(NOT(ISNUMBER(I50)),"خطأ وحدة",IF(OR(J50&lt;0,J50&gt;100),"خطأ هدر","صالح")))))</x:f>
        <x:v>صالح</x:v>
      </x:c>
    </x:row>
    <x:row r="51">
      <x:c r="A51" s="79" t="str">
        <x:v>بحاجة مراجعة</x:v>
      </x:c>
      <x:c r="B51" s="80" t="str">
        <x:v>محمّرة</x:v>
      </x:c>
      <x:c r="C51" s="87" t="str">
        <x:f>IFERROR(VLOOKUP(B51,'مراجع الوصفات'!$A$2:$D$79,2,FALSE),"")</x:f>
      </x:c>
      <x:c r="D51" s="80" t="str">
        <x:v>مخلل مشكل</x:v>
      </x:c>
      <x:c r="E51" s="87" t="str">
        <x:f>IFERROR(VLOOKUP(D51,'مراجع الوصفات'!$F$2:$I$253,2,FALSE),"")</x:f>
        <x:v>ING-PICKLE-MIXED</x:v>
      </x:c>
      <x:c r="F51" s="83" t="n">
        <x:v>0.08</x:v>
      </x:c>
      <x:c r="G51" s="80" t="str">
        <x:v>عبوة</x:v>
      </x:c>
      <x:c r="H51" s="87" t="str">
        <x:f>IFERROR(VLOOKUP(D51,'مراجع الوصفات'!$F$2:$I$253,3,FALSE),"")</x:f>
        <x:v>عبوة</x:v>
      </x:c>
      <x:c r="I51" s="89" t="n">
        <x:f>IF(OR(F51="",G51="",H51=""),"",IF(G51=H51,F51,IF(AND(G51="غ",H51="كغ"),F51/1000,IF(AND(G51="كغ",H51="غ"),F51*1000,IF(AND(G51="مل",H51="لتر"),F51/1000,IF(AND(G51="لتر",H51="مل"),F51*1000,"خطأ وحدة"))))))</x:f>
        <x:v>0.08</x:v>
      </x:c>
      <x:c r="J51" s="85" t="n">
        <x:v>0</x:v>
      </x:c>
      <x:c r="K51" s="80" t="str">
        <x:v>نعم</x:v>
      </x:c>
      <x:c r="L51" s="91" t="n">
        <x:f>IFERROR(VLOOKUP(D51,'مراجع الوصفات'!$F$2:$I$253,4,FALSE),"")</x:f>
        <x:v>7000</x:v>
      </x:c>
      <x:c r="M51" s="91" t="n">
        <x:f>IF(OR(I51="",NOT(ISNUMBER(I51)),L51=""),"",I51*L51*(1+J51/100))</x:f>
        <x:v>560</x:v>
      </x:c>
      <x:c r="N51" s="80" t="str">
        <x:v>تقدير حصة المخلل من العبوة.</x:v>
      </x:c>
      <x:c r="O51" s="93" t="str">
        <x:f>IF(AND(B51="",D51="",F51=""),"",IF(A51="تجاهل","تجاهل",IF(OR(B51="",D51="",F51="",G51="",H51=""),"ناقص",IF(NOT(ISNUMBER(I51)),"خطأ وحدة",IF(OR(J51&lt;0,J51&gt;100),"خطأ هدر","صالح")))))</x:f>
        <x:v>صالح</x:v>
      </x:c>
    </x:row>
    <x:row r="52">
      <x:c r="A52" s="79" t="str">
        <x:v>بحاجة مراجعة</x:v>
      </x:c>
      <x:c r="B52" s="80" t="str">
        <x:v>الجبنة البلدية</x:v>
      </x:c>
      <x:c r="C52" s="87" t="str">
        <x:f>IFERROR(VLOOKUP(B52,'مراجع الوصفات'!$A$2:$D$79,2,FALSE),"")</x:f>
      </x:c>
      <x:c r="D52" s="80" t="str">
        <x:v>خبز سمون</x:v>
      </x:c>
      <x:c r="E52" s="87" t="str">
        <x:f>IFERROR(VLOOKUP(D52,'مراجع الوصفات'!$F$2:$I$253,2,FALSE),"")</x:f>
        <x:v>ING-BREAD-SAMOON</x:v>
      </x:c>
      <x:c r="F52" s="83" t="n">
        <x:v>1</x:v>
      </x:c>
      <x:c r="G52" s="80" t="str">
        <x:v>قطعة</x:v>
      </x:c>
      <x:c r="H52" s="87" t="str">
        <x:f>IFERROR(VLOOKUP(D52,'مراجع الوصفات'!$F$2:$I$253,3,FALSE),"")</x:f>
        <x:v>قطعة</x:v>
      </x:c>
      <x:c r="I52" s="89" t="n">
        <x:f>IF(OR(F52="",G52="",H52=""),"",IF(G52=H52,F52,IF(AND(G52="غ",H52="كغ"),F52/1000,IF(AND(G52="كغ",H52="غ"),F52*1000,IF(AND(G52="مل",H52="لتر"),F52/1000,IF(AND(G52="لتر",H52="مل"),F52*1000,"خطأ وحدة"))))))</x:f>
        <x:v>1</x:v>
      </x:c>
      <x:c r="J52" s="85" t="n">
        <x:v>0</x:v>
      </x:c>
      <x:c r="K52" s="80" t="str">
        <x:v>نعم</x:v>
      </x:c>
      <x:c r="L52" s="91" t="str">
        <x:f>IFERROR(VLOOKUP(D52,'مراجع الوصفات'!$F$2:$I$253,4,FALSE),"")</x:f>
      </x:c>
      <x:c r="M52" s="91" t="str">
        <x:f>IF(OR(I52="",NOT(ISNUMBER(I52)),L52=""),"",I52*L52*(1+J52/100))</x:f>
      </x:c>
      <x:c r="N52" s="80" t="str"/>
      <x:c r="O52" s="93" t="str">
        <x:f>IF(AND(B52="",D52="",F52=""),"",IF(A52="تجاهل","تجاهل",IF(OR(B52="",D52="",F52="",G52="",H52=""),"ناقص",IF(NOT(ISNUMBER(I52)),"خطأ وحدة",IF(OR(J52&lt;0,J52&gt;100),"خطأ هدر","صالح")))))</x:f>
        <x:v>صالح</x:v>
      </x:c>
    </x:row>
    <x:row r="53">
      <x:c r="A53" s="79" t="str">
        <x:v>بحاجة مراجعة</x:v>
      </x:c>
      <x:c r="B53" s="80" t="str">
        <x:v>الجبنة البلدية</x:v>
      </x:c>
      <x:c r="C53" s="87" t="str">
        <x:f>IFERROR(VLOOKUP(B53,'مراجع الوصفات'!$A$2:$D$79,2,FALSE),"")</x:f>
      </x:c>
      <x:c r="D53" s="80" t="str">
        <x:v>جبنة بيضاء</x:v>
      </x:c>
      <x:c r="E53" s="87" t="str">
        <x:f>IFERROR(VLOOKUP(D53,'مراجع الوصفات'!$F$2:$I$253,2,FALSE),"")</x:f>
        <x:v>ING-CHEESE-WHITE</x:v>
      </x:c>
      <x:c r="F53" s="83" t="n">
        <x:v>100</x:v>
      </x:c>
      <x:c r="G53" s="80" t="str">
        <x:v>غ</x:v>
      </x:c>
      <x:c r="H53" s="87" t="str">
        <x:f>IFERROR(VLOOKUP(D53,'مراجع الوصفات'!$F$2:$I$253,3,FALSE),"")</x:f>
        <x:v>كغ</x:v>
      </x:c>
      <x:c r="I53" s="89" t="n">
        <x:f>IF(OR(F53="",G53="",H53=""),"",IF(G53=H53,F53,IF(AND(G53="غ",H53="كغ"),F53/1000,IF(AND(G53="كغ",H53="غ"),F53*1000,IF(AND(G53="مل",H53="لتر"),F53/1000,IF(AND(G53="لتر",H53="مل"),F53*1000,"خطأ وحدة"))))))</x:f>
        <x:v>0.1</x:v>
      </x:c>
      <x:c r="J53" s="85" t="n">
        <x:v>0</x:v>
      </x:c>
      <x:c r="K53" s="80" t="str">
        <x:v>نعم</x:v>
      </x:c>
      <x:c r="L53" s="91" t="str">
        <x:f>IFERROR(VLOOKUP(D53,'مراجع الوصفات'!$F$2:$I$253,4,FALSE),"")</x:f>
      </x:c>
      <x:c r="M53" s="91" t="str">
        <x:f>IF(OR(I53="",NOT(ISNUMBER(I53)),L53=""),"",I53*L53*(1+J53/100))</x:f>
      </x:c>
      <x:c r="N53" s="80" t="str"/>
      <x:c r="O53" s="93" t="str">
        <x:f>IF(AND(B53="",D53="",F53=""),"",IF(A53="تجاهل","تجاهل",IF(OR(B53="",D53="",F53="",G53="",H53=""),"ناقص",IF(NOT(ISNUMBER(I53)),"خطأ وحدة",IF(OR(J53&lt;0,J53&gt;100),"خطأ هدر","صالح")))))</x:f>
        <x:v>صالح</x:v>
      </x:c>
    </x:row>
    <x:row r="54">
      <x:c r="A54" s="79" t="str">
        <x:v>بحاجة مراجعة</x:v>
      </x:c>
      <x:c r="B54" s="80" t="str">
        <x:v>الجبنة البلدية</x:v>
      </x:c>
      <x:c r="C54" s="87" t="str">
        <x:f>IFERROR(VLOOKUP(B54,'مراجع الوصفات'!$A$2:$D$79,2,FALSE),"")</x:f>
      </x:c>
      <x:c r="D54" s="80" t="str">
        <x:v>حبق / ريحان</x:v>
      </x:c>
      <x:c r="E54" s="87" t="str">
        <x:f>IFERROR(VLOOKUP(D54,'مراجع الوصفات'!$F$2:$I$253,2,FALSE),"")</x:f>
        <x:v>ING-HERB-BASIL</x:v>
      </x:c>
      <x:c r="F54" s="83" t="n">
        <x:v>0.05</x:v>
      </x:c>
      <x:c r="G54" s="80" t="str">
        <x:v>عبوة</x:v>
      </x:c>
      <x:c r="H54" s="87" t="str">
        <x:f>IFERROR(VLOOKUP(D54,'مراجع الوصفات'!$F$2:$I$253,3,FALSE),"")</x:f>
        <x:v>عبوة</x:v>
      </x:c>
      <x:c r="I54" s="89" t="n">
        <x:f>IF(OR(F54="",G54="",H54=""),"",IF(G54=H54,F54,IF(AND(G54="غ",H54="كغ"),F54/1000,IF(AND(G54="كغ",H54="غ"),F54*1000,IF(AND(G54="مل",H54="لتر"),F54/1000,IF(AND(G54="لتر",H54="مل"),F54*1000,"خطأ وحدة"))))))</x:f>
        <x:v>0.05</x:v>
      </x:c>
      <x:c r="J54" s="85" t="n">
        <x:v>0</x:v>
      </x:c>
      <x:c r="K54" s="80" t="str">
        <x:v>نعم</x:v>
      </x:c>
      <x:c r="L54" s="91" t="str">
        <x:f>IFERROR(VLOOKUP(D54,'مراجع الوصفات'!$F$2:$I$253,4,FALSE),"")</x:f>
      </x:c>
      <x:c r="M54" s="91" t="str">
        <x:f>IF(OR(I54="",NOT(ISNUMBER(I54)),L54=""),"",I54*L54*(1+J54/100))</x:f>
      </x:c>
      <x:c r="N54" s="80" t="str"/>
      <x:c r="O54" s="93" t="str">
        <x:f>IF(AND(B54="",D54="",F54=""),"",IF(A54="تجاهل","تجاهل",IF(OR(B54="",D54="",F54="",G54="",H54=""),"ناقص",IF(NOT(ISNUMBER(I54)),"خطأ وحدة",IF(OR(J54&lt;0,J54&gt;100),"خطأ هدر","صالح")))))</x:f>
        <x:v>صالح</x:v>
      </x:c>
    </x:row>
    <x:row r="55">
      <x:c r="A55" s="79" t="str">
        <x:v>بحاجة مراجعة</x:v>
      </x:c>
      <x:c r="B55" s="80" t="str">
        <x:v>الجبنة البلدية</x:v>
      </x:c>
      <x:c r="C55" s="87" t="str">
        <x:f>IFERROR(VLOOKUP(B55,'مراجع الوصفات'!$A$2:$D$79,2,FALSE),"")</x:f>
      </x:c>
      <x:c r="D55" s="80" t="str">
        <x:v>زيت زيتون</x:v>
      </x:c>
      <x:c r="E55" s="87" t="str">
        <x:f>IFERROR(VLOOKUP(D55,'مراجع الوصفات'!$F$2:$I$253,2,FALSE),"")</x:f>
        <x:v>ING-OIL-OLIVE</x:v>
      </x:c>
      <x:c r="F55" s="83" t="n">
        <x:v>10</x:v>
      </x:c>
      <x:c r="G55" s="80" t="str">
        <x:v>مل</x:v>
      </x:c>
      <x:c r="H55" s="87" t="str">
        <x:f>IFERROR(VLOOKUP(D55,'مراجع الوصفات'!$F$2:$I$253,3,FALSE),"")</x:f>
        <x:v>لتر</x:v>
      </x:c>
      <x:c r="I55" s="89" t="n">
        <x:f>IF(OR(F55="",G55="",H55=""),"",IF(G55=H55,F55,IF(AND(G55="غ",H55="كغ"),F55/1000,IF(AND(G55="كغ",H55="غ"),F55*1000,IF(AND(G55="مل",H55="لتر"),F55/1000,IF(AND(G55="لتر",H55="مل"),F55*1000,"خطأ وحدة"))))))</x:f>
        <x:v>0.01</x:v>
      </x:c>
      <x:c r="J55" s="85" t="n">
        <x:v>0</x:v>
      </x:c>
      <x:c r="K55" s="80" t="str">
        <x:v>نعم</x:v>
      </x:c>
      <x:c r="L55" s="91" t="str">
        <x:f>IFERROR(VLOOKUP(D55,'مراجع الوصفات'!$F$2:$I$253,4,FALSE),"")</x:f>
      </x:c>
      <x:c r="M55" s="91" t="str">
        <x:f>IF(OR(I55="",NOT(ISNUMBER(I55)),L55=""),"",I55*L55*(1+J55/100))</x:f>
      </x:c>
      <x:c r="N55" s="80" t="str"/>
      <x:c r="O55" s="93" t="str">
        <x:f>IF(AND(B55="",D55="",F55=""),"",IF(A55="تجاهل","تجاهل",IF(OR(B55="",D55="",F55="",G55="",H55=""),"ناقص",IF(NOT(ISNUMBER(I55)),"خطأ وحدة",IF(OR(J55&lt;0,J55&gt;100),"خطأ هدر","صالح")))))</x:f>
        <x:v>صالح</x:v>
      </x:c>
    </x:row>
    <x:row r="56">
      <x:c r="A56" s="79" t="str">
        <x:v>بحاجة مراجعة</x:v>
      </x:c>
      <x:c r="B56" s="80" t="str">
        <x:v>الجبنة البلدية</x:v>
      </x:c>
      <x:c r="C56" s="87" t="str">
        <x:f>IFERROR(VLOOKUP(B56,'مراجع الوصفات'!$A$2:$D$79,2,FALSE),"")</x:f>
      </x:c>
      <x:c r="D56" s="80" t="str">
        <x:v>بندورة</x:v>
      </x:c>
      <x:c r="E56" s="87" t="str">
        <x:f>IFERROR(VLOOKUP(D56,'مراجع الوصفات'!$F$2:$I$253,2,FALSE),"")</x:f>
        <x:v>ING-VEG-TOMATO</x:v>
      </x:c>
      <x:c r="F56" s="83" t="n">
        <x:v>50</x:v>
      </x:c>
      <x:c r="G56" s="80" t="str">
        <x:v>غ</x:v>
      </x:c>
      <x:c r="H56" s="87" t="str">
        <x:f>IFERROR(VLOOKUP(D56,'مراجع الوصفات'!$F$2:$I$253,3,FALSE),"")</x:f>
        <x:v>كغ</x:v>
      </x:c>
      <x:c r="I56" s="89" t="n">
        <x:f>IF(OR(F56="",G56="",H56=""),"",IF(G56=H56,F56,IF(AND(G56="غ",H56="كغ"),F56/1000,IF(AND(G56="كغ",H56="غ"),F56*1000,IF(AND(G56="مل",H56="لتر"),F56/1000,IF(AND(G56="لتر",H56="مل"),F56*1000,"خطأ وحدة"))))))</x:f>
        <x:v>0.05</x:v>
      </x:c>
      <x:c r="J56" s="85" t="n">
        <x:v>0</x:v>
      </x:c>
      <x:c r="K56" s="80" t="str">
        <x:v>نعم</x:v>
      </x:c>
      <x:c r="L56" s="91" t="n">
        <x:f>IFERROR(VLOOKUP(D56,'مراجع الوصفات'!$F$2:$I$253,4,FALSE),"")</x:f>
        <x:v>9000</x:v>
      </x:c>
      <x:c r="M56" s="91" t="n">
        <x:f>IF(OR(I56="",NOT(ISNUMBER(I56)),L56=""),"",I56*L56*(1+J56/100))</x:f>
        <x:v>450</x:v>
      </x:c>
      <x:c r="N56" s="80" t="str"/>
      <x:c r="O56" s="93" t="str">
        <x:f>IF(AND(B56="",D56="",F56=""),"",IF(A56="تجاهل","تجاهل",IF(OR(B56="",D56="",F56="",G56="",H56=""),"ناقص",IF(NOT(ISNUMBER(I56)),"خطأ وحدة",IF(OR(J56&lt;0,J56&gt;100),"خطأ هدر","صالح")))))</x:f>
        <x:v>صالح</x:v>
      </x:c>
    </x:row>
    <x:row r="57">
      <x:c r="A57" s="79" t="str">
        <x:v>بحاجة مراجعة</x:v>
      </x:c>
      <x:c r="B57" s="80" t="str">
        <x:v>الجبنة البلدية</x:v>
      </x:c>
      <x:c r="C57" s="87" t="str">
        <x:f>IFERROR(VLOOKUP(B57,'مراجع الوصفات'!$A$2:$D$79,2,FALSE),"")</x:f>
      </x:c>
      <x:c r="D57" s="80" t="str">
        <x:v>خيار / بعجور</x:v>
      </x:c>
      <x:c r="E57" s="87" t="str">
        <x:f>IFERROR(VLOOKUP(D57,'مراجع الوصفات'!$F$2:$I$253,2,FALSE),"")</x:f>
        <x:v>ING-VEG-CUCUMBER</x:v>
      </x:c>
      <x:c r="F57" s="83" t="n">
        <x:v>50</x:v>
      </x:c>
      <x:c r="G57" s="80" t="str">
        <x:v>غ</x:v>
      </x:c>
      <x:c r="H57" s="87" t="str">
        <x:f>IFERROR(VLOOKUP(D57,'مراجع الوصفات'!$F$2:$I$253,3,FALSE),"")</x:f>
        <x:v>كغ</x:v>
      </x:c>
      <x:c r="I57" s="89" t="n">
        <x:f>IF(OR(F57="",G57="",H57=""),"",IF(G57=H57,F57,IF(AND(G57="غ",H57="كغ"),F57/1000,IF(AND(G57="كغ",H57="غ"),F57*1000,IF(AND(G57="مل",H57="لتر"),F57/1000,IF(AND(G57="لتر",H57="مل"),F57*1000,"خطأ وحدة"))))))</x:f>
        <x:v>0.05</x:v>
      </x:c>
      <x:c r="J57" s="85" t="n">
        <x:v>0</x:v>
      </x:c>
      <x:c r="K57" s="80" t="str">
        <x:v>نعم</x:v>
      </x:c>
      <x:c r="L57" s="91" t="n">
        <x:f>IFERROR(VLOOKUP(D57,'مراجع الوصفات'!$F$2:$I$253,4,FALSE),"")</x:f>
        <x:v>5000</x:v>
      </x:c>
      <x:c r="M57" s="91" t="n">
        <x:f>IF(OR(I57="",NOT(ISNUMBER(I57)),L57=""),"",I57*L57*(1+J57/100))</x:f>
        <x:v>250</x:v>
      </x:c>
      <x:c r="N57" s="80" t="str"/>
      <x:c r="O57" s="93" t="str">
        <x:f>IF(AND(B57="",D57="",F57=""),"",IF(A57="تجاهل","تجاهل",IF(OR(B57="",D57="",F57="",G57="",H57=""),"ناقص",IF(NOT(ISNUMBER(I57)),"خطأ وحدة",IF(OR(J57&lt;0,J57&gt;100),"خطأ هدر","صالح")))))</x:f>
        <x:v>صالح</x:v>
      </x:c>
    </x:row>
    <x:row r="58">
      <x:c r="A58" s="79" t="str">
        <x:v>بحاجة مراجعة</x:v>
      </x:c>
      <x:c r="B58" s="80" t="str">
        <x:v>بيض وجبنة</x:v>
      </x:c>
      <x:c r="C58" s="87" t="str">
        <x:f>IFERROR(VLOOKUP(B58,'مراجع الوصفات'!$A$2:$D$79,2,FALSE),"")</x:f>
      </x:c>
      <x:c r="D58" s="80" t="str">
        <x:v>خبز سمون</x:v>
      </x:c>
      <x:c r="E58" s="87" t="str">
        <x:f>IFERROR(VLOOKUP(D58,'مراجع الوصفات'!$F$2:$I$253,2,FALSE),"")</x:f>
        <x:v>ING-BREAD-SAMOON</x:v>
      </x:c>
      <x:c r="F58" s="83" t="n">
        <x:v>1</x:v>
      </x:c>
      <x:c r="G58" s="80" t="str">
        <x:v>قطعة</x:v>
      </x:c>
      <x:c r="H58" s="87" t="str">
        <x:f>IFERROR(VLOOKUP(D58,'مراجع الوصفات'!$F$2:$I$253,3,FALSE),"")</x:f>
        <x:v>قطعة</x:v>
      </x:c>
      <x:c r="I58" s="89" t="n">
        <x:f>IF(OR(F58="",G58="",H58=""),"",IF(G58=H58,F58,IF(AND(G58="غ",H58="كغ"),F58/1000,IF(AND(G58="كغ",H58="غ"),F58*1000,IF(AND(G58="مل",H58="لتر"),F58/1000,IF(AND(G58="لتر",H58="مل"),F58*1000,"خطأ وحدة"))))))</x:f>
        <x:v>1</x:v>
      </x:c>
      <x:c r="J58" s="85" t="n">
        <x:v>0</x:v>
      </x:c>
      <x:c r="K58" s="80" t="str">
        <x:v>نعم</x:v>
      </x:c>
      <x:c r="L58" s="91" t="str">
        <x:f>IFERROR(VLOOKUP(D58,'مراجع الوصفات'!$F$2:$I$253,4,FALSE),"")</x:f>
      </x:c>
      <x:c r="M58" s="91" t="str">
        <x:f>IF(OR(I58="",NOT(ISNUMBER(I58)),L58=""),"",I58*L58*(1+J58/100))</x:f>
      </x:c>
      <x:c r="N58" s="80" t="str"/>
      <x:c r="O58" s="93" t="str">
        <x:f>IF(AND(B58="",D58="",F58=""),"",IF(A58="تجاهل","تجاهل",IF(OR(B58="",D58="",F58="",G58="",H58=""),"ناقص",IF(NOT(ISNUMBER(I58)),"خطأ وحدة",IF(OR(J58&lt;0,J58&gt;100),"خطأ هدر","صالح")))))</x:f>
        <x:v>صالح</x:v>
      </x:c>
    </x:row>
    <x:row r="59">
      <x:c r="A59" s="79" t="str">
        <x:v>بحاجة مراجعة</x:v>
      </x:c>
      <x:c r="B59" s="80" t="str">
        <x:v>بيض وجبنة</x:v>
      </x:c>
      <x:c r="C59" s="87" t="str">
        <x:f>IFERROR(VLOOKUP(B59,'مراجع الوصفات'!$A$2:$D$79,2,FALSE),"")</x:f>
      </x:c>
      <x:c r="D59" s="80" t="str">
        <x:v>بيض</x:v>
      </x:c>
      <x:c r="E59" s="87" t="str">
        <x:f>IFERROR(VLOOKUP(D59,'مراجع الوصفات'!$F$2:$I$253,2,FALSE),"")</x:f>
        <x:v>ING-DAIRY-EGG</x:v>
      </x:c>
      <x:c r="F59" s="83" t="n">
        <x:v>2</x:v>
      </x:c>
      <x:c r="G59" s="80" t="str">
        <x:v>قطعة</x:v>
      </x:c>
      <x:c r="H59" s="87" t="str">
        <x:f>IFERROR(VLOOKUP(D59,'مراجع الوصفات'!$F$2:$I$253,3,FALSE),"")</x:f>
        <x:v>قطعة</x:v>
      </x:c>
      <x:c r="I59" s="89" t="n">
        <x:f>IF(OR(F59="",G59="",H59=""),"",IF(G59=H59,F59,IF(AND(G59="غ",H59="كغ"),F59/1000,IF(AND(G59="كغ",H59="غ"),F59*1000,IF(AND(G59="مل",H59="لتر"),F59/1000,IF(AND(G59="لتر",H59="مل"),F59*1000,"خطأ وحدة"))))))</x:f>
        <x:v>2</x:v>
      </x:c>
      <x:c r="J59" s="85" t="n">
        <x:v>0</x:v>
      </x:c>
      <x:c r="K59" s="80" t="str">
        <x:v>نعم</x:v>
      </x:c>
      <x:c r="L59" s="91" t="n">
        <x:f>IFERROR(VLOOKUP(D59,'مراجع الوصفات'!$F$2:$I$253,4,FALSE),"")</x:f>
        <x:v>1500</x:v>
      </x:c>
      <x:c r="M59" s="91" t="n">
        <x:f>IF(OR(I59="",NOT(ISNUMBER(I59)),L59=""),"",I59*L59*(1+J59/100))</x:f>
        <x:v>3000</x:v>
      </x:c>
      <x:c r="N59" s="80" t="str"/>
      <x:c r="O59" s="93" t="str">
        <x:f>IF(AND(B59="",D59="",F59=""),"",IF(A59="تجاهل","تجاهل",IF(OR(B59="",D59="",F59="",G59="",H59=""),"ناقص",IF(NOT(ISNUMBER(I59)),"خطأ وحدة",IF(OR(J59&lt;0,J59&gt;100),"خطأ هدر","صالح")))))</x:f>
        <x:v>صالح</x:v>
      </x:c>
    </x:row>
    <x:row r="60">
      <x:c r="A60" s="79" t="str">
        <x:v>بحاجة مراجعة</x:v>
      </x:c>
      <x:c r="B60" s="80" t="str">
        <x:v>بيض وجبنة</x:v>
      </x:c>
      <x:c r="C60" s="87" t="str">
        <x:f>IFERROR(VLOOKUP(B60,'مراجع الوصفات'!$A$2:$D$79,2,FALSE),"")</x:f>
      </x:c>
      <x:c r="D60" s="80" t="str">
        <x:v>جبنة بيضاء</x:v>
      </x:c>
      <x:c r="E60" s="87" t="str">
        <x:f>IFERROR(VLOOKUP(D60,'مراجع الوصفات'!$F$2:$I$253,2,FALSE),"")</x:f>
        <x:v>ING-CHEESE-WHITE</x:v>
      </x:c>
      <x:c r="F60" s="83" t="n">
        <x:v>50</x:v>
      </x:c>
      <x:c r="G60" s="80" t="str">
        <x:v>غ</x:v>
      </x:c>
      <x:c r="H60" s="87" t="str">
        <x:f>IFERROR(VLOOKUP(D60,'مراجع الوصفات'!$F$2:$I$253,3,FALSE),"")</x:f>
        <x:v>كغ</x:v>
      </x:c>
      <x:c r="I60" s="89" t="n">
        <x:f>IF(OR(F60="",G60="",H60=""),"",IF(G60=H60,F60,IF(AND(G60="غ",H60="كغ"),F60/1000,IF(AND(G60="كغ",H60="غ"),F60*1000,IF(AND(G60="مل",H60="لتر"),F60/1000,IF(AND(G60="لتر",H60="مل"),F60*1000,"خطأ وحدة"))))))</x:f>
        <x:v>0.05</x:v>
      </x:c>
      <x:c r="J60" s="85" t="n">
        <x:v>0</x:v>
      </x:c>
      <x:c r="K60" s="80" t="str">
        <x:v>نعم</x:v>
      </x:c>
      <x:c r="L60" s="91" t="str">
        <x:f>IFERROR(VLOOKUP(D60,'مراجع الوصفات'!$F$2:$I$253,4,FALSE),"")</x:f>
      </x:c>
      <x:c r="M60" s="91" t="str">
        <x:f>IF(OR(I60="",NOT(ISNUMBER(I60)),L60=""),"",I60*L60*(1+J60/100))</x:f>
      </x:c>
      <x:c r="N60" s="80" t="str"/>
      <x:c r="O60" s="93" t="str">
        <x:f>IF(AND(B60="",D60="",F60=""),"",IF(A60="تجاهل","تجاهل",IF(OR(B60="",D60="",F60="",G60="",H60=""),"ناقص",IF(NOT(ISNUMBER(I60)),"خطأ وحدة",IF(OR(J60&lt;0,J60&gt;100),"خطأ هدر","صالح")))))</x:f>
        <x:v>صالح</x:v>
      </x:c>
    </x:row>
    <x:row r="61">
      <x:c r="A61" s="79" t="str">
        <x:v>بحاجة مراجعة</x:v>
      </x:c>
      <x:c r="B61" s="80" t="str">
        <x:v>بيض وجبنة</x:v>
      </x:c>
      <x:c r="C61" s="87" t="str">
        <x:f>IFERROR(VLOOKUP(B61,'مراجع الوصفات'!$A$2:$D$79,2,FALSE),"")</x:f>
      </x:c>
      <x:c r="D61" s="80" t="str">
        <x:v>بندورة</x:v>
      </x:c>
      <x:c r="E61" s="87" t="str">
        <x:f>IFERROR(VLOOKUP(D61,'مراجع الوصفات'!$F$2:$I$253,2,FALSE),"")</x:f>
        <x:v>ING-VEG-TOMATO</x:v>
      </x:c>
      <x:c r="F61" s="83" t="n">
        <x:v>40</x:v>
      </x:c>
      <x:c r="G61" s="80" t="str">
        <x:v>غ</x:v>
      </x:c>
      <x:c r="H61" s="87" t="str">
        <x:f>IFERROR(VLOOKUP(D61,'مراجع الوصفات'!$F$2:$I$253,3,FALSE),"")</x:f>
        <x:v>كغ</x:v>
      </x:c>
      <x:c r="I61" s="89" t="n">
        <x:f>IF(OR(F61="",G61="",H61=""),"",IF(G61=H61,F61,IF(AND(G61="غ",H61="كغ"),F61/1000,IF(AND(G61="كغ",H61="غ"),F61*1000,IF(AND(G61="مل",H61="لتر"),F61/1000,IF(AND(G61="لتر",H61="مل"),F61*1000,"خطأ وحدة"))))))</x:f>
        <x:v>0.04</x:v>
      </x:c>
      <x:c r="J61" s="85" t="n">
        <x:v>0</x:v>
      </x:c>
      <x:c r="K61" s="80" t="str">
        <x:v>نعم</x:v>
      </x:c>
      <x:c r="L61" s="91" t="n">
        <x:f>IFERROR(VLOOKUP(D61,'مراجع الوصفات'!$F$2:$I$253,4,FALSE),"")</x:f>
        <x:v>9000</x:v>
      </x:c>
      <x:c r="M61" s="91" t="n">
        <x:f>IF(OR(I61="",NOT(ISNUMBER(I61)),L61=""),"",I61*L61*(1+J61/100))</x:f>
        <x:v>360</x:v>
      </x:c>
      <x:c r="N61" s="80" t="str"/>
      <x:c r="O61" s="93" t="str">
        <x:f>IF(AND(B61="",D61="",F61=""),"",IF(A61="تجاهل","تجاهل",IF(OR(B61="",D61="",F61="",G61="",H61=""),"ناقص",IF(NOT(ISNUMBER(I61)),"خطأ وحدة",IF(OR(J61&lt;0,J61&gt;100),"خطأ هدر","صالح")))))</x:f>
        <x:v>صالح</x:v>
      </x:c>
    </x:row>
    <x:row r="62">
      <x:c r="A62" s="79" t="str">
        <x:v>بحاجة مراجعة</x:v>
      </x:c>
      <x:c r="B62" s="80" t="str">
        <x:v>بيض وجبنة</x:v>
      </x:c>
      <x:c r="C62" s="87" t="str">
        <x:f>IFERROR(VLOOKUP(B62,'مراجع الوصفات'!$A$2:$D$79,2,FALSE),"")</x:f>
      </x:c>
      <x:c r="D62" s="80" t="str">
        <x:v>خيار / بعجور</x:v>
      </x:c>
      <x:c r="E62" s="87" t="str">
        <x:f>IFERROR(VLOOKUP(D62,'مراجع الوصفات'!$F$2:$I$253,2,FALSE),"")</x:f>
        <x:v>ING-VEG-CUCUMBER</x:v>
      </x:c>
      <x:c r="F62" s="83" t="n">
        <x:v>40</x:v>
      </x:c>
      <x:c r="G62" s="80" t="str">
        <x:v>غ</x:v>
      </x:c>
      <x:c r="H62" s="87" t="str">
        <x:f>IFERROR(VLOOKUP(D62,'مراجع الوصفات'!$F$2:$I$253,3,FALSE),"")</x:f>
        <x:v>كغ</x:v>
      </x:c>
      <x:c r="I62" s="89" t="n">
        <x:f>IF(OR(F62="",G62="",H62=""),"",IF(G62=H62,F62,IF(AND(G62="غ",H62="كغ"),F62/1000,IF(AND(G62="كغ",H62="غ"),F62*1000,IF(AND(G62="مل",H62="لتر"),F62/1000,IF(AND(G62="لتر",H62="مل"),F62*1000,"خطأ وحدة"))))))</x:f>
        <x:v>0.04</x:v>
      </x:c>
      <x:c r="J62" s="85" t="n">
        <x:v>0</x:v>
      </x:c>
      <x:c r="K62" s="80" t="str">
        <x:v>نعم</x:v>
      </x:c>
      <x:c r="L62" s="91" t="n">
        <x:f>IFERROR(VLOOKUP(D62,'مراجع الوصفات'!$F$2:$I$253,4,FALSE),"")</x:f>
        <x:v>5000</x:v>
      </x:c>
      <x:c r="M62" s="91" t="n">
        <x:f>IF(OR(I62="",NOT(ISNUMBER(I62)),L62=""),"",I62*L62*(1+J62/100))</x:f>
        <x:v>200</x:v>
      </x:c>
      <x:c r="N62" s="80" t="str"/>
      <x:c r="O62" s="93" t="str">
        <x:f>IF(AND(B62="",D62="",F62=""),"",IF(A62="تجاهل","تجاهل",IF(OR(B62="",D62="",F62="",G62="",H62=""),"ناقص",IF(NOT(ISNUMBER(I62)),"خطأ وحدة",IF(OR(J62&lt;0,J62&gt;100),"خطأ هدر","صالح")))))</x:f>
        <x:v>صالح</x:v>
      </x:c>
    </x:row>
    <x:row r="63">
      <x:c r="A63" s="79" t="str">
        <x:v>بحاجة مراجعة</x:v>
      </x:c>
      <x:c r="B63" s="80" t="str">
        <x:v>دجاج وثوم</x:v>
      </x:c>
      <x:c r="C63" s="87" t="str">
        <x:f>IFERROR(VLOOKUP(B63,'مراجع الوصفات'!$A$2:$D$79,2,FALSE),"")</x:f>
      </x:c>
      <x:c r="D63" s="80" t="str">
        <x:v>خبز سمون</x:v>
      </x:c>
      <x:c r="E63" s="87" t="str">
        <x:f>IFERROR(VLOOKUP(D63,'مراجع الوصفات'!$F$2:$I$253,2,FALSE),"")</x:f>
        <x:v>ING-BREAD-SAMOON</x:v>
      </x:c>
      <x:c r="F63" s="83" t="n">
        <x:v>1</x:v>
      </x:c>
      <x:c r="G63" s="80" t="str">
        <x:v>قطعة</x:v>
      </x:c>
      <x:c r="H63" s="87" t="str">
        <x:f>IFERROR(VLOOKUP(D63,'مراجع الوصفات'!$F$2:$I$253,3,FALSE),"")</x:f>
        <x:v>قطعة</x:v>
      </x:c>
      <x:c r="I63" s="89" t="n">
        <x:f>IF(OR(F63="",G63="",H63=""),"",IF(G63=H63,F63,IF(AND(G63="غ",H63="كغ"),F63/1000,IF(AND(G63="كغ",H63="غ"),F63*1000,IF(AND(G63="مل",H63="لتر"),F63/1000,IF(AND(G63="لتر",H63="مل"),F63*1000,"خطأ وحدة"))))))</x:f>
        <x:v>1</x:v>
      </x:c>
      <x:c r="J63" s="85" t="n">
        <x:v>0</x:v>
      </x:c>
      <x:c r="K63" s="80" t="str">
        <x:v>نعم</x:v>
      </x:c>
      <x:c r="L63" s="91" t="str">
        <x:f>IFERROR(VLOOKUP(D63,'مراجع الوصفات'!$F$2:$I$253,4,FALSE),"")</x:f>
      </x:c>
      <x:c r="M63" s="91" t="str">
        <x:f>IF(OR(I63="",NOT(ISNUMBER(I63)),L63=""),"",I63*L63*(1+J63/100))</x:f>
      </x:c>
      <x:c r="N63" s="80" t="str"/>
      <x:c r="O63" s="93" t="str">
        <x:f>IF(AND(B63="",D63="",F63=""),"",IF(A63="تجاهل","تجاهل",IF(OR(B63="",D63="",F63="",G63="",H63=""),"ناقص",IF(NOT(ISNUMBER(I63)),"خطأ وحدة",IF(OR(J63&lt;0,J63&gt;100),"خطأ هدر","صالح")))))</x:f>
        <x:v>صالح</x:v>
      </x:c>
    </x:row>
    <x:row r="64">
      <x:c r="A64" s="79" t="str">
        <x:v>بحاجة مراجعة</x:v>
      </x:c>
      <x:c r="B64" s="80" t="str">
        <x:v>دجاج وثوم</x:v>
      </x:c>
      <x:c r="C64" s="87" t="str">
        <x:f>IFERROR(VLOOKUP(B64,'مراجع الوصفات'!$A$2:$D$79,2,FALSE),"")</x:f>
      </x:c>
      <x:c r="D64" s="80" t="str">
        <x:v>صدر دجاج</x:v>
      </x:c>
      <x:c r="E64" s="87" t="str">
        <x:f>IFERROR(VLOOKUP(D64,'مراجع الوصفات'!$F$2:$I$253,2,FALSE),"")</x:f>
        <x:v>ING-MEAT-CHICKENBREAST</x:v>
      </x:c>
      <x:c r="F64" s="83" t="n">
        <x:v>120</x:v>
      </x:c>
      <x:c r="G64" s="80" t="str">
        <x:v>غ</x:v>
      </x:c>
      <x:c r="H64" s="87" t="str">
        <x:f>IFERROR(VLOOKUP(D64,'مراجع الوصفات'!$F$2:$I$253,3,FALSE),"")</x:f>
        <x:v>كغ</x:v>
      </x:c>
      <x:c r="I64" s="89" t="n">
        <x:f>IF(OR(F64="",G64="",H64=""),"",IF(G64=H64,F64,IF(AND(G64="غ",H64="كغ"),F64/1000,IF(AND(G64="كغ",H64="غ"),F64*1000,IF(AND(G64="مل",H64="لتر"),F64/1000,IF(AND(G64="لتر",H64="مل"),F64*1000,"خطأ وحدة"))))))</x:f>
        <x:v>0.12</x:v>
      </x:c>
      <x:c r="J64" s="85" t="n">
        <x:v>10</x:v>
      </x:c>
      <x:c r="K64" s="80" t="str">
        <x:v>نعم</x:v>
      </x:c>
      <x:c r="L64" s="91" t="n">
        <x:f>IFERROR(VLOOKUP(D64,'مراجع الوصفات'!$F$2:$I$253,4,FALSE),"")</x:f>
        <x:v>35000</x:v>
      </x:c>
      <x:c r="M64" s="91" t="n">
        <x:f>IF(OR(I64="",NOT(ISNUMBER(I64)),L64=""),"",I64*L64*(1+J64/100))</x:f>
        <x:v>4620</x:v>
      </x:c>
      <x:c r="N64" s="80" t="str">
        <x:v>الوزن الخام قبل الشوي؛ هدر تقديري 10%.</x:v>
      </x:c>
      <x:c r="O64" s="93" t="str">
        <x:f>IF(AND(B64="",D64="",F64=""),"",IF(A64="تجاهل","تجاهل",IF(OR(B64="",D64="",F64="",G64="",H64=""),"ناقص",IF(NOT(ISNUMBER(I64)),"خطأ وحدة",IF(OR(J64&lt;0,J64&gt;100),"خطأ هدر","صالح")))))</x:f>
        <x:v>صالح</x:v>
      </x:c>
    </x:row>
    <x:row r="65">
      <x:c r="A65" s="79" t="str">
        <x:v>بحاجة مراجعة</x:v>
      </x:c>
      <x:c r="B65" s="80" t="str">
        <x:v>دجاج وثوم</x:v>
      </x:c>
      <x:c r="C65" s="87" t="str">
        <x:f>IFERROR(VLOOKUP(B65,'مراجع الوصفات'!$A$2:$D$79,2,FALSE),"")</x:f>
      </x:c>
      <x:c r="D65" s="80" t="str">
        <x:v>لبنة</x:v>
      </x:c>
      <x:c r="E65" s="87" t="str">
        <x:f>IFERROR(VLOOKUP(D65,'مراجع الوصفات'!$F$2:$I$253,2,FALSE),"")</x:f>
        <x:v>ING-DAIRY-LABNEH</x:v>
      </x:c>
      <x:c r="F65" s="83" t="n">
        <x:v>50</x:v>
      </x:c>
      <x:c r="G65" s="80" t="str">
        <x:v>غ</x:v>
      </x:c>
      <x:c r="H65" s="87" t="str">
        <x:f>IFERROR(VLOOKUP(D65,'مراجع الوصفات'!$F$2:$I$253,3,FALSE),"")</x:f>
        <x:v>كغ</x:v>
      </x:c>
      <x:c r="I65" s="89" t="n">
        <x:f>IF(OR(F65="",G65="",H65=""),"",IF(G65=H65,F65,IF(AND(G65="غ",H65="كغ"),F65/1000,IF(AND(G65="كغ",H65="غ"),F65*1000,IF(AND(G65="مل",H65="لتر"),F65/1000,IF(AND(G65="لتر",H65="مل"),F65*1000,"خطأ وحدة"))))))</x:f>
        <x:v>0.05</x:v>
      </x:c>
      <x:c r="J65" s="85" t="n">
        <x:v>0</x:v>
      </x:c>
      <x:c r="K65" s="80" t="str">
        <x:v>نعم</x:v>
      </x:c>
      <x:c r="L65" s="91" t="str">
        <x:f>IFERROR(VLOOKUP(D65,'مراجع الوصفات'!$F$2:$I$253,4,FALSE),"")</x:f>
      </x:c>
      <x:c r="M65" s="91" t="str">
        <x:f>IF(OR(I65="",NOT(ISNUMBER(I65)),L65=""),"",I65*L65*(1+J65/100))</x:f>
      </x:c>
      <x:c r="N65" s="80" t="str">
        <x:v>قاعدة صوص الثوم المؤقتة؛ الأفضل إضافة مادة ثومية منفصلة.</x:v>
      </x:c>
      <x:c r="O65" s="93" t="str">
        <x:f>IF(AND(B65="",D65="",F65=""),"",IF(A65="تجاهل","تجاهل",IF(OR(B65="",D65="",F65="",G65="",H65=""),"ناقص",IF(NOT(ISNUMBER(I65)),"خطأ وحدة",IF(OR(J65&lt;0,J65&gt;100),"خطأ هدر","صالح")))))</x:f>
        <x:v>صالح</x:v>
      </x:c>
    </x:row>
    <x:row r="66">
      <x:c r="A66" s="79" t="str">
        <x:v>بحاجة مراجعة</x:v>
      </x:c>
      <x:c r="B66" s="80" t="str">
        <x:v>دجاج وثوم</x:v>
      </x:c>
      <x:c r="C66" s="87" t="str">
        <x:f>IFERROR(VLOOKUP(B66,'مراجع الوصفات'!$A$2:$D$79,2,FALSE),"")</x:f>
      </x:c>
      <x:c r="D66" s="80" t="str">
        <x:v>ثوم طازج</x:v>
      </x:c>
      <x:c r="E66" s="87" t="str">
        <x:f>IFERROR(VLOOKUP(D66,'مراجع الوصفات'!$F$2:$I$253,2,FALSE),"")</x:f>
        <x:v>ING-VEG-GARLIC</x:v>
      </x:c>
      <x:c r="F66" s="83" t="n">
        <x:v>5</x:v>
      </x:c>
      <x:c r="G66" s="80" t="str">
        <x:v>غ</x:v>
      </x:c>
      <x:c r="H66" s="87" t="str">
        <x:f>IFERROR(VLOOKUP(D66,'مراجع الوصفات'!$F$2:$I$253,3,FALSE),"")</x:f>
        <x:v>كغ</x:v>
      </x:c>
      <x:c r="I66" s="89" t="n">
        <x:f>IF(OR(F66="",G66="",H66=""),"",IF(G66=H66,F66,IF(AND(G66="غ",H66="كغ"),F66/1000,IF(AND(G66="كغ",H66="غ"),F66*1000,IF(AND(G66="مل",H66="لتر"),F66/1000,IF(AND(G66="لتر",H66="مل"),F66*1000,"خطأ وحدة"))))))</x:f>
        <x:v>0.005</x:v>
      </x:c>
      <x:c r="J66" s="85" t="n">
        <x:v>0</x:v>
      </x:c>
      <x:c r="K66" s="80" t="str">
        <x:v>نعم</x:v>
      </x:c>
      <x:c r="L66" s="91" t="n">
        <x:f>IFERROR(VLOOKUP(D66,'مراجع الوصفات'!$F$2:$I$253,4,FALSE),"")</x:f>
        <x:v>8000</x:v>
      </x:c>
      <x:c r="M66" s="91" t="n">
        <x:f>IF(OR(I66="",NOT(ISNUMBER(I66)),L66=""),"",I66*L66*(1+J66/100))</x:f>
        <x:v>40</x:v>
      </x:c>
      <x:c r="N66" s="80" t="str"/>
      <x:c r="O66" s="93" t="str">
        <x:f>IF(AND(B66="",D66="",F66=""),"",IF(A66="تجاهل","تجاهل",IF(OR(B66="",D66="",F66="",G66="",H66=""),"ناقص",IF(NOT(ISNUMBER(I66)),"خطأ وحدة",IF(OR(J66&lt;0,J66&gt;100),"خطأ هدر","صالح")))))</x:f>
        <x:v>صالح</x:v>
      </x:c>
    </x:row>
    <x:row r="67">
      <x:c r="A67" s="79" t="str">
        <x:v>بحاجة مراجعة</x:v>
      </x:c>
      <x:c r="B67" s="80" t="str">
        <x:v>دجاج وثوم</x:v>
      </x:c>
      <x:c r="C67" s="87" t="str">
        <x:f>IFERROR(VLOOKUP(B67,'مراجع الوصفات'!$A$2:$D$79,2,FALSE),"")</x:f>
      </x:c>
      <x:c r="D67" s="80" t="str">
        <x:v>مخلل مشكل</x:v>
      </x:c>
      <x:c r="E67" s="87" t="str">
        <x:f>IFERROR(VLOOKUP(D67,'مراجع الوصفات'!$F$2:$I$253,2,FALSE),"")</x:f>
        <x:v>ING-PICKLE-MIXED</x:v>
      </x:c>
      <x:c r="F67" s="83" t="n">
        <x:v>0.08</x:v>
      </x:c>
      <x:c r="G67" s="80" t="str">
        <x:v>عبوة</x:v>
      </x:c>
      <x:c r="H67" s="87" t="str">
        <x:f>IFERROR(VLOOKUP(D67,'مراجع الوصفات'!$F$2:$I$253,3,FALSE),"")</x:f>
        <x:v>عبوة</x:v>
      </x:c>
      <x:c r="I67" s="89" t="n">
        <x:f>IF(OR(F67="",G67="",H67=""),"",IF(G67=H67,F67,IF(AND(G67="غ",H67="كغ"),F67/1000,IF(AND(G67="كغ",H67="غ"),F67*1000,IF(AND(G67="مل",H67="لتر"),F67/1000,IF(AND(G67="لتر",H67="مل"),F67*1000,"خطأ وحدة"))))))</x:f>
        <x:v>0.08</x:v>
      </x:c>
      <x:c r="J67" s="85" t="n">
        <x:v>0</x:v>
      </x:c>
      <x:c r="K67" s="80" t="str">
        <x:v>نعم</x:v>
      </x:c>
      <x:c r="L67" s="91" t="n">
        <x:f>IFERROR(VLOOKUP(D67,'مراجع الوصفات'!$F$2:$I$253,4,FALSE),"")</x:f>
        <x:v>7000</x:v>
      </x:c>
      <x:c r="M67" s="91" t="n">
        <x:f>IF(OR(I67="",NOT(ISNUMBER(I67)),L67=""),"",I67*L67*(1+J67/100))</x:f>
        <x:v>560</x:v>
      </x:c>
      <x:c r="N67" s="80" t="str"/>
      <x:c r="O67" s="93" t="str">
        <x:f>IF(AND(B67="",D67="",F67=""),"",IF(A67="تجاهل","تجاهل",IF(OR(B67="",D67="",F67="",G67="",H67=""),"ناقص",IF(NOT(ISNUMBER(I67)),"خطأ وحدة",IF(OR(J67&lt;0,J67&gt;100),"خطأ هدر","صالح")))))</x:f>
        <x:v>صالح</x:v>
      </x:c>
    </x:row>
    <x:row r="68">
      <x:c r="A68" s="79" t="str">
        <x:v>بحاجة مراجعة</x:v>
      </x:c>
      <x:c r="B68" s="80" t="str">
        <x:v>دجاج وثوم</x:v>
      </x:c>
      <x:c r="C68" s="87" t="str">
        <x:f>IFERROR(VLOOKUP(B68,'مراجع الوصفات'!$A$2:$D$79,2,FALSE),"")</x:f>
      </x:c>
      <x:c r="D68" s="80" t="str">
        <x:v>خس</x:v>
      </x:c>
      <x:c r="E68" s="87" t="str">
        <x:f>IFERROR(VLOOKUP(D68,'مراجع الوصفات'!$F$2:$I$253,2,FALSE),"")</x:f>
        <x:v>ING-VEG-LETTUCE</x:v>
      </x:c>
      <x:c r="F68" s="83" t="n">
        <x:v>0.05</x:v>
      </x:c>
      <x:c r="G68" s="80" t="str">
        <x:v>عبوة</x:v>
      </x:c>
      <x:c r="H68" s="87" t="str">
        <x:f>IFERROR(VLOOKUP(D68,'مراجع الوصفات'!$F$2:$I$253,3,FALSE),"")</x:f>
        <x:v>عبوة</x:v>
      </x:c>
      <x:c r="I68" s="89" t="n">
        <x:f>IF(OR(F68="",G68="",H68=""),"",IF(G68=H68,F68,IF(AND(G68="غ",H68="كغ"),F68/1000,IF(AND(G68="كغ",H68="غ"),F68*1000,IF(AND(G68="مل",H68="لتر"),F68/1000,IF(AND(G68="لتر",H68="مل"),F68*1000,"خطأ وحدة"))))))</x:f>
        <x:v>0.05</x:v>
      </x:c>
      <x:c r="J68" s="85" t="n">
        <x:v>0</x:v>
      </x:c>
      <x:c r="K68" s="80" t="str">
        <x:v>نعم</x:v>
      </x:c>
      <x:c r="L68" s="91" t="n">
        <x:f>IFERROR(VLOOKUP(D68,'مراجع الوصفات'!$F$2:$I$253,4,FALSE),"")</x:f>
        <x:v>8000</x:v>
      </x:c>
      <x:c r="M68" s="91" t="n">
        <x:f>IF(OR(I68="",NOT(ISNUMBER(I68)),L68=""),"",I68*L68*(1+J68/100))</x:f>
        <x:v>400</x:v>
      </x:c>
      <x:c r="N68" s="80" t="str"/>
      <x:c r="O68" s="93" t="str">
        <x:f>IF(AND(B68="",D68="",F68=""),"",IF(A68="تجاهل","تجاهل",IF(OR(B68="",D68="",F68="",G68="",H68=""),"ناقص",IF(NOT(ISNUMBER(I68)),"خطأ وحدة",IF(OR(J68&lt;0,J68&gt;100),"خطأ هدر","صالح")))))</x:f>
        <x:v>صالح</x:v>
      </x:c>
    </x:row>
    <x:row r="69">
      <x:c r="A69" s="79" t="str">
        <x:v>بحاجة مراجعة</x:v>
      </x:c>
      <x:c r="B69" s="80" t="str">
        <x:v>دجاج حار</x:v>
      </x:c>
      <x:c r="C69" s="87" t="str">
        <x:f>IFERROR(VLOOKUP(B69,'مراجع الوصفات'!$A$2:$D$79,2,FALSE),"")</x:f>
      </x:c>
      <x:c r="D69" s="80" t="str">
        <x:v>خبز سمون</x:v>
      </x:c>
      <x:c r="E69" s="87" t="str">
        <x:f>IFERROR(VLOOKUP(D69,'مراجع الوصفات'!$F$2:$I$253,2,FALSE),"")</x:f>
        <x:v>ING-BREAD-SAMOON</x:v>
      </x:c>
      <x:c r="F69" s="83" t="n">
        <x:v>1</x:v>
      </x:c>
      <x:c r="G69" s="80" t="str">
        <x:v>قطعة</x:v>
      </x:c>
      <x:c r="H69" s="87" t="str">
        <x:f>IFERROR(VLOOKUP(D69,'مراجع الوصفات'!$F$2:$I$253,3,FALSE),"")</x:f>
        <x:v>قطعة</x:v>
      </x:c>
      <x:c r="I69" s="89" t="n">
        <x:f>IF(OR(F69="",G69="",H69=""),"",IF(G69=H69,F69,IF(AND(G69="غ",H69="كغ"),F69/1000,IF(AND(G69="كغ",H69="غ"),F69*1000,IF(AND(G69="مل",H69="لتر"),F69/1000,IF(AND(G69="لتر",H69="مل"),F69*1000,"خطأ وحدة"))))))</x:f>
        <x:v>1</x:v>
      </x:c>
      <x:c r="J69" s="85" t="n">
        <x:v>0</x:v>
      </x:c>
      <x:c r="K69" s="80" t="str">
        <x:v>نعم</x:v>
      </x:c>
      <x:c r="L69" s="91" t="str">
        <x:f>IFERROR(VLOOKUP(D69,'مراجع الوصفات'!$F$2:$I$253,4,FALSE),"")</x:f>
      </x:c>
      <x:c r="M69" s="91" t="str">
        <x:f>IF(OR(I69="",NOT(ISNUMBER(I69)),L69=""),"",I69*L69*(1+J69/100))</x:f>
      </x:c>
      <x:c r="N69" s="80" t="str"/>
      <x:c r="O69" s="93" t="str">
        <x:f>IF(AND(B69="",D69="",F69=""),"",IF(A69="تجاهل","تجاهل",IF(OR(B69="",D69="",F69="",G69="",H69=""),"ناقص",IF(NOT(ISNUMBER(I69)),"خطأ وحدة",IF(OR(J69&lt;0,J69&gt;100),"خطأ هدر","صالح")))))</x:f>
        <x:v>صالح</x:v>
      </x:c>
    </x:row>
    <x:row r="70">
      <x:c r="A70" s="79" t="str">
        <x:v>بحاجة مراجعة</x:v>
      </x:c>
      <x:c r="B70" s="80" t="str">
        <x:v>دجاج حار</x:v>
      </x:c>
      <x:c r="C70" s="87" t="str">
        <x:f>IFERROR(VLOOKUP(B70,'مراجع الوصفات'!$A$2:$D$79,2,FALSE),"")</x:f>
      </x:c>
      <x:c r="D70" s="80" t="str">
        <x:v>صدر دجاج</x:v>
      </x:c>
      <x:c r="E70" s="87" t="str">
        <x:f>IFERROR(VLOOKUP(D70,'مراجع الوصفات'!$F$2:$I$253,2,FALSE),"")</x:f>
        <x:v>ING-MEAT-CHICKENBREAST</x:v>
      </x:c>
      <x:c r="F70" s="83" t="n">
        <x:v>120</x:v>
      </x:c>
      <x:c r="G70" s="80" t="str">
        <x:v>غ</x:v>
      </x:c>
      <x:c r="H70" s="87" t="str">
        <x:f>IFERROR(VLOOKUP(D70,'مراجع الوصفات'!$F$2:$I$253,3,FALSE),"")</x:f>
        <x:v>كغ</x:v>
      </x:c>
      <x:c r="I70" s="89" t="n">
        <x:f>IF(OR(F70="",G70="",H70=""),"",IF(G70=H70,F70,IF(AND(G70="غ",H70="كغ"),F70/1000,IF(AND(G70="كغ",H70="غ"),F70*1000,IF(AND(G70="مل",H70="لتر"),F70/1000,IF(AND(G70="لتر",H70="مل"),F70*1000,"خطأ وحدة"))))))</x:f>
        <x:v>0.12</x:v>
      </x:c>
      <x:c r="J70" s="85" t="n">
        <x:v>10</x:v>
      </x:c>
      <x:c r="K70" s="80" t="str">
        <x:v>نعم</x:v>
      </x:c>
      <x:c r="L70" s="91" t="n">
        <x:f>IFERROR(VLOOKUP(D70,'مراجع الوصفات'!$F$2:$I$253,4,FALSE),"")</x:f>
        <x:v>35000</x:v>
      </x:c>
      <x:c r="M70" s="91" t="n">
        <x:f>IF(OR(I70="",NOT(ISNUMBER(I70)),L70=""),"",I70*L70*(1+J70/100))</x:f>
        <x:v>4620</x:v>
      </x:c>
      <x:c r="N70" s="80" t="str">
        <x:v>الوزن الخام قبل الشوي؛ هدر تقديري 10%.</x:v>
      </x:c>
      <x:c r="O70" s="93" t="str">
        <x:f>IF(AND(B70="",D70="",F70=""),"",IF(A70="تجاهل","تجاهل",IF(OR(B70="",D70="",F70="",G70="",H70=""),"ناقص",IF(NOT(ISNUMBER(I70)),"خطأ وحدة",IF(OR(J70&lt;0,J70&gt;100),"خطأ هدر","صالح")))))</x:f>
        <x:v>صالح</x:v>
      </x:c>
    </x:row>
    <x:row r="71">
      <x:c r="A71" s="79" t="str">
        <x:v>بحاجة مراجعة</x:v>
      </x:c>
      <x:c r="B71" s="80" t="str">
        <x:v>دجاج حار</x:v>
      </x:c>
      <x:c r="C71" s="87" t="str">
        <x:f>IFERROR(VLOOKUP(B71,'مراجع الوصفات'!$A$2:$D$79,2,FALSE),"")</x:f>
      </x:c>
      <x:c r="D71" s="80" t="str">
        <x:v>شطة / معجون فلفل حار</x:v>
      </x:c>
      <x:c r="E71" s="87" t="str">
        <x:f>IFERROR(VLOOKUP(D71,'مراجع الوصفات'!$F$2:$I$253,2,FALSE),"")</x:f>
        <x:v>ING-SAUCE-CHILIPASTE</x:v>
      </x:c>
      <x:c r="F71" s="83" t="n">
        <x:v>15</x:v>
      </x:c>
      <x:c r="G71" s="80" t="str">
        <x:v>غ</x:v>
      </x:c>
      <x:c r="H71" s="87" t="str">
        <x:f>IFERROR(VLOOKUP(D71,'مراجع الوصفات'!$F$2:$I$253,3,FALSE),"")</x:f>
        <x:v>كغ</x:v>
      </x:c>
      <x:c r="I71" s="89" t="n">
        <x:f>IF(OR(F71="",G71="",H71=""),"",IF(G71=H71,F71,IF(AND(G71="غ",H71="كغ"),F71/1000,IF(AND(G71="كغ",H71="غ"),F71*1000,IF(AND(G71="مل",H71="لتر"),F71/1000,IF(AND(G71="لتر",H71="مل"),F71*1000,"خطأ وحدة"))))))</x:f>
        <x:v>0.015</x:v>
      </x:c>
      <x:c r="J71" s="85" t="n">
        <x:v>0</x:v>
      </x:c>
      <x:c r="K71" s="80" t="str">
        <x:v>نعم</x:v>
      </x:c>
      <x:c r="L71" s="91" t="n">
        <x:f>IFERROR(VLOOKUP(D71,'مراجع الوصفات'!$F$2:$I$253,4,FALSE),"")</x:f>
        <x:v>32000</x:v>
      </x:c>
      <x:c r="M71" s="91" t="n">
        <x:f>IF(OR(I71="",NOT(ISNUMBER(I71)),L71=""),"",I71*L71*(1+J71/100))</x:f>
        <x:v>480</x:v>
      </x:c>
      <x:c r="N71" s="80" t="str"/>
      <x:c r="O71" s="93" t="str">
        <x:f>IF(AND(B71="",D71="",F71=""),"",IF(A71="تجاهل","تجاهل",IF(OR(B71="",D71="",F71="",G71="",H71=""),"ناقص",IF(NOT(ISNUMBER(I71)),"خطأ وحدة",IF(OR(J71&lt;0,J71&gt;100),"خطأ هدر","صالح")))))</x:f>
        <x:v>صالح</x:v>
      </x:c>
    </x:row>
    <x:row r="72">
      <x:c r="A72" s="79" t="str">
        <x:v>بحاجة مراجعة</x:v>
      </x:c>
      <x:c r="B72" s="80" t="str">
        <x:v>دجاج حار</x:v>
      </x:c>
      <x:c r="C72" s="87" t="str">
        <x:f>IFERROR(VLOOKUP(B72,'مراجع الوصفات'!$A$2:$D$79,2,FALSE),"")</x:f>
      </x:c>
      <x:c r="D72" s="80" t="str">
        <x:v>مايونيز</x:v>
      </x:c>
      <x:c r="E72" s="87" t="str">
        <x:f>IFERROR(VLOOKUP(D72,'مراجع الوصفات'!$F$2:$I$253,2,FALSE),"")</x:f>
        <x:v>ING-SAUCE-MAYO</x:v>
      </x:c>
      <x:c r="F72" s="83" t="n">
        <x:v>0.08</x:v>
      </x:c>
      <x:c r="G72" s="80" t="str">
        <x:v>عبوة</x:v>
      </x:c>
      <x:c r="H72" s="87" t="str">
        <x:f>IFERROR(VLOOKUP(D72,'مراجع الوصفات'!$F$2:$I$253,3,FALSE),"")</x:f>
        <x:v>عبوة</x:v>
      </x:c>
      <x:c r="I72" s="89" t="n">
        <x:f>IF(OR(F72="",G72="",H72=""),"",IF(G72=H72,F72,IF(AND(G72="غ",H72="كغ"),F72/1000,IF(AND(G72="كغ",H72="غ"),F72*1000,IF(AND(G72="مل",H72="لتر"),F72/1000,IF(AND(G72="لتر",H72="مل"),F72*1000,"خطأ وحدة"))))))</x:f>
        <x:v>0.08</x:v>
      </x:c>
      <x:c r="J72" s="85" t="n">
        <x:v>0</x:v>
      </x:c>
      <x:c r="K72" s="80" t="str">
        <x:v>نعم</x:v>
      </x:c>
      <x:c r="L72" s="91" t="n">
        <x:f>IFERROR(VLOOKUP(D72,'مراجع الوصفات'!$F$2:$I$253,4,FALSE),"")</x:f>
        <x:v>23000</x:v>
      </x:c>
      <x:c r="M72" s="91" t="n">
        <x:f>IF(OR(I72="",NOT(ISNUMBER(I72)),L72=""),"",I72*L72*(1+J72/100))</x:f>
        <x:v>1840</x:v>
      </x:c>
      <x:c r="N72" s="80" t="str">
        <x:v>تقدير حصة المايونيز من العبوة؛ الأفضل تحويل المايونيز إلى كغ أو مل.</x:v>
      </x:c>
      <x:c r="O72" s="93" t="str">
        <x:f>IF(AND(B72="",D72="",F72=""),"",IF(A72="تجاهل","تجاهل",IF(OR(B72="",D72="",F72="",G72="",H72=""),"ناقص",IF(NOT(ISNUMBER(I72)),"خطأ وحدة",IF(OR(J72&lt;0,J72&gt;100),"خطأ هدر","صالح")))))</x:f>
        <x:v>صالح</x:v>
      </x:c>
    </x:row>
    <x:row r="73">
      <x:c r="A73" s="79" t="str">
        <x:v>بحاجة مراجعة</x:v>
      </x:c>
      <x:c r="B73" s="80" t="str">
        <x:v>دجاج حار</x:v>
      </x:c>
      <x:c r="C73" s="87" t="str">
        <x:f>IFERROR(VLOOKUP(B73,'مراجع الوصفات'!$A$2:$D$79,2,FALSE),"")</x:f>
      </x:c>
      <x:c r="D73" s="80" t="str">
        <x:v>مخلل مشكل</x:v>
      </x:c>
      <x:c r="E73" s="87" t="str">
        <x:f>IFERROR(VLOOKUP(D73,'مراجع الوصفات'!$F$2:$I$253,2,FALSE),"")</x:f>
        <x:v>ING-PICKLE-MIXED</x:v>
      </x:c>
      <x:c r="F73" s="83" t="n">
        <x:v>0.08</x:v>
      </x:c>
      <x:c r="G73" s="80" t="str">
        <x:v>عبوة</x:v>
      </x:c>
      <x:c r="H73" s="87" t="str">
        <x:f>IFERROR(VLOOKUP(D73,'مراجع الوصفات'!$F$2:$I$253,3,FALSE),"")</x:f>
        <x:v>عبوة</x:v>
      </x:c>
      <x:c r="I73" s="89" t="n">
        <x:f>IF(OR(F73="",G73="",H73=""),"",IF(G73=H73,F73,IF(AND(G73="غ",H73="كغ"),F73/1000,IF(AND(G73="كغ",H73="غ"),F73*1000,IF(AND(G73="مل",H73="لتر"),F73/1000,IF(AND(G73="لتر",H73="مل"),F73*1000,"خطأ وحدة"))))))</x:f>
        <x:v>0.08</x:v>
      </x:c>
      <x:c r="J73" s="85" t="n">
        <x:v>0</x:v>
      </x:c>
      <x:c r="K73" s="80" t="str">
        <x:v>نعم</x:v>
      </x:c>
      <x:c r="L73" s="91" t="n">
        <x:f>IFERROR(VLOOKUP(D73,'مراجع الوصفات'!$F$2:$I$253,4,FALSE),"")</x:f>
        <x:v>7000</x:v>
      </x:c>
      <x:c r="M73" s="91" t="n">
        <x:f>IF(OR(I73="",NOT(ISNUMBER(I73)),L73=""),"",I73*L73*(1+J73/100))</x:f>
        <x:v>560</x:v>
      </x:c>
      <x:c r="N73" s="80" t="str"/>
      <x:c r="O73" s="93" t="str">
        <x:f>IF(AND(B73="",D73="",F73=""),"",IF(A73="تجاهل","تجاهل",IF(OR(B73="",D73="",F73="",G73="",H73=""),"ناقص",IF(NOT(ISNUMBER(I73)),"خطأ وحدة",IF(OR(J73&lt;0,J73&gt;100),"خطأ هدر","صالح")))))</x:f>
        <x:v>صالح</x:v>
      </x:c>
    </x:row>
    <x:row r="74">
      <x:c r="A74" s="79" t="str">
        <x:v>بحاجة مراجعة</x:v>
      </x:c>
      <x:c r="B74" s="80" t="str">
        <x:v>دجاج حار</x:v>
      </x:c>
      <x:c r="C74" s="87" t="str">
        <x:f>IFERROR(VLOOKUP(B74,'مراجع الوصفات'!$A$2:$D$79,2,FALSE),"")</x:f>
      </x:c>
      <x:c r="D74" s="80" t="str">
        <x:v>خس</x:v>
      </x:c>
      <x:c r="E74" s="87" t="str">
        <x:f>IFERROR(VLOOKUP(D74,'مراجع الوصفات'!$F$2:$I$253,2,FALSE),"")</x:f>
        <x:v>ING-VEG-LETTUCE</x:v>
      </x:c>
      <x:c r="F74" s="83" t="n">
        <x:v>0.05</x:v>
      </x:c>
      <x:c r="G74" s="80" t="str">
        <x:v>عبوة</x:v>
      </x:c>
      <x:c r="H74" s="87" t="str">
        <x:f>IFERROR(VLOOKUP(D74,'مراجع الوصفات'!$F$2:$I$253,3,FALSE),"")</x:f>
        <x:v>عبوة</x:v>
      </x:c>
      <x:c r="I74" s="89" t="n">
        <x:f>IF(OR(F74="",G74="",H74=""),"",IF(G74=H74,F74,IF(AND(G74="غ",H74="كغ"),F74/1000,IF(AND(G74="كغ",H74="غ"),F74*1000,IF(AND(G74="مل",H74="لتر"),F74/1000,IF(AND(G74="لتر",H74="مل"),F74*1000,"خطأ وحدة"))))))</x:f>
        <x:v>0.05</x:v>
      </x:c>
      <x:c r="J74" s="85" t="n">
        <x:v>0</x:v>
      </x:c>
      <x:c r="K74" s="80" t="str">
        <x:v>نعم</x:v>
      </x:c>
      <x:c r="L74" s="91" t="n">
        <x:f>IFERROR(VLOOKUP(D74,'مراجع الوصفات'!$F$2:$I$253,4,FALSE),"")</x:f>
        <x:v>8000</x:v>
      </x:c>
      <x:c r="M74" s="91" t="n">
        <x:f>IF(OR(I74="",NOT(ISNUMBER(I74)),L74=""),"",I74*L74*(1+J74/100))</x:f>
        <x:v>400</x:v>
      </x:c>
      <x:c r="N74" s="80" t="str"/>
      <x:c r="O74" s="93" t="str">
        <x:f>IF(AND(B74="",D74="",F74=""),"",IF(A74="تجاهل","تجاهل",IF(OR(B74="",D74="",F74="",G74="",H74=""),"ناقص",IF(NOT(ISNUMBER(I74)),"خطأ وحدة",IF(OR(J74&lt;0,J74&gt;100),"خطأ هدر","صالح")))))</x:f>
        <x:v>صالح</x:v>
      </x:c>
    </x:row>
    <x:row r="75">
      <x:c r="A75" s="79" t="str">
        <x:v>بحاجة مراجعة</x:v>
      </x:c>
      <x:c r="B75" s="80" t="str">
        <x:v>زبدة ومربى</x:v>
      </x:c>
      <x:c r="C75" s="87" t="str">
        <x:f>IFERROR(VLOOKUP(B75,'مراجع الوصفات'!$A$2:$D$79,2,FALSE),"")</x:f>
      </x:c>
      <x:c r="D75" s="80" t="str">
        <x:v>خبز سمون</x:v>
      </x:c>
      <x:c r="E75" s="87" t="str">
        <x:f>IFERROR(VLOOKUP(D75,'مراجع الوصفات'!$F$2:$I$253,2,FALSE),"")</x:f>
        <x:v>ING-BREAD-SAMOON</x:v>
      </x:c>
      <x:c r="F75" s="83" t="n">
        <x:v>1</x:v>
      </x:c>
      <x:c r="G75" s="80" t="str">
        <x:v>قطعة</x:v>
      </x:c>
      <x:c r="H75" s="87" t="str">
        <x:f>IFERROR(VLOOKUP(D75,'مراجع الوصفات'!$F$2:$I$253,3,FALSE),"")</x:f>
        <x:v>قطعة</x:v>
      </x:c>
      <x:c r="I75" s="89" t="n">
        <x:f>IF(OR(F75="",G75="",H75=""),"",IF(G75=H75,F75,IF(AND(G75="غ",H75="كغ"),F75/1000,IF(AND(G75="كغ",H75="غ"),F75*1000,IF(AND(G75="مل",H75="لتر"),F75/1000,IF(AND(G75="لتر",H75="مل"),F75*1000,"خطأ وحدة"))))))</x:f>
        <x:v>1</x:v>
      </x:c>
      <x:c r="J75" s="85" t="n">
        <x:v>0</x:v>
      </x:c>
      <x:c r="K75" s="80" t="str">
        <x:v>نعم</x:v>
      </x:c>
      <x:c r="L75" s="91" t="str">
        <x:f>IFERROR(VLOOKUP(D75,'مراجع الوصفات'!$F$2:$I$253,4,FALSE),"")</x:f>
      </x:c>
      <x:c r="M75" s="91" t="str">
        <x:f>IF(OR(I75="",NOT(ISNUMBER(I75)),L75=""),"",I75*L75*(1+J75/100))</x:f>
      </x:c>
      <x:c r="N75" s="80" t="str"/>
      <x:c r="O75" s="93" t="str">
        <x:f>IF(AND(B75="",D75="",F75=""),"",IF(A75="تجاهل","تجاهل",IF(OR(B75="",D75="",F75="",G75="",H75=""),"ناقص",IF(NOT(ISNUMBER(I75)),"خطأ وحدة",IF(OR(J75&lt;0,J75&gt;100),"خطأ هدر","صالح")))))</x:f>
        <x:v>صالح</x:v>
      </x:c>
    </x:row>
    <x:row r="76">
      <x:c r="A76" s="79" t="str">
        <x:v>بحاجة مراجعة</x:v>
      </x:c>
      <x:c r="B76" s="80" t="str">
        <x:v>زبدة ومربى</x:v>
      </x:c>
      <x:c r="C76" s="87" t="str">
        <x:f>IFERROR(VLOOKUP(B76,'مراجع الوصفات'!$A$2:$D$79,2,FALSE),"")</x:f>
      </x:c>
      <x:c r="D76" s="80" t="str">
        <x:v>زبدة</x:v>
      </x:c>
      <x:c r="E76" s="87" t="str">
        <x:f>IFERROR(VLOOKUP(D76,'مراجع الوصفات'!$F$2:$I$253,2,FALSE),"")</x:f>
        <x:v>ING-DAIRY-BUTTER</x:v>
      </x:c>
      <x:c r="F76" s="83" t="n">
        <x:v>30</x:v>
      </x:c>
      <x:c r="G76" s="80" t="str">
        <x:v>غ</x:v>
      </x:c>
      <x:c r="H76" s="87" t="str">
        <x:f>IFERROR(VLOOKUP(D76,'مراجع الوصفات'!$F$2:$I$253,3,FALSE),"")</x:f>
        <x:v>كغ</x:v>
      </x:c>
      <x:c r="I76" s="89" t="n">
        <x:f>IF(OR(F76="",G76="",H76=""),"",IF(G76=H76,F76,IF(AND(G76="غ",H76="كغ"),F76/1000,IF(AND(G76="كغ",H76="غ"),F76*1000,IF(AND(G76="مل",H76="لتر"),F76/1000,IF(AND(G76="لتر",H76="مل"),F76*1000,"خطأ وحدة"))))))</x:f>
        <x:v>0.03</x:v>
      </x:c>
      <x:c r="J76" s="85" t="n">
        <x:v>0</x:v>
      </x:c>
      <x:c r="K76" s="80" t="str">
        <x:v>نعم</x:v>
      </x:c>
      <x:c r="L76" s="91" t="str">
        <x:f>IFERROR(VLOOKUP(D76,'مراجع الوصفات'!$F$2:$I$253,4,FALSE),"")</x:f>
      </x:c>
      <x:c r="M76" s="91" t="str">
        <x:f>IF(OR(I76="",NOT(ISNUMBER(I76)),L76=""),"",I76*L76*(1+J76/100))</x:f>
      </x:c>
      <x:c r="N76" s="80" t="str"/>
      <x:c r="O76" s="93" t="str">
        <x:f>IF(AND(B76="",D76="",F76=""),"",IF(A76="تجاهل","تجاهل",IF(OR(B76="",D76="",F76="",G76="",H76=""),"ناقص",IF(NOT(ISNUMBER(I76)),"خطأ وحدة",IF(OR(J76&lt;0,J76&gt;100),"خطأ هدر","صالح")))))</x:f>
        <x:v>صالح</x:v>
      </x:c>
    </x:row>
    <x:row r="77">
      <x:c r="A77" s="79" t="str">
        <x:v>بحاجة مراجعة</x:v>
      </x:c>
      <x:c r="B77" s="80" t="str">
        <x:v>زبدة ومربى</x:v>
      </x:c>
      <x:c r="C77" s="87" t="str">
        <x:f>IFERROR(VLOOKUP(B77,'مراجع الوصفات'!$A$2:$D$79,2,FALSE),"")</x:f>
      </x:c>
      <x:c r="D77" s="80" t="str">
        <x:v>مربى</x:v>
      </x:c>
      <x:c r="E77" s="87" t="str">
        <x:f>IFERROR(VLOOKUP(D77,'مراجع الوصفات'!$F$2:$I$253,2,FALSE),"")</x:f>
        <x:v>ING-SWEET-JAM</x:v>
      </x:c>
      <x:c r="F77" s="83" t="n">
        <x:v>40</x:v>
      </x:c>
      <x:c r="G77" s="80" t="str">
        <x:v>غ</x:v>
      </x:c>
      <x:c r="H77" s="87" t="str">
        <x:f>IFERROR(VLOOKUP(D77,'مراجع الوصفات'!$F$2:$I$253,3,FALSE),"")</x:f>
        <x:v>كغ</x:v>
      </x:c>
      <x:c r="I77" s="89" t="n">
        <x:f>IF(OR(F77="",G77="",H77=""),"",IF(G77=H77,F77,IF(AND(G77="غ",H77="كغ"),F77/1000,IF(AND(G77="كغ",H77="غ"),F77*1000,IF(AND(G77="مل",H77="لتر"),F77/1000,IF(AND(G77="لتر",H77="مل"),F77*1000,"خطأ وحدة"))))))</x:f>
        <x:v>0.04</x:v>
      </x:c>
      <x:c r="J77" s="85" t="n">
        <x:v>0</x:v>
      </x:c>
      <x:c r="K77" s="80" t="str">
        <x:v>نعم</x:v>
      </x:c>
      <x:c r="L77" s="91" t="str">
        <x:f>IFERROR(VLOOKUP(D77,'مراجع الوصفات'!$F$2:$I$253,4,FALSE),"")</x:f>
      </x:c>
      <x:c r="M77" s="91" t="str">
        <x:f>IF(OR(I77="",NOT(ISNUMBER(I77)),L77=""),"",I77*L77*(1+J77/100))</x:f>
      </x:c>
      <x:c r="N77" s="80" t="str"/>
      <x:c r="O77" s="93" t="str">
        <x:f>IF(AND(B77="",D77="",F77=""),"",IF(A77="تجاهل","تجاهل",IF(OR(B77="",D77="",F77="",G77="",H77=""),"ناقص",IF(NOT(ISNUMBER(I77)),"خطأ وحدة",IF(OR(J77&lt;0,J77&gt;100),"خطأ هدر","صالح")))))</x:f>
        <x:v>صالح</x:v>
      </x:c>
    </x:row>
    <x:row r="78">
      <x:c r="A78" s="79" t="str">
        <x:v>بحاجة مراجعة</x:v>
      </x:c>
      <x:c r="B78" s="80" t="str">
        <x:v>قهوة تركية</x:v>
      </x:c>
      <x:c r="C78" s="87" t="str">
        <x:f>IFERROR(VLOOKUP(B78,'مراجع الوصفات'!$A$2:$D$79,2,FALSE),"")</x:f>
      </x:c>
      <x:c r="D78" s="80" t="str">
        <x:v>بن تركي</x:v>
      </x:c>
      <x:c r="E78" s="87" t="str">
        <x:f>IFERROR(VLOOKUP(D78,'مراجع الوصفات'!$F$2:$I$253,2,FALSE),"")</x:f>
        <x:v>DRK-COF-TURKISH</x:v>
      </x:c>
      <x:c r="F78" s="83" t="n">
        <x:v>7</x:v>
      </x:c>
      <x:c r="G78" s="80" t="str">
        <x:v>غ</x:v>
      </x:c>
      <x:c r="H78" s="87" t="str">
        <x:f>IFERROR(VLOOKUP(D78,'مراجع الوصفات'!$F$2:$I$253,3,FALSE),"")</x:f>
        <x:v>كغ</x:v>
      </x:c>
      <x:c r="I78" s="89" t="n">
        <x:f>IF(OR(F78="",G78="",H78=""),"",IF(G78=H78,F78,IF(AND(G78="غ",H78="كغ"),F78/1000,IF(AND(G78="كغ",H78="غ"),F78*1000,IF(AND(G78="مل",H78="لتر"),F78/1000,IF(AND(G78="لتر",H78="مل"),F78*1000,"خطأ وحدة"))))))</x:f>
        <x:v>0.007</x:v>
      </x:c>
      <x:c r="J78" s="85" t="n">
        <x:v>0</x:v>
      </x:c>
      <x:c r="K78" s="80" t="str">
        <x:v>نعم</x:v>
      </x:c>
      <x:c r="L78" s="91" t="str">
        <x:f>IFERROR(VLOOKUP(D78,'مراجع الوصفات'!$F$2:$I$253,4,FALSE),"")</x:f>
      </x:c>
      <x:c r="M78" s="91" t="str">
        <x:f>IF(OR(I78="",NOT(ISNUMBER(I78)),L78=""),"",I78*L78*(1+J78/100))</x:f>
      </x:c>
      <x:c r="N78" s="80" t="str">
        <x:v>جرعة تقديرية 7غ.</x:v>
      </x:c>
      <x:c r="O78" s="93" t="str">
        <x:f>IF(AND(B78="",D78="",F78=""),"",IF(A78="تجاهل","تجاهل",IF(OR(B78="",D78="",F78="",G78="",H78=""),"ناقص",IF(NOT(ISNUMBER(I78)),"خطأ وحدة",IF(OR(J78&lt;0,J78&gt;100),"خطأ هدر","صالح")))))</x:f>
        <x:v>صالح</x:v>
      </x:c>
    </x:row>
    <x:row r="79">
      <x:c r="A79" s="79" t="str">
        <x:v>بحاجة مراجعة</x:v>
      </x:c>
      <x:c r="B79" s="80" t="str">
        <x:v>إسبريسو</x:v>
      </x:c>
      <x:c r="C79" s="87" t="str">
        <x:f>IFERROR(VLOOKUP(B79,'مراجع الوصفات'!$A$2:$D$79,2,FALSE),"")</x:f>
      </x:c>
      <x:c r="D79" s="80" t="str">
        <x:v>بن إسبريسو</x:v>
      </x:c>
      <x:c r="E79" s="87" t="str">
        <x:f>IFERROR(VLOOKUP(D79,'مراجع الوصفات'!$F$2:$I$253,2,FALSE),"")</x:f>
        <x:v>DRK-COF-ESPRESSO</x:v>
      </x:c>
      <x:c r="F79" s="83" t="n">
        <x:v>18</x:v>
      </x:c>
      <x:c r="G79" s="80" t="str">
        <x:v>غ</x:v>
      </x:c>
      <x:c r="H79" s="87" t="str">
        <x:f>IFERROR(VLOOKUP(D79,'مراجع الوصفات'!$F$2:$I$253,3,FALSE),"")</x:f>
        <x:v>كغ</x:v>
      </x:c>
      <x:c r="I79" s="89" t="n">
        <x:f>IF(OR(F79="",G79="",H79=""),"",IF(G79=H79,F79,IF(AND(G79="غ",H79="كغ"),F79/1000,IF(AND(G79="كغ",H79="غ"),F79*1000,IF(AND(G79="مل",H79="لتر"),F79/1000,IF(AND(G79="لتر",H79="مل"),F79*1000,"خطأ وحدة"))))))</x:f>
        <x:v>0.018</x:v>
      </x:c>
      <x:c r="J79" s="85" t="n">
        <x:v>0</x:v>
      </x:c>
      <x:c r="K79" s="80" t="str">
        <x:v>نعم</x:v>
      </x:c>
      <x:c r="L79" s="91" t="str">
        <x:f>IFERROR(VLOOKUP(D79,'مراجع الوصفات'!$F$2:$I$253,4,FALSE),"")</x:f>
      </x:c>
      <x:c r="M79" s="91" t="str">
        <x:f>IF(OR(I79="",NOT(ISNUMBER(I79)),L79=""),"",I79*L79*(1+J79/100))</x:f>
      </x:c>
      <x:c r="N79" s="80" t="str">
        <x:v>جرعة مزدوجة تقديرية 18غ.</x:v>
      </x:c>
      <x:c r="O79" s="93" t="str">
        <x:f>IF(AND(B79="",D79="",F79=""),"",IF(A79="تجاهل","تجاهل",IF(OR(B79="",D79="",F79="",G79="",H79=""),"ناقص",IF(NOT(ISNUMBER(I79)),"خطأ وحدة",IF(OR(J79&lt;0,J79&gt;100),"خطأ هدر","صالح")))))</x:f>
        <x:v>صالح</x:v>
      </x:c>
    </x:row>
    <x:row r="80">
      <x:c r="A80" s="79" t="str">
        <x:v>بحاجة مراجعة</x:v>
      </x:c>
      <x:c r="B80" s="80" t="str">
        <x:v>كابتشينو</x:v>
      </x:c>
      <x:c r="C80" s="87" t="str">
        <x:f>IFERROR(VLOOKUP(B80,'مراجع الوصفات'!$A$2:$D$79,2,FALSE),"")</x:f>
      </x:c>
      <x:c r="D80" s="80" t="str">
        <x:v>بن إسبريسو</x:v>
      </x:c>
      <x:c r="E80" s="87" t="str">
        <x:f>IFERROR(VLOOKUP(D80,'مراجع الوصفات'!$F$2:$I$253,2,FALSE),"")</x:f>
        <x:v>DRK-COF-ESPRESSO</x:v>
      </x:c>
      <x:c r="F80" s="83" t="n">
        <x:v>18</x:v>
      </x:c>
      <x:c r="G80" s="80" t="str">
        <x:v>غ</x:v>
      </x:c>
      <x:c r="H80" s="87" t="str">
        <x:f>IFERROR(VLOOKUP(D80,'مراجع الوصفات'!$F$2:$I$253,3,FALSE),"")</x:f>
        <x:v>كغ</x:v>
      </x:c>
      <x:c r="I80" s="89" t="n">
        <x:f>IF(OR(F80="",G80="",H80=""),"",IF(G80=H80,F80,IF(AND(G80="غ",H80="كغ"),F80/1000,IF(AND(G80="كغ",H80="غ"),F80*1000,IF(AND(G80="مل",H80="لتر"),F80/1000,IF(AND(G80="لتر",H80="مل"),F80*1000,"خطأ وحدة"))))))</x:f>
        <x:v>0.018</x:v>
      </x:c>
      <x:c r="J80" s="85" t="n">
        <x:v>0</x:v>
      </x:c>
      <x:c r="K80" s="80" t="str">
        <x:v>نعم</x:v>
      </x:c>
      <x:c r="L80" s="91" t="str">
        <x:f>IFERROR(VLOOKUP(D80,'مراجع الوصفات'!$F$2:$I$253,4,FALSE),"")</x:f>
      </x:c>
      <x:c r="M80" s="91" t="str">
        <x:f>IF(OR(I80="",NOT(ISNUMBER(I80)),L80=""),"",I80*L80*(1+J80/100))</x:f>
      </x:c>
      <x:c r="N80" s="80" t="str"/>
      <x:c r="O80" s="93" t="str">
        <x:f>IF(AND(B80="",D80="",F80=""),"",IF(A80="تجاهل","تجاهل",IF(OR(B80="",D80="",F80="",G80="",H80=""),"ناقص",IF(NOT(ISNUMBER(I80)),"خطأ وحدة",IF(OR(J80&lt;0,J80&gt;100),"خطأ هدر","صالح")))))</x:f>
        <x:v>صالح</x:v>
      </x:c>
    </x:row>
    <x:row r="81">
      <x:c r="A81" s="79" t="str">
        <x:v>بحاجة مراجعة</x:v>
      </x:c>
      <x:c r="B81" s="80" t="str">
        <x:v>كابتشينو</x:v>
      </x:c>
      <x:c r="C81" s="87" t="str">
        <x:f>IFERROR(VLOOKUP(B81,'مراجع الوصفات'!$A$2:$D$79,2,FALSE),"")</x:f>
      </x:c>
      <x:c r="D81" s="80" t="str">
        <x:v>حليب</x:v>
      </x:c>
      <x:c r="E81" s="87" t="str">
        <x:f>IFERROR(VLOOKUP(D81,'مراجع الوصفات'!$F$2:$I$253,2,FALSE),"")</x:f>
        <x:v>ING-DAIRY-MILK</x:v>
      </x:c>
      <x:c r="F81" s="83" t="n">
        <x:v>150</x:v>
      </x:c>
      <x:c r="G81" s="80" t="str">
        <x:v>مل</x:v>
      </x:c>
      <x:c r="H81" s="87" t="str">
        <x:f>IFERROR(VLOOKUP(D81,'مراجع الوصفات'!$F$2:$I$253,3,FALSE),"")</x:f>
        <x:v>لتر</x:v>
      </x:c>
      <x:c r="I81" s="89" t="n">
        <x:f>IF(OR(F81="",G81="",H81=""),"",IF(G81=H81,F81,IF(AND(G81="غ",H81="كغ"),F81/1000,IF(AND(G81="كغ",H81="غ"),F81*1000,IF(AND(G81="مل",H81="لتر"),F81/1000,IF(AND(G81="لتر",H81="مل"),F81*1000,"خطأ وحدة"))))))</x:f>
        <x:v>0.15</x:v>
      </x:c>
      <x:c r="J81" s="85" t="n">
        <x:v>0</x:v>
      </x:c>
      <x:c r="K81" s="80" t="str">
        <x:v>نعم</x:v>
      </x:c>
      <x:c r="L81" s="91" t="n">
        <x:f>IFERROR(VLOOKUP(D81,'مراجع الوصفات'!$F$2:$I$253,4,FALSE),"")</x:f>
        <x:v>15000</x:v>
      </x:c>
      <x:c r="M81" s="91" t="n">
        <x:f>IF(OR(I81="",NOT(ISNUMBER(I81)),L81=""),"",I81*L81*(1+J81/100))</x:f>
        <x:v>2250</x:v>
      </x:c>
      <x:c r="N81" s="80" t="str"/>
      <x:c r="O81" s="93" t="str">
        <x:f>IF(AND(B81="",D81="",F81=""),"",IF(A81="تجاهل","تجاهل",IF(OR(B81="",D81="",F81="",G81="",H81=""),"ناقص",IF(NOT(ISNUMBER(I81)),"خطأ وحدة",IF(OR(J81&lt;0,J81&gt;100),"خطأ هدر","صالح")))))</x:f>
        <x:v>صالح</x:v>
      </x:c>
    </x:row>
    <x:row r="82">
      <x:c r="A82" s="79" t="str">
        <x:v>بحاجة مراجعة</x:v>
      </x:c>
      <x:c r="B82" s="80" t="str">
        <x:v>لاتيه</x:v>
      </x:c>
      <x:c r="C82" s="87" t="str">
        <x:f>IFERROR(VLOOKUP(B82,'مراجع الوصفات'!$A$2:$D$79,2,FALSE),"")</x:f>
      </x:c>
      <x:c r="D82" s="80" t="str">
        <x:v>بن إسبريسو</x:v>
      </x:c>
      <x:c r="E82" s="87" t="str">
        <x:f>IFERROR(VLOOKUP(D82,'مراجع الوصفات'!$F$2:$I$253,2,FALSE),"")</x:f>
        <x:v>DRK-COF-ESPRESSO</x:v>
      </x:c>
      <x:c r="F82" s="83" t="n">
        <x:v>18</x:v>
      </x:c>
      <x:c r="G82" s="80" t="str">
        <x:v>غ</x:v>
      </x:c>
      <x:c r="H82" s="87" t="str">
        <x:f>IFERROR(VLOOKUP(D82,'مراجع الوصفات'!$F$2:$I$253,3,FALSE),"")</x:f>
        <x:v>كغ</x:v>
      </x:c>
      <x:c r="I82" s="89" t="n">
        <x:f>IF(OR(F82="",G82="",H82=""),"",IF(G82=H82,F82,IF(AND(G82="غ",H82="كغ"),F82/1000,IF(AND(G82="كغ",H82="غ"),F82*1000,IF(AND(G82="مل",H82="لتر"),F82/1000,IF(AND(G82="لتر",H82="مل"),F82*1000,"خطأ وحدة"))))))</x:f>
        <x:v>0.018</x:v>
      </x:c>
      <x:c r="J82" s="85" t="n">
        <x:v>0</x:v>
      </x:c>
      <x:c r="K82" s="80" t="str">
        <x:v>نعم</x:v>
      </x:c>
      <x:c r="L82" s="91" t="str">
        <x:f>IFERROR(VLOOKUP(D82,'مراجع الوصفات'!$F$2:$I$253,4,FALSE),"")</x:f>
      </x:c>
      <x:c r="M82" s="91" t="str">
        <x:f>IF(OR(I82="",NOT(ISNUMBER(I82)),L82=""),"",I82*L82*(1+J82/100))</x:f>
      </x:c>
      <x:c r="N82" s="80" t="str"/>
      <x:c r="O82" s="93" t="str">
        <x:f>IF(AND(B82="",D82="",F82=""),"",IF(A82="تجاهل","تجاهل",IF(OR(B82="",D82="",F82="",G82="",H82=""),"ناقص",IF(NOT(ISNUMBER(I82)),"خطأ وحدة",IF(OR(J82&lt;0,J82&gt;100),"خطأ هدر","صالح")))))</x:f>
        <x:v>صالح</x:v>
      </x:c>
    </x:row>
    <x:row r="83">
      <x:c r="A83" s="79" t="str">
        <x:v>بحاجة مراجعة</x:v>
      </x:c>
      <x:c r="B83" s="80" t="str">
        <x:v>لاتيه</x:v>
      </x:c>
      <x:c r="C83" s="87" t="str">
        <x:f>IFERROR(VLOOKUP(B83,'مراجع الوصفات'!$A$2:$D$79,2,FALSE),"")</x:f>
      </x:c>
      <x:c r="D83" s="80" t="str">
        <x:v>حليب</x:v>
      </x:c>
      <x:c r="E83" s="87" t="str">
        <x:f>IFERROR(VLOOKUP(D83,'مراجع الوصفات'!$F$2:$I$253,2,FALSE),"")</x:f>
        <x:v>ING-DAIRY-MILK</x:v>
      </x:c>
      <x:c r="F83" s="83" t="n">
        <x:v>220</x:v>
      </x:c>
      <x:c r="G83" s="80" t="str">
        <x:v>مل</x:v>
      </x:c>
      <x:c r="H83" s="87" t="str">
        <x:f>IFERROR(VLOOKUP(D83,'مراجع الوصفات'!$F$2:$I$253,3,FALSE),"")</x:f>
        <x:v>لتر</x:v>
      </x:c>
      <x:c r="I83" s="89" t="n">
        <x:f>IF(OR(F83="",G83="",H83=""),"",IF(G83=H83,F83,IF(AND(G83="غ",H83="كغ"),F83/1000,IF(AND(G83="كغ",H83="غ"),F83*1000,IF(AND(G83="مل",H83="لتر"),F83/1000,IF(AND(G83="لتر",H83="مل"),F83*1000,"خطأ وحدة"))))))</x:f>
        <x:v>0.22</x:v>
      </x:c>
      <x:c r="J83" s="85" t="n">
        <x:v>0</x:v>
      </x:c>
      <x:c r="K83" s="80" t="str">
        <x:v>نعم</x:v>
      </x:c>
      <x:c r="L83" s="91" t="n">
        <x:f>IFERROR(VLOOKUP(D83,'مراجع الوصفات'!$F$2:$I$253,4,FALSE),"")</x:f>
        <x:v>15000</x:v>
      </x:c>
      <x:c r="M83" s="91" t="n">
        <x:f>IF(OR(I83="",NOT(ISNUMBER(I83)),L83=""),"",I83*L83*(1+J83/100))</x:f>
        <x:v>3300</x:v>
      </x:c>
      <x:c r="N83" s="80" t="str"/>
      <x:c r="O83" s="93" t="str">
        <x:f>IF(AND(B83="",D83="",F83=""),"",IF(A83="تجاهل","تجاهل",IF(OR(B83="",D83="",F83="",G83="",H83=""),"ناقص",IF(NOT(ISNUMBER(I83)),"خطأ وحدة",IF(OR(J83&lt;0,J83&gt;100),"خطأ هدر","صالح")))))</x:f>
        <x:v>صالح</x:v>
      </x:c>
    </x:row>
    <x:row r="84">
      <x:c r="A84" s="79" t="str">
        <x:v>بحاجة مراجعة</x:v>
      </x:c>
      <x:c r="B84" s="80" t="str">
        <x:v>أمريكانو</x:v>
      </x:c>
      <x:c r="C84" s="87" t="str">
        <x:f>IFERROR(VLOOKUP(B84,'مراجع الوصفات'!$A$2:$D$79,2,FALSE),"")</x:f>
      </x:c>
      <x:c r="D84" s="80" t="str">
        <x:v>بن إسبريسو</x:v>
      </x:c>
      <x:c r="E84" s="87" t="str">
        <x:f>IFERROR(VLOOKUP(D84,'مراجع الوصفات'!$F$2:$I$253,2,FALSE),"")</x:f>
        <x:v>DRK-COF-ESPRESSO</x:v>
      </x:c>
      <x:c r="F84" s="83" t="n">
        <x:v>18</x:v>
      </x:c>
      <x:c r="G84" s="80" t="str">
        <x:v>غ</x:v>
      </x:c>
      <x:c r="H84" s="87" t="str">
        <x:f>IFERROR(VLOOKUP(D84,'مراجع الوصفات'!$F$2:$I$253,3,FALSE),"")</x:f>
        <x:v>كغ</x:v>
      </x:c>
      <x:c r="I84" s="89" t="n">
        <x:f>IF(OR(F84="",G84="",H84=""),"",IF(G84=H84,F84,IF(AND(G84="غ",H84="كغ"),F84/1000,IF(AND(G84="كغ",H84="غ"),F84*1000,IF(AND(G84="مل",H84="لتر"),F84/1000,IF(AND(G84="لتر",H84="مل"),F84*1000,"خطأ وحدة"))))))</x:f>
        <x:v>0.018</x:v>
      </x:c>
      <x:c r="J84" s="85" t="n">
        <x:v>0</x:v>
      </x:c>
      <x:c r="K84" s="80" t="str">
        <x:v>نعم</x:v>
      </x:c>
      <x:c r="L84" s="91" t="str">
        <x:f>IFERROR(VLOOKUP(D84,'مراجع الوصفات'!$F$2:$I$253,4,FALSE),"")</x:f>
      </x:c>
      <x:c r="M84" s="91" t="str">
        <x:f>IF(OR(I84="",NOT(ISNUMBER(I84)),L84=""),"",I84*L84*(1+J84/100))</x:f>
      </x:c>
      <x:c r="N84" s="80" t="str"/>
      <x:c r="O84" s="93" t="str">
        <x:f>IF(AND(B84="",D84="",F84=""),"",IF(A84="تجاهل","تجاهل",IF(OR(B84="",D84="",F84="",G84="",H84=""),"ناقص",IF(NOT(ISNUMBER(I84)),"خطأ وحدة",IF(OR(J84&lt;0,J84&gt;100),"خطأ هدر","صالح")))))</x:f>
        <x:v>صالح</x:v>
      </x:c>
    </x:row>
    <x:row r="85">
      <x:c r="A85" s="79" t="str">
        <x:v>بحاجة مراجعة</x:v>
      </x:c>
      <x:c r="B85" s="80" t="str">
        <x:v>موكا</x:v>
      </x:c>
      <x:c r="C85" s="87" t="str">
        <x:f>IFERROR(VLOOKUP(B85,'مراجع الوصفات'!$A$2:$D$79,2,FALSE),"")</x:f>
      </x:c>
      <x:c r="D85" s="80" t="str">
        <x:v>بن إسبريسو</x:v>
      </x:c>
      <x:c r="E85" s="87" t="str">
        <x:f>IFERROR(VLOOKUP(D85,'مراجع الوصفات'!$F$2:$I$253,2,FALSE),"")</x:f>
        <x:v>DRK-COF-ESPRESSO</x:v>
      </x:c>
      <x:c r="F85" s="83" t="n">
        <x:v>18</x:v>
      </x:c>
      <x:c r="G85" s="80" t="str">
        <x:v>غ</x:v>
      </x:c>
      <x:c r="H85" s="87" t="str">
        <x:f>IFERROR(VLOOKUP(D85,'مراجع الوصفات'!$F$2:$I$253,3,FALSE),"")</x:f>
        <x:v>كغ</x:v>
      </x:c>
      <x:c r="I85" s="89" t="n">
        <x:f>IF(OR(F85="",G85="",H85=""),"",IF(G85=H85,F85,IF(AND(G85="غ",H85="كغ"),F85/1000,IF(AND(G85="كغ",H85="غ"),F85*1000,IF(AND(G85="مل",H85="لتر"),F85/1000,IF(AND(G85="لتر",H85="مل"),F85*1000,"خطأ وحدة"))))))</x:f>
        <x:v>0.018</x:v>
      </x:c>
      <x:c r="J85" s="85" t="n">
        <x:v>0</x:v>
      </x:c>
      <x:c r="K85" s="80" t="str">
        <x:v>نعم</x:v>
      </x:c>
      <x:c r="L85" s="91" t="str">
        <x:f>IFERROR(VLOOKUP(D85,'مراجع الوصفات'!$F$2:$I$253,4,FALSE),"")</x:f>
      </x:c>
      <x:c r="M85" s="91" t="str">
        <x:f>IF(OR(I85="",NOT(ISNUMBER(I85)),L85=""),"",I85*L85*(1+J85/100))</x:f>
      </x:c>
      <x:c r="N85" s="80" t="str"/>
      <x:c r="O85" s="93" t="str">
        <x:f>IF(AND(B85="",D85="",F85=""),"",IF(A85="تجاهل","تجاهل",IF(OR(B85="",D85="",F85="",G85="",H85=""),"ناقص",IF(NOT(ISNUMBER(I85)),"خطأ وحدة",IF(OR(J85&lt;0,J85&gt;100),"خطأ هدر","صالح")))))</x:f>
        <x:v>صالح</x:v>
      </x:c>
    </x:row>
    <x:row r="86">
      <x:c r="A86" s="79" t="str">
        <x:v>بحاجة مراجعة</x:v>
      </x:c>
      <x:c r="B86" s="80" t="str">
        <x:v>موكا</x:v>
      </x:c>
      <x:c r="C86" s="87" t="str">
        <x:f>IFERROR(VLOOKUP(B86,'مراجع الوصفات'!$A$2:$D$79,2,FALSE),"")</x:f>
      </x:c>
      <x:c r="D86" s="80" t="str">
        <x:v>حليب</x:v>
      </x:c>
      <x:c r="E86" s="87" t="str">
        <x:f>IFERROR(VLOOKUP(D86,'مراجع الوصفات'!$F$2:$I$253,2,FALSE),"")</x:f>
        <x:v>ING-DAIRY-MILK</x:v>
      </x:c>
      <x:c r="F86" s="83" t="n">
        <x:v>200</x:v>
      </x:c>
      <x:c r="G86" s="80" t="str">
        <x:v>مل</x:v>
      </x:c>
      <x:c r="H86" s="87" t="str">
        <x:f>IFERROR(VLOOKUP(D86,'مراجع الوصفات'!$F$2:$I$253,3,FALSE),"")</x:f>
        <x:v>لتر</x:v>
      </x:c>
      <x:c r="I86" s="89" t="n">
        <x:f>IF(OR(F86="",G86="",H86=""),"",IF(G86=H86,F86,IF(AND(G86="غ",H86="كغ"),F86/1000,IF(AND(G86="كغ",H86="غ"),F86*1000,IF(AND(G86="مل",H86="لتر"),F86/1000,IF(AND(G86="لتر",H86="مل"),F86*1000,"خطأ وحدة"))))))</x:f>
        <x:v>0.2</x:v>
      </x:c>
      <x:c r="J86" s="85" t="n">
        <x:v>0</x:v>
      </x:c>
      <x:c r="K86" s="80" t="str">
        <x:v>نعم</x:v>
      </x:c>
      <x:c r="L86" s="91" t="n">
        <x:f>IFERROR(VLOOKUP(D86,'مراجع الوصفات'!$F$2:$I$253,4,FALSE),"")</x:f>
        <x:v>15000</x:v>
      </x:c>
      <x:c r="M86" s="91" t="n">
        <x:f>IF(OR(I86="",NOT(ISNUMBER(I86)),L86=""),"",I86*L86*(1+J86/100))</x:f>
        <x:v>3000</x:v>
      </x:c>
      <x:c r="N86" s="80" t="str"/>
      <x:c r="O86" s="93" t="str">
        <x:f>IF(AND(B86="",D86="",F86=""),"",IF(A86="تجاهل","تجاهل",IF(OR(B86="",D86="",F86="",G86="",H86=""),"ناقص",IF(NOT(ISNUMBER(I86)),"خطأ وحدة",IF(OR(J86&lt;0,J86&gt;100),"خطأ هدر","صالح")))))</x:f>
        <x:v>صالح</x:v>
      </x:c>
    </x:row>
    <x:row r="87">
      <x:c r="A87" s="79" t="str">
        <x:v>بحاجة مراجعة</x:v>
      </x:c>
      <x:c r="B87" s="80" t="str">
        <x:v>موكا</x:v>
      </x:c>
      <x:c r="C87" s="87" t="str">
        <x:f>IFERROR(VLOOKUP(B87,'مراجع الوصفات'!$A$2:$D$79,2,FALSE),"")</x:f>
      </x:c>
      <x:c r="D87" s="80" t="str">
        <x:v>صوص شوكولا</x:v>
      </x:c>
      <x:c r="E87" s="87" t="str">
        <x:f>IFERROR(VLOOKUP(D87,'مراجع الوصفات'!$F$2:$I$253,2,FALSE),"")</x:f>
        <x:v>ING-SYRUP-CHOCOLATE</x:v>
      </x:c>
      <x:c r="F87" s="83" t="n">
        <x:v>20</x:v>
      </x:c>
      <x:c r="G87" s="80" t="str">
        <x:v>مل</x:v>
      </x:c>
      <x:c r="H87" s="87" t="str">
        <x:f>IFERROR(VLOOKUP(D87,'مراجع الوصفات'!$F$2:$I$253,3,FALSE),"")</x:f>
        <x:v>لتر</x:v>
      </x:c>
      <x:c r="I87" s="89" t="n">
        <x:f>IF(OR(F87="",G87="",H87=""),"",IF(G87=H87,F87,IF(AND(G87="غ",H87="كغ"),F87/1000,IF(AND(G87="كغ",H87="غ"),F87*1000,IF(AND(G87="مل",H87="لتر"),F87/1000,IF(AND(G87="لتر",H87="مل"),F87*1000,"خطأ وحدة"))))))</x:f>
        <x:v>0.02</x:v>
      </x:c>
      <x:c r="J87" s="85" t="n">
        <x:v>0</x:v>
      </x:c>
      <x:c r="K87" s="80" t="str">
        <x:v>نعم</x:v>
      </x:c>
      <x:c r="L87" s="91" t="str">
        <x:f>IFERROR(VLOOKUP(D87,'مراجع الوصفات'!$F$2:$I$253,4,FALSE),"")</x:f>
      </x:c>
      <x:c r="M87" s="91" t="str">
        <x:f>IF(OR(I87="",NOT(ISNUMBER(I87)),L87=""),"",I87*L87*(1+J87/100))</x:f>
      </x:c>
      <x:c r="N87" s="80" t="str"/>
      <x:c r="O87" s="93" t="str">
        <x:f>IF(AND(B87="",D87="",F87=""),"",IF(A87="تجاهل","تجاهل",IF(OR(B87="",D87="",F87="",G87="",H87=""),"ناقص",IF(NOT(ISNUMBER(I87)),"خطأ وحدة",IF(OR(J87&lt;0,J87&gt;100),"خطأ هدر","صالح")))))</x:f>
        <x:v>صالح</x:v>
      </x:c>
    </x:row>
    <x:row r="88">
      <x:c r="A88" s="79" t="str">
        <x:v>بحاجة مراجعة</x:v>
      </x:c>
      <x:c r="B88" s="80" t="str">
        <x:v>قهوة سريعة التحضير</x:v>
      </x:c>
      <x:c r="C88" s="87" t="str">
        <x:f>IFERROR(VLOOKUP(B88,'مراجع الوصفات'!$A$2:$D$79,2,FALSE),"")</x:f>
      </x:c>
      <x:c r="D88" s="80" t="str">
        <x:v>قهوة سريعة التحضير</x:v>
      </x:c>
      <x:c r="E88" s="87" t="str">
        <x:f>IFERROR(VLOOKUP(D88,'مراجع الوصفات'!$F$2:$I$253,2,FALSE),"")</x:f>
        <x:v>DRK-COF-INSTANT</x:v>
      </x:c>
      <x:c r="F88" s="83" t="n">
        <x:v>5</x:v>
      </x:c>
      <x:c r="G88" s="80" t="str">
        <x:v>غ</x:v>
      </x:c>
      <x:c r="H88" s="87" t="str">
        <x:f>IFERROR(VLOOKUP(D88,'مراجع الوصفات'!$F$2:$I$253,3,FALSE),"")</x:f>
        <x:v>كغ</x:v>
      </x:c>
      <x:c r="I88" s="89" t="n">
        <x:f>IF(OR(F88="",G88="",H88=""),"",IF(G88=H88,F88,IF(AND(G88="غ",H88="كغ"),F88/1000,IF(AND(G88="كغ",H88="غ"),F88*1000,IF(AND(G88="مل",H88="لتر"),F88/1000,IF(AND(G88="لتر",H88="مل"),F88*1000,"خطأ وحدة"))))))</x:f>
        <x:v>0.005</x:v>
      </x:c>
      <x:c r="J88" s="85" t="n">
        <x:v>0</x:v>
      </x:c>
      <x:c r="K88" s="80" t="str">
        <x:v>نعم</x:v>
      </x:c>
      <x:c r="L88" s="91" t="str">
        <x:f>IFERROR(VLOOKUP(D88,'مراجع الوصفات'!$F$2:$I$253,4,FALSE),"")</x:f>
      </x:c>
      <x:c r="M88" s="91" t="str">
        <x:f>IF(OR(I88="",NOT(ISNUMBER(I88)),L88=""),"",I88*L88*(1+J88/100))</x:f>
      </x:c>
      <x:c r="N88" s="80" t="str"/>
      <x:c r="O88" s="93" t="str">
        <x:f>IF(AND(B88="",D88="",F88=""),"",IF(A88="تجاهل","تجاهل",IF(OR(B88="",D88="",F88="",G88="",H88=""),"ناقص",IF(NOT(ISNUMBER(I88)),"خطأ وحدة",IF(OR(J88&lt;0,J88&gt;100),"خطأ هدر","صالح")))))</x:f>
        <x:v>صالح</x:v>
      </x:c>
    </x:row>
    <x:row r="89">
      <x:c r="A89" s="79" t="str">
        <x:v>بحاجة مراجعة</x:v>
      </x:c>
      <x:c r="B89" s="80" t="str">
        <x:v>قهوة مثلجة</x:v>
      </x:c>
      <x:c r="C89" s="87" t="str">
        <x:f>IFERROR(VLOOKUP(B89,'مراجع الوصفات'!$A$2:$D$79,2,FALSE),"")</x:f>
      </x:c>
      <x:c r="D89" s="80" t="str">
        <x:v>بن إسبريسو</x:v>
      </x:c>
      <x:c r="E89" s="87" t="str">
        <x:f>IFERROR(VLOOKUP(D89,'مراجع الوصفات'!$F$2:$I$253,2,FALSE),"")</x:f>
        <x:v>DRK-COF-ESPRESSO</x:v>
      </x:c>
      <x:c r="F89" s="83" t="n">
        <x:v>18</x:v>
      </x:c>
      <x:c r="G89" s="80" t="str">
        <x:v>غ</x:v>
      </x:c>
      <x:c r="H89" s="87" t="str">
        <x:f>IFERROR(VLOOKUP(D89,'مراجع الوصفات'!$F$2:$I$253,3,FALSE),"")</x:f>
        <x:v>كغ</x:v>
      </x:c>
      <x:c r="I89" s="89" t="n">
        <x:f>IF(OR(F89="",G89="",H89=""),"",IF(G89=H89,F89,IF(AND(G89="غ",H89="كغ"),F89/1000,IF(AND(G89="كغ",H89="غ"),F89*1000,IF(AND(G89="مل",H89="لتر"),F89/1000,IF(AND(G89="لتر",H89="مل"),F89*1000,"خطأ وحدة"))))))</x:f>
        <x:v>0.018</x:v>
      </x:c>
      <x:c r="J89" s="85" t="n">
        <x:v>0</x:v>
      </x:c>
      <x:c r="K89" s="80" t="str">
        <x:v>نعم</x:v>
      </x:c>
      <x:c r="L89" s="91" t="str">
        <x:f>IFERROR(VLOOKUP(D89,'مراجع الوصفات'!$F$2:$I$253,4,FALSE),"")</x:f>
      </x:c>
      <x:c r="M89" s="91" t="str">
        <x:f>IF(OR(I89="",NOT(ISNUMBER(I89)),L89=""),"",I89*L89*(1+J89/100))</x:f>
      </x:c>
      <x:c r="N89" s="80" t="str"/>
      <x:c r="O89" s="93" t="str">
        <x:f>IF(AND(B89="",D89="",F89=""),"",IF(A89="تجاهل","تجاهل",IF(OR(B89="",D89="",F89="",G89="",H89=""),"ناقص",IF(NOT(ISNUMBER(I89)),"خطأ وحدة",IF(OR(J89&lt;0,J89&gt;100),"خطأ هدر","صالح")))))</x:f>
        <x:v>صالح</x:v>
      </x:c>
    </x:row>
    <x:row r="90">
      <x:c r="A90" s="79" t="str">
        <x:v>بحاجة مراجعة</x:v>
      </x:c>
      <x:c r="B90" s="80" t="str">
        <x:v>قهوة مثلجة</x:v>
      </x:c>
      <x:c r="C90" s="87" t="str">
        <x:f>IFERROR(VLOOKUP(B90,'مراجع الوصفات'!$A$2:$D$79,2,FALSE),"")</x:f>
      </x:c>
      <x:c r="D90" s="80" t="str">
        <x:v>ثلج</x:v>
      </x:c>
      <x:c r="E90" s="87" t="str">
        <x:f>IFERROR(VLOOKUP(D90,'مراجع الوصفات'!$F$2:$I$253,2,FALSE),"")</x:f>
        <x:v>DRK-ICE</x:v>
      </x:c>
      <x:c r="F90" s="83" t="n">
        <x:v>150</x:v>
      </x:c>
      <x:c r="G90" s="80" t="str">
        <x:v>غ</x:v>
      </x:c>
      <x:c r="H90" s="87" t="str">
        <x:f>IFERROR(VLOOKUP(D90,'مراجع الوصفات'!$F$2:$I$253,3,FALSE),"")</x:f>
        <x:v>كغ</x:v>
      </x:c>
      <x:c r="I90" s="89" t="n">
        <x:f>IF(OR(F90="",G90="",H90=""),"",IF(G90=H90,F90,IF(AND(G90="غ",H90="كغ"),F90/1000,IF(AND(G90="كغ",H90="غ"),F90*1000,IF(AND(G90="مل",H90="لتر"),F90/1000,IF(AND(G90="لتر",H90="مل"),F90*1000,"خطأ وحدة"))))))</x:f>
        <x:v>0.15</x:v>
      </x:c>
      <x:c r="J90" s="85" t="n">
        <x:v>0</x:v>
      </x:c>
      <x:c r="K90" s="80" t="str">
        <x:v>نعم</x:v>
      </x:c>
      <x:c r="L90" s="91" t="n">
        <x:f>IFERROR(VLOOKUP(D90,'مراجع الوصفات'!$F$2:$I$253,4,FALSE),"")</x:f>
        <x:v>4000</x:v>
      </x:c>
      <x:c r="M90" s="91" t="n">
        <x:f>IF(OR(I90="",NOT(ISNUMBER(I90)),L90=""),"",I90*L90*(1+J90/100))</x:f>
        <x:v>600</x:v>
      </x:c>
      <x:c r="N90" s="80" t="str"/>
      <x:c r="O90" s="93" t="str">
        <x:f>IF(AND(B90="",D90="",F90=""),"",IF(A90="تجاهل","تجاهل",IF(OR(B90="",D90="",F90="",G90="",H90=""),"ناقص",IF(NOT(ISNUMBER(I90)),"خطأ وحدة",IF(OR(J90&lt;0,J90&gt;100),"خطأ هدر","صالح")))))</x:f>
        <x:v>صالح</x:v>
      </x:c>
    </x:row>
    <x:row r="91">
      <x:c r="A91" s="79" t="str">
        <x:v>بحاجة مراجعة</x:v>
      </x:c>
      <x:c r="B91" s="80" t="str">
        <x:v>آيس لاتيه</x:v>
      </x:c>
      <x:c r="C91" s="87" t="str">
        <x:f>IFERROR(VLOOKUP(B91,'مراجع الوصفات'!$A$2:$D$79,2,FALSE),"")</x:f>
      </x:c>
      <x:c r="D91" s="80" t="str">
        <x:v>بن إسبريسو</x:v>
      </x:c>
      <x:c r="E91" s="87" t="str">
        <x:f>IFERROR(VLOOKUP(D91,'مراجع الوصفات'!$F$2:$I$253,2,FALSE),"")</x:f>
        <x:v>DRK-COF-ESPRESSO</x:v>
      </x:c>
      <x:c r="F91" s="83" t="n">
        <x:v>18</x:v>
      </x:c>
      <x:c r="G91" s="80" t="str">
        <x:v>غ</x:v>
      </x:c>
      <x:c r="H91" s="87" t="str">
        <x:f>IFERROR(VLOOKUP(D91,'مراجع الوصفات'!$F$2:$I$253,3,FALSE),"")</x:f>
        <x:v>كغ</x:v>
      </x:c>
      <x:c r="I91" s="89" t="n">
        <x:f>IF(OR(F91="",G91="",H91=""),"",IF(G91=H91,F91,IF(AND(G91="غ",H91="كغ"),F91/1000,IF(AND(G91="كغ",H91="غ"),F91*1000,IF(AND(G91="مل",H91="لتر"),F91/1000,IF(AND(G91="لتر",H91="مل"),F91*1000,"خطأ وحدة"))))))</x:f>
        <x:v>0.018</x:v>
      </x:c>
      <x:c r="J91" s="85" t="n">
        <x:v>0</x:v>
      </x:c>
      <x:c r="K91" s="80" t="str">
        <x:v>نعم</x:v>
      </x:c>
      <x:c r="L91" s="91" t="str">
        <x:f>IFERROR(VLOOKUP(D91,'مراجع الوصفات'!$F$2:$I$253,4,FALSE),"")</x:f>
      </x:c>
      <x:c r="M91" s="91" t="str">
        <x:f>IF(OR(I91="",NOT(ISNUMBER(I91)),L91=""),"",I91*L91*(1+J91/100))</x:f>
      </x:c>
      <x:c r="N91" s="80" t="str"/>
      <x:c r="O91" s="93" t="str">
        <x:f>IF(AND(B91="",D91="",F91=""),"",IF(A91="تجاهل","تجاهل",IF(OR(B91="",D91="",F91="",G91="",H91=""),"ناقص",IF(NOT(ISNUMBER(I91)),"خطأ وحدة",IF(OR(J91&lt;0,J91&gt;100),"خطأ هدر","صالح")))))</x:f>
        <x:v>صالح</x:v>
      </x:c>
    </x:row>
    <x:row r="92">
      <x:c r="A92" s="79" t="str">
        <x:v>بحاجة مراجعة</x:v>
      </x:c>
      <x:c r="B92" s="80" t="str">
        <x:v>آيس لاتيه</x:v>
      </x:c>
      <x:c r="C92" s="87" t="str">
        <x:f>IFERROR(VLOOKUP(B92,'مراجع الوصفات'!$A$2:$D$79,2,FALSE),"")</x:f>
      </x:c>
      <x:c r="D92" s="80" t="str">
        <x:v>حليب</x:v>
      </x:c>
      <x:c r="E92" s="87" t="str">
        <x:f>IFERROR(VLOOKUP(D92,'مراجع الوصفات'!$F$2:$I$253,2,FALSE),"")</x:f>
        <x:v>ING-DAIRY-MILK</x:v>
      </x:c>
      <x:c r="F92" s="83" t="n">
        <x:v>200</x:v>
      </x:c>
      <x:c r="G92" s="80" t="str">
        <x:v>مل</x:v>
      </x:c>
      <x:c r="H92" s="87" t="str">
        <x:f>IFERROR(VLOOKUP(D92,'مراجع الوصفات'!$F$2:$I$253,3,FALSE),"")</x:f>
        <x:v>لتر</x:v>
      </x:c>
      <x:c r="I92" s="89" t="n">
        <x:f>IF(OR(F92="",G92="",H92=""),"",IF(G92=H92,F92,IF(AND(G92="غ",H92="كغ"),F92/1000,IF(AND(G92="كغ",H92="غ"),F92*1000,IF(AND(G92="مل",H92="لتر"),F92/1000,IF(AND(G92="لتر",H92="مل"),F92*1000,"خطأ وحدة"))))))</x:f>
        <x:v>0.2</x:v>
      </x:c>
      <x:c r="J92" s="85" t="n">
        <x:v>0</x:v>
      </x:c>
      <x:c r="K92" s="80" t="str">
        <x:v>نعم</x:v>
      </x:c>
      <x:c r="L92" s="91" t="n">
        <x:f>IFERROR(VLOOKUP(D92,'مراجع الوصفات'!$F$2:$I$253,4,FALSE),"")</x:f>
        <x:v>15000</x:v>
      </x:c>
      <x:c r="M92" s="91" t="n">
        <x:f>IF(OR(I92="",NOT(ISNUMBER(I92)),L92=""),"",I92*L92*(1+J92/100))</x:f>
        <x:v>3000</x:v>
      </x:c>
      <x:c r="N92" s="80" t="str"/>
      <x:c r="O92" s="93" t="str">
        <x:f>IF(AND(B92="",D92="",F92=""),"",IF(A92="تجاهل","تجاهل",IF(OR(B92="",D92="",F92="",G92="",H92=""),"ناقص",IF(NOT(ISNUMBER(I92)),"خطأ وحدة",IF(OR(J92&lt;0,J92&gt;100),"خطأ هدر","صالح")))))</x:f>
        <x:v>صالح</x:v>
      </x:c>
    </x:row>
    <x:row r="93">
      <x:c r="A93" s="79" t="str">
        <x:v>بحاجة مراجعة</x:v>
      </x:c>
      <x:c r="B93" s="80" t="str">
        <x:v>آيس لاتيه</x:v>
      </x:c>
      <x:c r="C93" s="87" t="str">
        <x:f>IFERROR(VLOOKUP(B93,'مراجع الوصفات'!$A$2:$D$79,2,FALSE),"")</x:f>
      </x:c>
      <x:c r="D93" s="80" t="str">
        <x:v>ثلج</x:v>
      </x:c>
      <x:c r="E93" s="87" t="str">
        <x:f>IFERROR(VLOOKUP(D93,'مراجع الوصفات'!$F$2:$I$253,2,FALSE),"")</x:f>
        <x:v>DRK-ICE</x:v>
      </x:c>
      <x:c r="F93" s="83" t="n">
        <x:v>150</x:v>
      </x:c>
      <x:c r="G93" s="80" t="str">
        <x:v>غ</x:v>
      </x:c>
      <x:c r="H93" s="87" t="str">
        <x:f>IFERROR(VLOOKUP(D93,'مراجع الوصفات'!$F$2:$I$253,3,FALSE),"")</x:f>
        <x:v>كغ</x:v>
      </x:c>
      <x:c r="I93" s="89" t="n">
        <x:f>IF(OR(F93="",G93="",H93=""),"",IF(G93=H93,F93,IF(AND(G93="غ",H93="كغ"),F93/1000,IF(AND(G93="كغ",H93="غ"),F93*1000,IF(AND(G93="مل",H93="لتر"),F93/1000,IF(AND(G93="لتر",H93="مل"),F93*1000,"خطأ وحدة"))))))</x:f>
        <x:v>0.15</x:v>
      </x:c>
      <x:c r="J93" s="85" t="n">
        <x:v>0</x:v>
      </x:c>
      <x:c r="K93" s="80" t="str">
        <x:v>نعم</x:v>
      </x:c>
      <x:c r="L93" s="91" t="n">
        <x:f>IFERROR(VLOOKUP(D93,'مراجع الوصفات'!$F$2:$I$253,4,FALSE),"")</x:f>
        <x:v>4000</x:v>
      </x:c>
      <x:c r="M93" s="91" t="n">
        <x:f>IF(OR(I93="",NOT(ISNUMBER(I93)),L93=""),"",I93*L93*(1+J93/100))</x:f>
        <x:v>600</x:v>
      </x:c>
      <x:c r="N93" s="80" t="str"/>
      <x:c r="O93" s="93" t="str">
        <x:f>IF(AND(B93="",D93="",F93=""),"",IF(A93="تجاهل","تجاهل",IF(OR(B93="",D93="",F93="",G93="",H93=""),"ناقص",IF(NOT(ISNUMBER(I93)),"خطأ وحدة",IF(OR(J93&lt;0,J93&gt;100),"خطأ هدر","صالح")))))</x:f>
        <x:v>صالح</x:v>
      </x:c>
    </x:row>
    <x:row r="94">
      <x:c r="A94" s="79" t="str">
        <x:v>بحاجة مراجعة</x:v>
      </x:c>
      <x:c r="B94" s="80" t="str">
        <x:v>آيس موكا</x:v>
      </x:c>
      <x:c r="C94" s="87" t="str">
        <x:f>IFERROR(VLOOKUP(B94,'مراجع الوصفات'!$A$2:$D$79,2,FALSE),"")</x:f>
      </x:c>
      <x:c r="D94" s="80" t="str">
        <x:v>بن إسبريسو</x:v>
      </x:c>
      <x:c r="E94" s="87" t="str">
        <x:f>IFERROR(VLOOKUP(D94,'مراجع الوصفات'!$F$2:$I$253,2,FALSE),"")</x:f>
        <x:v>DRK-COF-ESPRESSO</x:v>
      </x:c>
      <x:c r="F94" s="83" t="n">
        <x:v>18</x:v>
      </x:c>
      <x:c r="G94" s="80" t="str">
        <x:v>غ</x:v>
      </x:c>
      <x:c r="H94" s="87" t="str">
        <x:f>IFERROR(VLOOKUP(D94,'مراجع الوصفات'!$F$2:$I$253,3,FALSE),"")</x:f>
        <x:v>كغ</x:v>
      </x:c>
      <x:c r="I94" s="89" t="n">
        <x:f>IF(OR(F94="",G94="",H94=""),"",IF(G94=H94,F94,IF(AND(G94="غ",H94="كغ"),F94/1000,IF(AND(G94="كغ",H94="غ"),F94*1000,IF(AND(G94="مل",H94="لتر"),F94/1000,IF(AND(G94="لتر",H94="مل"),F94*1000,"خطأ وحدة"))))))</x:f>
        <x:v>0.018</x:v>
      </x:c>
      <x:c r="J94" s="85" t="n">
        <x:v>0</x:v>
      </x:c>
      <x:c r="K94" s="80" t="str">
        <x:v>نعم</x:v>
      </x:c>
      <x:c r="L94" s="91" t="str">
        <x:f>IFERROR(VLOOKUP(D94,'مراجع الوصفات'!$F$2:$I$253,4,FALSE),"")</x:f>
      </x:c>
      <x:c r="M94" s="91" t="str">
        <x:f>IF(OR(I94="",NOT(ISNUMBER(I94)),L94=""),"",I94*L94*(1+J94/100))</x:f>
      </x:c>
      <x:c r="N94" s="80" t="str"/>
      <x:c r="O94" s="93" t="str">
        <x:f>IF(AND(B94="",D94="",F94=""),"",IF(A94="تجاهل","تجاهل",IF(OR(B94="",D94="",F94="",G94="",H94=""),"ناقص",IF(NOT(ISNUMBER(I94)),"خطأ وحدة",IF(OR(J94&lt;0,J94&gt;100),"خطأ هدر","صالح")))))</x:f>
        <x:v>صالح</x:v>
      </x:c>
    </x:row>
    <x:row r="95">
      <x:c r="A95" s="79" t="str">
        <x:v>بحاجة مراجعة</x:v>
      </x:c>
      <x:c r="B95" s="80" t="str">
        <x:v>آيس موكا</x:v>
      </x:c>
      <x:c r="C95" s="87" t="str">
        <x:f>IFERROR(VLOOKUP(B95,'مراجع الوصفات'!$A$2:$D$79,2,FALSE),"")</x:f>
      </x:c>
      <x:c r="D95" s="80" t="str">
        <x:v>حليب</x:v>
      </x:c>
      <x:c r="E95" s="87" t="str">
        <x:f>IFERROR(VLOOKUP(D95,'مراجع الوصفات'!$F$2:$I$253,2,FALSE),"")</x:f>
        <x:v>ING-DAIRY-MILK</x:v>
      </x:c>
      <x:c r="F95" s="83" t="n">
        <x:v>200</x:v>
      </x:c>
      <x:c r="G95" s="80" t="str">
        <x:v>مل</x:v>
      </x:c>
      <x:c r="H95" s="87" t="str">
        <x:f>IFERROR(VLOOKUP(D95,'مراجع الوصفات'!$F$2:$I$253,3,FALSE),"")</x:f>
        <x:v>لتر</x:v>
      </x:c>
      <x:c r="I95" s="89" t="n">
        <x:f>IF(OR(F95="",G95="",H95=""),"",IF(G95=H95,F95,IF(AND(G95="غ",H95="كغ"),F95/1000,IF(AND(G95="كغ",H95="غ"),F95*1000,IF(AND(G95="مل",H95="لتر"),F95/1000,IF(AND(G95="لتر",H95="مل"),F95*1000,"خطأ وحدة"))))))</x:f>
        <x:v>0.2</x:v>
      </x:c>
      <x:c r="J95" s="85" t="n">
        <x:v>0</x:v>
      </x:c>
      <x:c r="K95" s="80" t="str">
        <x:v>نعم</x:v>
      </x:c>
      <x:c r="L95" s="91" t="n">
        <x:f>IFERROR(VLOOKUP(D95,'مراجع الوصفات'!$F$2:$I$253,4,FALSE),"")</x:f>
        <x:v>15000</x:v>
      </x:c>
      <x:c r="M95" s="91" t="n">
        <x:f>IF(OR(I95="",NOT(ISNUMBER(I95)),L95=""),"",I95*L95*(1+J95/100))</x:f>
        <x:v>3000</x:v>
      </x:c>
      <x:c r="N95" s="80" t="str"/>
      <x:c r="O95" s="93" t="str">
        <x:f>IF(AND(B95="",D95="",F95=""),"",IF(A95="تجاهل","تجاهل",IF(OR(B95="",D95="",F95="",G95="",H95=""),"ناقص",IF(NOT(ISNUMBER(I95)),"خطأ وحدة",IF(OR(J95&lt;0,J95&gt;100),"خطأ هدر","صالح")))))</x:f>
        <x:v>صالح</x:v>
      </x:c>
    </x:row>
    <x:row r="96">
      <x:c r="A96" s="79" t="str">
        <x:v>بحاجة مراجعة</x:v>
      </x:c>
      <x:c r="B96" s="80" t="str">
        <x:v>آيس موكا</x:v>
      </x:c>
      <x:c r="C96" s="87" t="str">
        <x:f>IFERROR(VLOOKUP(B96,'مراجع الوصفات'!$A$2:$D$79,2,FALSE),"")</x:f>
      </x:c>
      <x:c r="D96" s="80" t="str">
        <x:v>صوص شوكولا</x:v>
      </x:c>
      <x:c r="E96" s="87" t="str">
        <x:f>IFERROR(VLOOKUP(D96,'مراجع الوصفات'!$F$2:$I$253,2,FALSE),"")</x:f>
        <x:v>ING-SYRUP-CHOCOLATE</x:v>
      </x:c>
      <x:c r="F96" s="83" t="n">
        <x:v>20</x:v>
      </x:c>
      <x:c r="G96" s="80" t="str">
        <x:v>مل</x:v>
      </x:c>
      <x:c r="H96" s="87" t="str">
        <x:f>IFERROR(VLOOKUP(D96,'مراجع الوصفات'!$F$2:$I$253,3,FALSE),"")</x:f>
        <x:v>لتر</x:v>
      </x:c>
      <x:c r="I96" s="89" t="n">
        <x:f>IF(OR(F96="",G96="",H96=""),"",IF(G96=H96,F96,IF(AND(G96="غ",H96="كغ"),F96/1000,IF(AND(G96="كغ",H96="غ"),F96*1000,IF(AND(G96="مل",H96="لتر"),F96/1000,IF(AND(G96="لتر",H96="مل"),F96*1000,"خطأ وحدة"))))))</x:f>
        <x:v>0.02</x:v>
      </x:c>
      <x:c r="J96" s="85" t="n">
        <x:v>0</x:v>
      </x:c>
      <x:c r="K96" s="80" t="str">
        <x:v>نعم</x:v>
      </x:c>
      <x:c r="L96" s="91" t="str">
        <x:f>IFERROR(VLOOKUP(D96,'مراجع الوصفات'!$F$2:$I$253,4,FALSE),"")</x:f>
      </x:c>
      <x:c r="M96" s="91" t="str">
        <x:f>IF(OR(I96="",NOT(ISNUMBER(I96)),L96=""),"",I96*L96*(1+J96/100))</x:f>
      </x:c>
      <x:c r="N96" s="80" t="str"/>
      <x:c r="O96" s="93" t="str">
        <x:f>IF(AND(B96="",D96="",F96=""),"",IF(A96="تجاهل","تجاهل",IF(OR(B96="",D96="",F96="",G96="",H96=""),"ناقص",IF(NOT(ISNUMBER(I96)),"خطأ وحدة",IF(OR(J96&lt;0,J96&gt;100),"خطأ هدر","صالح")))))</x:f>
        <x:v>صالح</x:v>
      </x:c>
    </x:row>
    <x:row r="97">
      <x:c r="A97" s="79" t="str">
        <x:v>بحاجة مراجعة</x:v>
      </x:c>
      <x:c r="B97" s="80" t="str">
        <x:v>آيس موكا</x:v>
      </x:c>
      <x:c r="C97" s="87" t="str">
        <x:f>IFERROR(VLOOKUP(B97,'مراجع الوصفات'!$A$2:$D$79,2,FALSE),"")</x:f>
      </x:c>
      <x:c r="D97" s="80" t="str">
        <x:v>ثلج</x:v>
      </x:c>
      <x:c r="E97" s="87" t="str">
        <x:f>IFERROR(VLOOKUP(D97,'مراجع الوصفات'!$F$2:$I$253,2,FALSE),"")</x:f>
        <x:v>DRK-ICE</x:v>
      </x:c>
      <x:c r="F97" s="83" t="n">
        <x:v>150</x:v>
      </x:c>
      <x:c r="G97" s="80" t="str">
        <x:v>غ</x:v>
      </x:c>
      <x:c r="H97" s="87" t="str">
        <x:f>IFERROR(VLOOKUP(D97,'مراجع الوصفات'!$F$2:$I$253,3,FALSE),"")</x:f>
        <x:v>كغ</x:v>
      </x:c>
      <x:c r="I97" s="89" t="n">
        <x:f>IF(OR(F97="",G97="",H97=""),"",IF(G97=H97,F97,IF(AND(G97="غ",H97="كغ"),F97/1000,IF(AND(G97="كغ",H97="غ"),F97*1000,IF(AND(G97="مل",H97="لتر"),F97/1000,IF(AND(G97="لتر",H97="مل"),F97*1000,"خطأ وحدة"))))))</x:f>
        <x:v>0.15</x:v>
      </x:c>
      <x:c r="J97" s="85" t="n">
        <x:v>0</x:v>
      </x:c>
      <x:c r="K97" s="80" t="str">
        <x:v>نعم</x:v>
      </x:c>
      <x:c r="L97" s="91" t="n">
        <x:f>IFERROR(VLOOKUP(D97,'مراجع الوصفات'!$F$2:$I$253,4,FALSE),"")</x:f>
        <x:v>4000</x:v>
      </x:c>
      <x:c r="M97" s="91" t="n">
        <x:f>IF(OR(I97="",NOT(ISNUMBER(I97)),L97=""),"",I97*L97*(1+J97/100))</x:f>
        <x:v>600</x:v>
      </x:c>
      <x:c r="N97" s="80" t="str"/>
      <x:c r="O97" s="93" t="str">
        <x:f>IF(AND(B97="",D97="",F97=""),"",IF(A97="تجاهل","تجاهل",IF(OR(B97="",D97="",F97="",G97="",H97=""),"ناقص",IF(NOT(ISNUMBER(I97)),"خطأ وحدة",IF(OR(J97&lt;0,J97&gt;100),"خطأ هدر","صالح")))))</x:f>
        <x:v>صالح</x:v>
      </x:c>
    </x:row>
    <x:row r="98">
      <x:c r="A98" s="79" t="str">
        <x:v>بحاجة مراجعة</x:v>
      </x:c>
      <x:c r="B98" s="80" t="str">
        <x:v>كركديه ساخن</x:v>
      </x:c>
      <x:c r="C98" s="87" t="str">
        <x:f>IFERROR(VLOOKUP(B98,'مراجع الوصفات'!$A$2:$D$79,2,FALSE),"")</x:f>
      </x:c>
      <x:c r="D98" s="80" t="str">
        <x:v>كركديه مجفف</x:v>
      </x:c>
      <x:c r="E98" s="87" t="str">
        <x:f>IFERROR(VLOOKUP(D98,'مراجع الوصفات'!$F$2:$I$253,2,FALSE),"")</x:f>
        <x:v>ING-HERB-HIBISCUS</x:v>
      </x:c>
      <x:c r="F98" s="83" t="n">
        <x:v>5</x:v>
      </x:c>
      <x:c r="G98" s="80" t="str">
        <x:v>غ</x:v>
      </x:c>
      <x:c r="H98" s="87" t="str">
        <x:f>IFERROR(VLOOKUP(D98,'مراجع الوصفات'!$F$2:$I$253,3,FALSE),"")</x:f>
        <x:v>كغ</x:v>
      </x:c>
      <x:c r="I98" s="89" t="n">
        <x:f>IF(OR(F98="",G98="",H98=""),"",IF(G98=H98,F98,IF(AND(G98="غ",H98="كغ"),F98/1000,IF(AND(G98="كغ",H98="غ"),F98*1000,IF(AND(G98="مل",H98="لتر"),F98/1000,IF(AND(G98="لتر",H98="مل"),F98*1000,"خطأ وحدة"))))))</x:f>
        <x:v>0.005</x:v>
      </x:c>
      <x:c r="J98" s="85" t="n">
        <x:v>0</x:v>
      </x:c>
      <x:c r="K98" s="80" t="str">
        <x:v>نعم</x:v>
      </x:c>
      <x:c r="L98" s="91" t="str">
        <x:f>IFERROR(VLOOKUP(D98,'مراجع الوصفات'!$F$2:$I$253,4,FALSE),"")</x:f>
      </x:c>
      <x:c r="M98" s="91" t="str">
        <x:f>IF(OR(I98="",NOT(ISNUMBER(I98)),L98=""),"",I98*L98*(1+J98/100))</x:f>
      </x:c>
      <x:c r="N98" s="80" t="str"/>
      <x:c r="O98" s="93" t="str">
        <x:f>IF(AND(B98="",D98="",F98=""),"",IF(A98="تجاهل","تجاهل",IF(OR(B98="",D98="",F98="",G98="",H98=""),"ناقص",IF(NOT(ISNUMBER(I98)),"خطأ وحدة",IF(OR(J98&lt;0,J98&gt;100),"خطأ هدر","صالح")))))</x:f>
        <x:v>صالح</x:v>
      </x:c>
    </x:row>
    <x:row r="99">
      <x:c r="A99" s="79" t="str">
        <x:v>بحاجة مراجعة</x:v>
      </x:c>
      <x:c r="B99" s="80" t="str">
        <x:v>شاي هندي ساخن</x:v>
      </x:c>
      <x:c r="C99" s="87" t="str">
        <x:f>IFERROR(VLOOKUP(B99,'مراجع الوصفات'!$A$2:$D$79,2,FALSE),"")</x:f>
      </x:c>
      <x:c r="D99" s="80" t="str">
        <x:v>شاي هندي / ماسالا</x:v>
      </x:c>
      <x:c r="E99" s="87" t="str">
        <x:f>IFERROR(VLOOKUP(D99,'مراجع الوصفات'!$F$2:$I$253,2,FALSE),"")</x:f>
        <x:v>DRK-TEA-MASALA</x:v>
      </x:c>
      <x:c r="F99" s="83" t="n">
        <x:v>8</x:v>
      </x:c>
      <x:c r="G99" s="80" t="str">
        <x:v>غ</x:v>
      </x:c>
      <x:c r="H99" s="87" t="str">
        <x:f>IFERROR(VLOOKUP(D99,'مراجع الوصفات'!$F$2:$I$253,3,FALSE),"")</x:f>
        <x:v>كغ</x:v>
      </x:c>
      <x:c r="I99" s="89" t="n">
        <x:f>IF(OR(F99="",G99="",H99=""),"",IF(G99=H99,F99,IF(AND(G99="غ",H99="كغ"),F99/1000,IF(AND(G99="كغ",H99="غ"),F99*1000,IF(AND(G99="مل",H99="لتر"),F99/1000,IF(AND(G99="لتر",H99="مل"),F99*1000,"خطأ وحدة"))))))</x:f>
        <x:v>0.008</x:v>
      </x:c>
      <x:c r="J99" s="85" t="n">
        <x:v>0</x:v>
      </x:c>
      <x:c r="K99" s="80" t="str">
        <x:v>نعم</x:v>
      </x:c>
      <x:c r="L99" s="91" t="str">
        <x:f>IFERROR(VLOOKUP(D99,'مراجع الوصفات'!$F$2:$I$253,4,FALSE),"")</x:f>
      </x:c>
      <x:c r="M99" s="91" t="str">
        <x:f>IF(OR(I99="",NOT(ISNUMBER(I99)),L99=""),"",I99*L99*(1+J99/100))</x:f>
      </x:c>
      <x:c r="N99" s="80" t="str"/>
      <x:c r="O99" s="93" t="str">
        <x:f>IF(AND(B99="",D99="",F99=""),"",IF(A99="تجاهل","تجاهل",IF(OR(B99="",D99="",F99="",G99="",H99=""),"ناقص",IF(NOT(ISNUMBER(I99)),"خطأ وحدة",IF(OR(J99&lt;0,J99&gt;100),"خطأ هدر","صالح")))))</x:f>
        <x:v>صالح</x:v>
      </x:c>
    </x:row>
    <x:row r="100">
      <x:c r="A100" s="79" t="str">
        <x:v>بحاجة مراجعة</x:v>
      </x:c>
      <x:c r="B100" s="80" t="str">
        <x:v>شاي هندي ساخن</x:v>
      </x:c>
      <x:c r="C100" s="87" t="str">
        <x:f>IFERROR(VLOOKUP(B100,'مراجع الوصفات'!$A$2:$D$79,2,FALSE),"")</x:f>
      </x:c>
      <x:c r="D100" s="80" t="str">
        <x:v>حليب</x:v>
      </x:c>
      <x:c r="E100" s="87" t="str">
        <x:f>IFERROR(VLOOKUP(D100,'مراجع الوصفات'!$F$2:$I$253,2,FALSE),"")</x:f>
        <x:v>ING-DAIRY-MILK</x:v>
      </x:c>
      <x:c r="F100" s="83" t="n">
        <x:v>200</x:v>
      </x:c>
      <x:c r="G100" s="80" t="str">
        <x:v>مل</x:v>
      </x:c>
      <x:c r="H100" s="87" t="str">
        <x:f>IFERROR(VLOOKUP(D100,'مراجع الوصفات'!$F$2:$I$253,3,FALSE),"")</x:f>
        <x:v>لتر</x:v>
      </x:c>
      <x:c r="I100" s="89" t="n">
        <x:f>IF(OR(F100="",G100="",H100=""),"",IF(G100=H100,F100,IF(AND(G100="غ",H100="كغ"),F100/1000,IF(AND(G100="كغ",H100="غ"),F100*1000,IF(AND(G100="مل",H100="لتر"),F100/1000,IF(AND(G100="لتر",H100="مل"),F100*1000,"خطأ وحدة"))))))</x:f>
        <x:v>0.2</x:v>
      </x:c>
      <x:c r="J100" s="85" t="n">
        <x:v>0</x:v>
      </x:c>
      <x:c r="K100" s="80" t="str">
        <x:v>نعم</x:v>
      </x:c>
      <x:c r="L100" s="91" t="n">
        <x:f>IFERROR(VLOOKUP(D100,'مراجع الوصفات'!$F$2:$I$253,4,FALSE),"")</x:f>
        <x:v>15000</x:v>
      </x:c>
      <x:c r="M100" s="91" t="n">
        <x:f>IF(OR(I100="",NOT(ISNUMBER(I100)),L100=""),"",I100*L100*(1+J100/100))</x:f>
        <x:v>3000</x:v>
      </x:c>
      <x:c r="N100" s="80" t="str"/>
      <x:c r="O100" s="93" t="str">
        <x:f>IF(AND(B100="",D100="",F100=""),"",IF(A100="تجاهل","تجاهل",IF(OR(B100="",D100="",F100="",G100="",H100=""),"ناقص",IF(NOT(ISNUMBER(I100)),"خطأ وحدة",IF(OR(J100&lt;0,J100&gt;100),"خطأ هدر","صالح")))))</x:f>
        <x:v>صالح</x:v>
      </x:c>
    </x:row>
    <x:row r="101">
      <x:c r="A101" s="79" t="str">
        <x:v>بحاجة مراجعة</x:v>
      </x:c>
      <x:c r="B101" s="80" t="str">
        <x:v>تمر هندي بارد</x:v>
      </x:c>
      <x:c r="C101" s="87" t="str">
        <x:f>IFERROR(VLOOKUP(B101,'مراجع الوصفات'!$A$2:$D$79,2,FALSE),"")</x:f>
      </x:c>
      <x:c r="D101" s="80" t="str">
        <x:v>تمر هندي مركز</x:v>
      </x:c>
      <x:c r="E101" s="87" t="str">
        <x:f>IFERROR(VLOOKUP(D101,'مراجع الوصفات'!$F$2:$I$253,2,FALSE),"")</x:f>
        <x:v>ING-FRT-TAMARIND</x:v>
      </x:c>
      <x:c r="F101" s="83" t="n">
        <x:v>40</x:v>
      </x:c>
      <x:c r="G101" s="80" t="str">
        <x:v>غ</x:v>
      </x:c>
      <x:c r="H101" s="87" t="str">
        <x:f>IFERROR(VLOOKUP(D101,'مراجع الوصفات'!$F$2:$I$253,3,FALSE),"")</x:f>
        <x:v>كغ</x:v>
      </x:c>
      <x:c r="I101" s="89" t="n">
        <x:f>IF(OR(F101="",G101="",H101=""),"",IF(G101=H101,F101,IF(AND(G101="غ",H101="كغ"),F101/1000,IF(AND(G101="كغ",H101="غ"),F101*1000,IF(AND(G101="مل",H101="لتر"),F101/1000,IF(AND(G101="لتر",H101="مل"),F101*1000,"خطأ وحدة"))))))</x:f>
        <x:v>0.04</x:v>
      </x:c>
      <x:c r="J101" s="85" t="n">
        <x:v>0</x:v>
      </x:c>
      <x:c r="K101" s="80" t="str">
        <x:v>نعم</x:v>
      </x:c>
      <x:c r="L101" s="91" t="str">
        <x:f>IFERROR(VLOOKUP(D101,'مراجع الوصفات'!$F$2:$I$253,4,FALSE),"")</x:f>
      </x:c>
      <x:c r="M101" s="91" t="str">
        <x:f>IF(OR(I101="",NOT(ISNUMBER(I101)),L101=""),"",I101*L101*(1+J101/100))</x:f>
      </x:c>
      <x:c r="N101" s="80" t="str"/>
      <x:c r="O101" s="93" t="str">
        <x:f>IF(AND(B101="",D101="",F101=""),"",IF(A101="تجاهل","تجاهل",IF(OR(B101="",D101="",F101="",G101="",H101=""),"ناقص",IF(NOT(ISNUMBER(I101)),"خطأ وحدة",IF(OR(J101&lt;0,J101&gt;100),"خطأ هدر","صالح")))))</x:f>
        <x:v>صالح</x:v>
      </x:c>
    </x:row>
    <x:row r="102">
      <x:c r="A102" s="79" t="str">
        <x:v>بحاجة مراجعة</x:v>
      </x:c>
      <x:c r="B102" s="80" t="str">
        <x:v>تمر هندي بارد</x:v>
      </x:c>
      <x:c r="C102" s="87" t="str">
        <x:f>IFERROR(VLOOKUP(B102,'مراجع الوصفات'!$A$2:$D$79,2,FALSE),"")</x:f>
      </x:c>
      <x:c r="D102" s="80" t="str">
        <x:v>سكر</x:v>
      </x:c>
      <x:c r="E102" s="87" t="str">
        <x:f>IFERROR(VLOOKUP(D102,'مراجع الوصفات'!$F$2:$I$253,2,FALSE),"")</x:f>
        <x:v>ING-SWEET-SUGAR</x:v>
      </x:c>
      <x:c r="F102" s="83" t="n">
        <x:v>20</x:v>
      </x:c>
      <x:c r="G102" s="80" t="str">
        <x:v>غ</x:v>
      </x:c>
      <x:c r="H102" s="87" t="str">
        <x:f>IFERROR(VLOOKUP(D102,'مراجع الوصفات'!$F$2:$I$253,3,FALSE),"")</x:f>
        <x:v>كغ</x:v>
      </x:c>
      <x:c r="I102" s="89" t="n">
        <x:f>IF(OR(F102="",G102="",H102=""),"",IF(G102=H102,F102,IF(AND(G102="غ",H102="كغ"),F102/1000,IF(AND(G102="كغ",H102="غ"),F102*1000,IF(AND(G102="مل",H102="لتر"),F102/1000,IF(AND(G102="لتر",H102="مل"),F102*1000,"خطأ وحدة"))))))</x:f>
        <x:v>0.02</x:v>
      </x:c>
      <x:c r="J102" s="85" t="n">
        <x:v>0</x:v>
      </x:c>
      <x:c r="K102" s="80" t="str">
        <x:v>نعم</x:v>
      </x:c>
      <x:c r="L102" s="91" t="n">
        <x:f>IFERROR(VLOOKUP(D102,'مراجع الوصفات'!$F$2:$I$253,4,FALSE),"")</x:f>
        <x:v>10000</x:v>
      </x:c>
      <x:c r="M102" s="91" t="n">
        <x:f>IF(OR(I102="",NOT(ISNUMBER(I102)),L102=""),"",I102*L102*(1+J102/100))</x:f>
        <x:v>200</x:v>
      </x:c>
      <x:c r="N102" s="80" t="str"/>
      <x:c r="O102" s="93" t="str">
        <x:f>IF(AND(B102="",D102="",F102=""),"",IF(A102="تجاهل","تجاهل",IF(OR(B102="",D102="",F102="",G102="",H102=""),"ناقص",IF(NOT(ISNUMBER(I102)),"خطأ وحدة",IF(OR(J102&lt;0,J102&gt;100),"خطأ هدر","صالح")))))</x:f>
        <x:v>صالح</x:v>
      </x:c>
    </x:row>
    <x:row r="103">
      <x:c r="A103" s="79" t="str">
        <x:v>بحاجة مراجعة</x:v>
      </x:c>
      <x:c r="B103" s="80" t="str">
        <x:v>تمر هندي بارد</x:v>
      </x:c>
      <x:c r="C103" s="87" t="str">
        <x:f>IFERROR(VLOOKUP(B103,'مراجع الوصفات'!$A$2:$D$79,2,FALSE),"")</x:f>
      </x:c>
      <x:c r="D103" s="80" t="str">
        <x:v>ثلج</x:v>
      </x:c>
      <x:c r="E103" s="87" t="str">
        <x:f>IFERROR(VLOOKUP(D103,'مراجع الوصفات'!$F$2:$I$253,2,FALSE),"")</x:f>
        <x:v>DRK-ICE</x:v>
      </x:c>
      <x:c r="F103" s="83" t="n">
        <x:v>150</x:v>
      </x:c>
      <x:c r="G103" s="80" t="str">
        <x:v>غ</x:v>
      </x:c>
      <x:c r="H103" s="87" t="str">
        <x:f>IFERROR(VLOOKUP(D103,'مراجع الوصفات'!$F$2:$I$253,3,FALSE),"")</x:f>
        <x:v>كغ</x:v>
      </x:c>
      <x:c r="I103" s="89" t="n">
        <x:f>IF(OR(F103="",G103="",H103=""),"",IF(G103=H103,F103,IF(AND(G103="غ",H103="كغ"),F103/1000,IF(AND(G103="كغ",H103="غ"),F103*1000,IF(AND(G103="مل",H103="لتر"),F103/1000,IF(AND(G103="لتر",H103="مل"),F103*1000,"خطأ وحدة"))))))</x:f>
        <x:v>0.15</x:v>
      </x:c>
      <x:c r="J103" s="85" t="n">
        <x:v>0</x:v>
      </x:c>
      <x:c r="K103" s="80" t="str">
        <x:v>نعم</x:v>
      </x:c>
      <x:c r="L103" s="91" t="n">
        <x:f>IFERROR(VLOOKUP(D103,'مراجع الوصفات'!$F$2:$I$253,4,FALSE),"")</x:f>
        <x:v>4000</x:v>
      </x:c>
      <x:c r="M103" s="91" t="n">
        <x:f>IF(OR(I103="",NOT(ISNUMBER(I103)),L103=""),"",I103*L103*(1+J103/100))</x:f>
        <x:v>600</x:v>
      </x:c>
      <x:c r="N103" s="80" t="str"/>
      <x:c r="O103" s="93" t="str">
        <x:f>IF(AND(B103="",D103="",F103=""),"",IF(A103="تجاهل","تجاهل",IF(OR(B103="",D103="",F103="",G103="",H103=""),"ناقص",IF(NOT(ISNUMBER(I103)),"خطأ وحدة",IF(OR(J103&lt;0,J103&gt;100),"خطأ هدر","صالح")))))</x:f>
        <x:v>صالح</x:v>
      </x:c>
    </x:row>
    <x:row r="104">
      <x:c r="A104" s="79" t="str">
        <x:v>بحاجة مراجعة</x:v>
      </x:c>
      <x:c r="B104" s="80" t="str">
        <x:v>عصير بطيخ</x:v>
      </x:c>
      <x:c r="C104" s="87" t="str">
        <x:f>IFERROR(VLOOKUP(B104,'مراجع الوصفات'!$A$2:$D$79,2,FALSE),"")</x:f>
      </x:c>
      <x:c r="D104" s="80" t="str">
        <x:v>بطيخ أحمر</x:v>
      </x:c>
      <x:c r="E104" s="87" t="str">
        <x:f>IFERROR(VLOOKUP(D104,'مراجع الوصفات'!$F$2:$I$253,2,FALSE),"")</x:f>
        <x:v>ING-FRT-WATERMELON</x:v>
      </x:c>
      <x:c r="F104" s="83" t="n">
        <x:v>300</x:v>
      </x:c>
      <x:c r="G104" s="80" t="str">
        <x:v>غ</x:v>
      </x:c>
      <x:c r="H104" s="87" t="str">
        <x:f>IFERROR(VLOOKUP(D104,'مراجع الوصفات'!$F$2:$I$253,3,FALSE),"")</x:f>
        <x:v>كغ</x:v>
      </x:c>
      <x:c r="I104" s="89" t="n">
        <x:f>IF(OR(F104="",G104="",H104=""),"",IF(G104=H104,F104,IF(AND(G104="غ",H104="كغ"),F104/1000,IF(AND(G104="كغ",H104="غ"),F104*1000,IF(AND(G104="مل",H104="لتر"),F104/1000,IF(AND(G104="لتر",H104="مل"),F104*1000,"خطأ وحدة"))))))</x:f>
        <x:v>0.3</x:v>
      </x:c>
      <x:c r="J104" s="85" t="n">
        <x:v>0</x:v>
      </x:c>
      <x:c r="K104" s="80" t="str">
        <x:v>نعم</x:v>
      </x:c>
      <x:c r="L104" s="91" t="str">
        <x:f>IFERROR(VLOOKUP(D104,'مراجع الوصفات'!$F$2:$I$253,4,FALSE),"")</x:f>
      </x:c>
      <x:c r="M104" s="91" t="str">
        <x:f>IF(OR(I104="",NOT(ISNUMBER(I104)),L104=""),"",I104*L104*(1+J104/100))</x:f>
      </x:c>
      <x:c r="N104" s="80" t="str"/>
      <x:c r="O104" s="93" t="str">
        <x:f>IF(AND(B104="",D104="",F104=""),"",IF(A104="تجاهل","تجاهل",IF(OR(B104="",D104="",F104="",G104="",H104=""),"ناقص",IF(NOT(ISNUMBER(I104)),"خطأ وحدة",IF(OR(J104&lt;0,J104&gt;100),"خطأ هدر","صالح")))))</x:f>
        <x:v>صالح</x:v>
      </x:c>
    </x:row>
    <x:row r="105">
      <x:c r="A105" s="79" t="str">
        <x:v>بحاجة مراجعة</x:v>
      </x:c>
      <x:c r="B105" s="80" t="str">
        <x:v>عصير بطيخ</x:v>
      </x:c>
      <x:c r="C105" s="87" t="str">
        <x:f>IFERROR(VLOOKUP(B105,'مراجع الوصفات'!$A$2:$D$79,2,FALSE),"")</x:f>
      </x:c>
      <x:c r="D105" s="80" t="str">
        <x:v>ثلج</x:v>
      </x:c>
      <x:c r="E105" s="87" t="str">
        <x:f>IFERROR(VLOOKUP(D105,'مراجع الوصفات'!$F$2:$I$253,2,FALSE),"")</x:f>
        <x:v>DRK-ICE</x:v>
      </x:c>
      <x:c r="F105" s="83" t="n">
        <x:v>100</x:v>
      </x:c>
      <x:c r="G105" s="80" t="str">
        <x:v>غ</x:v>
      </x:c>
      <x:c r="H105" s="87" t="str">
        <x:f>IFERROR(VLOOKUP(D105,'مراجع الوصفات'!$F$2:$I$253,3,FALSE),"")</x:f>
        <x:v>كغ</x:v>
      </x:c>
      <x:c r="I105" s="89" t="n">
        <x:f>IF(OR(F105="",G105="",H105=""),"",IF(G105=H105,F105,IF(AND(G105="غ",H105="كغ"),F105/1000,IF(AND(G105="كغ",H105="غ"),F105*1000,IF(AND(G105="مل",H105="لتر"),F105/1000,IF(AND(G105="لتر",H105="مل"),F105*1000,"خطأ وحدة"))))))</x:f>
        <x:v>0.1</x:v>
      </x:c>
      <x:c r="J105" s="85" t="n">
        <x:v>0</x:v>
      </x:c>
      <x:c r="K105" s="80" t="str">
        <x:v>نعم</x:v>
      </x:c>
      <x:c r="L105" s="91" t="n">
        <x:f>IFERROR(VLOOKUP(D105,'مراجع الوصفات'!$F$2:$I$253,4,FALSE),"")</x:f>
        <x:v>4000</x:v>
      </x:c>
      <x:c r="M105" s="91" t="n">
        <x:f>IF(OR(I105="",NOT(ISNUMBER(I105)),L105=""),"",I105*L105*(1+J105/100))</x:f>
        <x:v>400</x:v>
      </x:c>
      <x:c r="N105" s="80" t="str"/>
      <x:c r="O105" s="93" t="str">
        <x:f>IF(AND(B105="",D105="",F105=""),"",IF(A105="تجاهل","تجاهل",IF(OR(B105="",D105="",F105="",G105="",H105=""),"ناقص",IF(NOT(ISNUMBER(I105)),"خطأ وحدة",IF(OR(J105&lt;0,J105&gt;100),"خطأ هدر","صالح")))))</x:f>
        <x:v>صالح</x:v>
      </x:c>
    </x:row>
    <x:row r="106">
      <x:c r="A106" s="79" t="str">
        <x:v>بحاجة مراجعة</x:v>
      </x:c>
      <x:c r="B106" s="80" t="str">
        <x:v>كمون وليمون</x:v>
      </x:c>
      <x:c r="C106" s="87" t="str">
        <x:f>IFERROR(VLOOKUP(B106,'مراجع الوصفات'!$A$2:$D$79,2,FALSE),"")</x:f>
      </x:c>
      <x:c r="D106" s="80" t="str">
        <x:v>كمون</x:v>
      </x:c>
      <x:c r="E106" s="87" t="str">
        <x:f>IFERROR(VLOOKUP(D106,'مراجع الوصفات'!$F$2:$I$253,2,FALSE),"")</x:f>
        <x:v>ING-SPICE-CUMIN</x:v>
      </x:c>
      <x:c r="F106" s="83" t="n">
        <x:v>3</x:v>
      </x:c>
      <x:c r="G106" s="80" t="str">
        <x:v>غ</x:v>
      </x:c>
      <x:c r="H106" s="87" t="str">
        <x:f>IFERROR(VLOOKUP(D106,'مراجع الوصفات'!$F$2:$I$253,3,FALSE),"")</x:f>
        <x:v>كغ</x:v>
      </x:c>
      <x:c r="I106" s="89" t="n">
        <x:f>IF(OR(F106="",G106="",H106=""),"",IF(G106=H106,F106,IF(AND(G106="غ",H106="كغ"),F106/1000,IF(AND(G106="كغ",H106="غ"),F106*1000,IF(AND(G106="مل",H106="لتر"),F106/1000,IF(AND(G106="لتر",H106="مل"),F106*1000,"خطأ وحدة"))))))</x:f>
        <x:v>0.003</x:v>
      </x:c>
      <x:c r="J106" s="85" t="n">
        <x:v>0</x:v>
      </x:c>
      <x:c r="K106" s="80" t="str">
        <x:v>نعم</x:v>
      </x:c>
      <x:c r="L106" s="91" t="str">
        <x:f>IFERROR(VLOOKUP(D106,'مراجع الوصفات'!$F$2:$I$253,4,FALSE),"")</x:f>
      </x:c>
      <x:c r="M106" s="91" t="str">
        <x:f>IF(OR(I106="",NOT(ISNUMBER(I106)),L106=""),"",I106*L106*(1+J106/100))</x:f>
      </x:c>
      <x:c r="N106" s="80" t="str"/>
      <x:c r="O106" s="93" t="str">
        <x:f>IF(AND(B106="",D106="",F106=""),"",IF(A106="تجاهل","تجاهل",IF(OR(B106="",D106="",F106="",G106="",H106=""),"ناقص",IF(NOT(ISNUMBER(I106)),"خطأ وحدة",IF(OR(J106&lt;0,J106&gt;100),"خطأ هدر","صالح")))))</x:f>
        <x:v>صالح</x:v>
      </x:c>
    </x:row>
    <x:row r="107">
      <x:c r="A107" s="79" t="str">
        <x:v>بحاجة مراجعة</x:v>
      </x:c>
      <x:c r="B107" s="80" t="str">
        <x:v>كمون وليمون</x:v>
      </x:c>
      <x:c r="C107" s="87" t="str">
        <x:f>IFERROR(VLOOKUP(B107,'مراجع الوصفات'!$A$2:$D$79,2,FALSE),"")</x:f>
      </x:c>
      <x:c r="D107" s="80" t="str">
        <x:v>ليمون</x:v>
      </x:c>
      <x:c r="E107" s="87" t="str">
        <x:f>IFERROR(VLOOKUP(D107,'مراجع الوصفات'!$F$2:$I$253,2,FALSE),"")</x:f>
        <x:v>ING-FRT-LEMON</x:v>
      </x:c>
      <x:c r="F107" s="83" t="n">
        <x:v>40</x:v>
      </x:c>
      <x:c r="G107" s="80" t="str">
        <x:v>غ</x:v>
      </x:c>
      <x:c r="H107" s="87" t="str">
        <x:f>IFERROR(VLOOKUP(D107,'مراجع الوصفات'!$F$2:$I$253,3,FALSE),"")</x:f>
        <x:v>كغ</x:v>
      </x:c>
      <x:c r="I107" s="89" t="n">
        <x:f>IF(OR(F107="",G107="",H107=""),"",IF(G107=H107,F107,IF(AND(G107="غ",H107="كغ"),F107/1000,IF(AND(G107="كغ",H107="غ"),F107*1000,IF(AND(G107="مل",H107="لتر"),F107/1000,IF(AND(G107="لتر",H107="مل"),F107*1000,"خطأ وحدة"))))))</x:f>
        <x:v>0.04</x:v>
      </x:c>
      <x:c r="J107" s="85" t="n">
        <x:v>0</x:v>
      </x:c>
      <x:c r="K107" s="80" t="str">
        <x:v>نعم</x:v>
      </x:c>
      <x:c r="L107" s="91" t="n">
        <x:f>IFERROR(VLOOKUP(D107,'مراجع الوصفات'!$F$2:$I$253,4,FALSE),"")</x:f>
        <x:v>30000</x:v>
      </x:c>
      <x:c r="M107" s="91" t="n">
        <x:f>IF(OR(I107="",NOT(ISNUMBER(I107)),L107=""),"",I107*L107*(1+J107/100))</x:f>
        <x:v>1200</x:v>
      </x:c>
      <x:c r="N107" s="80" t="str"/>
      <x:c r="O107" s="93" t="str">
        <x:f>IF(AND(B107="",D107="",F107=""),"",IF(A107="تجاهل","تجاهل",IF(OR(B107="",D107="",F107="",G107="",H107=""),"ناقص",IF(NOT(ISNUMBER(I107)),"خطأ وحدة",IF(OR(J107&lt;0,J107&gt;100),"خطأ هدر","صالح")))))</x:f>
        <x:v>صالح</x:v>
      </x:c>
    </x:row>
    <x:row r="108">
      <x:c r="A108" s="79" t="str">
        <x:v>بحاجة مراجعة</x:v>
      </x:c>
      <x:c r="B108" s="80" t="str">
        <x:v>ميلك شيك</x:v>
      </x:c>
      <x:c r="C108" s="87" t="str">
        <x:f>IFERROR(VLOOKUP(B108,'مراجع الوصفات'!$A$2:$D$79,2,FALSE),"")</x:f>
      </x:c>
      <x:c r="D108" s="80" t="str">
        <x:v>حليب</x:v>
      </x:c>
      <x:c r="E108" s="87" t="str">
        <x:f>IFERROR(VLOOKUP(D108,'مراجع الوصفات'!$F$2:$I$253,2,FALSE),"")</x:f>
        <x:v>ING-DAIRY-MILK</x:v>
      </x:c>
      <x:c r="F108" s="83" t="n">
        <x:v>250</x:v>
      </x:c>
      <x:c r="G108" s="80" t="str">
        <x:v>مل</x:v>
      </x:c>
      <x:c r="H108" s="87" t="str">
        <x:f>IFERROR(VLOOKUP(D108,'مراجع الوصفات'!$F$2:$I$253,3,FALSE),"")</x:f>
        <x:v>لتر</x:v>
      </x:c>
      <x:c r="I108" s="89" t="n">
        <x:f>IF(OR(F108="",G108="",H108=""),"",IF(G108=H108,F108,IF(AND(G108="غ",H108="كغ"),F108/1000,IF(AND(G108="كغ",H108="غ"),F108*1000,IF(AND(G108="مل",H108="لتر"),F108/1000,IF(AND(G108="لتر",H108="مل"),F108*1000,"خطأ وحدة"))))))</x:f>
        <x:v>0.25</x:v>
      </x:c>
      <x:c r="J108" s="85" t="n">
        <x:v>0</x:v>
      </x:c>
      <x:c r="K108" s="80" t="str">
        <x:v>نعم</x:v>
      </x:c>
      <x:c r="L108" s="91" t="n">
        <x:f>IFERROR(VLOOKUP(D108,'مراجع الوصفات'!$F$2:$I$253,4,FALSE),"")</x:f>
        <x:v>15000</x:v>
      </x:c>
      <x:c r="M108" s="91" t="n">
        <x:f>IF(OR(I108="",NOT(ISNUMBER(I108)),L108=""),"",I108*L108*(1+J108/100))</x:f>
        <x:v>3750</x:v>
      </x:c>
      <x:c r="N108" s="80" t="str"/>
      <x:c r="O108" s="93" t="str">
        <x:f>IF(AND(B108="",D108="",F108=""),"",IF(A108="تجاهل","تجاهل",IF(OR(B108="",D108="",F108="",G108="",H108=""),"ناقص",IF(NOT(ISNUMBER(I108)),"خطأ وحدة",IF(OR(J108&lt;0,J108&gt;100),"خطأ هدر","صالح")))))</x:f>
        <x:v>صالح</x:v>
      </x:c>
    </x:row>
    <x:row r="109">
      <x:c r="A109" s="79" t="str">
        <x:v>بحاجة مراجعة</x:v>
      </x:c>
      <x:c r="B109" s="80" t="str">
        <x:v>ميلك شيك</x:v>
      </x:c>
      <x:c r="C109" s="87" t="str">
        <x:f>IFERROR(VLOOKUP(B109,'مراجع الوصفات'!$A$2:$D$79,2,FALSE),"")</x:f>
      </x:c>
      <x:c r="D109" s="80" t="str">
        <x:v>آيس كريم فانيلا</x:v>
      </x:c>
      <x:c r="E109" s="87" t="str">
        <x:f>IFERROR(VLOOKUP(D109,'مراجع الوصفات'!$F$2:$I$253,2,FALSE),"")</x:f>
        <x:v>ING-DAIRY-ICECREAM-VAN</x:v>
      </x:c>
      <x:c r="F109" s="83" t="n">
        <x:v>120</x:v>
      </x:c>
      <x:c r="G109" s="80" t="str">
        <x:v>غ</x:v>
      </x:c>
      <x:c r="H109" s="87" t="str">
        <x:f>IFERROR(VLOOKUP(D109,'مراجع الوصفات'!$F$2:$I$253,3,FALSE),"")</x:f>
        <x:v>كغ</x:v>
      </x:c>
      <x:c r="I109" s="89" t="n">
        <x:f>IF(OR(F109="",G109="",H109=""),"",IF(G109=H109,F109,IF(AND(G109="غ",H109="كغ"),F109/1000,IF(AND(G109="كغ",H109="غ"),F109*1000,IF(AND(G109="مل",H109="لتر"),F109/1000,IF(AND(G109="لتر",H109="مل"),F109*1000,"خطأ وحدة"))))))</x:f>
        <x:v>0.12</x:v>
      </x:c>
      <x:c r="J109" s="85" t="n">
        <x:v>0</x:v>
      </x:c>
      <x:c r="K109" s="80" t="str">
        <x:v>نعم</x:v>
      </x:c>
      <x:c r="L109" s="91" t="str">
        <x:f>IFERROR(VLOOKUP(D109,'مراجع الوصفات'!$F$2:$I$253,4,FALSE),"")</x:f>
      </x:c>
      <x:c r="M109" s="91" t="str">
        <x:f>IF(OR(I109="",NOT(ISNUMBER(I109)),L109=""),"",I109*L109*(1+J109/100))</x:f>
      </x:c>
      <x:c r="N109" s="80" t="str"/>
      <x:c r="O109" s="93" t="str">
        <x:f>IF(AND(B109="",D109="",F109=""),"",IF(A109="تجاهل","تجاهل",IF(OR(B109="",D109="",F109="",G109="",H109=""),"ناقص",IF(NOT(ISNUMBER(I109)),"خطأ وحدة",IF(OR(J109&lt;0,J109&gt;100),"خطأ هدر","صالح")))))</x:f>
        <x:v>صالح</x:v>
      </x:c>
    </x:row>
    <x:row r="110">
      <x:c r="A110" s="79" t="str">
        <x:v>بحاجة مراجعة</x:v>
      </x:c>
      <x:c r="B110" s="80" t="str">
        <x:v>ميلك شيك</x:v>
      </x:c>
      <x:c r="C110" s="87" t="str">
        <x:f>IFERROR(VLOOKUP(B110,'مراجع الوصفات'!$A$2:$D$79,2,FALSE),"")</x:f>
      </x:c>
      <x:c r="D110" s="80" t="str">
        <x:v>سيروب فانيلا</x:v>
      </x:c>
      <x:c r="E110" s="87" t="str">
        <x:f>IFERROR(VLOOKUP(D110,'مراجع الوصفات'!$F$2:$I$253,2,FALSE),"")</x:f>
        <x:v>ING-SYRUP-VANILLA</x:v>
      </x:c>
      <x:c r="F110" s="83" t="n">
        <x:v>20</x:v>
      </x:c>
      <x:c r="G110" s="80" t="str">
        <x:v>مل</x:v>
      </x:c>
      <x:c r="H110" s="87" t="str">
        <x:f>IFERROR(VLOOKUP(D110,'مراجع الوصفات'!$F$2:$I$253,3,FALSE),"")</x:f>
        <x:v>لتر</x:v>
      </x:c>
      <x:c r="I110" s="89" t="n">
        <x:f>IF(OR(F110="",G110="",H110=""),"",IF(G110=H110,F110,IF(AND(G110="غ",H110="كغ"),F110/1000,IF(AND(G110="كغ",H110="غ"),F110*1000,IF(AND(G110="مل",H110="لتر"),F110/1000,IF(AND(G110="لتر",H110="مل"),F110*1000,"خطأ وحدة"))))))</x:f>
        <x:v>0.02</x:v>
      </x:c>
      <x:c r="J110" s="85" t="n">
        <x:v>0</x:v>
      </x:c>
      <x:c r="K110" s="80" t="str">
        <x:v>نعم</x:v>
      </x:c>
      <x:c r="L110" s="91" t="str">
        <x:f>IFERROR(VLOOKUP(D110,'مراجع الوصفات'!$F$2:$I$253,4,FALSE),"")</x:f>
      </x:c>
      <x:c r="M110" s="91" t="str">
        <x:f>IF(OR(I110="",NOT(ISNUMBER(I110)),L110=""),"",I110*L110*(1+J110/100))</x:f>
      </x:c>
      <x:c r="N110" s="80" t="str"/>
      <x:c r="O110" s="93" t="str">
        <x:f>IF(AND(B110="",D110="",F110=""),"",IF(A110="تجاهل","تجاهل",IF(OR(B110="",D110="",F110="",G110="",H110=""),"ناقص",IF(NOT(ISNUMBER(I110)),"خطأ وحدة",IF(OR(J110&lt;0,J110&gt;100),"خطأ هدر","صالح")))))</x:f>
        <x:v>صالح</x:v>
      </x:c>
    </x:row>
    <x:row r="111">
      <x:c r="A111" s="79" t="str">
        <x:v>بحاجة مراجعة</x:v>
      </x:c>
      <x:c r="B111" s="80" t="str">
        <x:v>سموذي</x:v>
      </x:c>
      <x:c r="C111" s="87" t="str">
        <x:f>IFERROR(VLOOKUP(B111,'مراجع الوصفات'!$A$2:$D$79,2,FALSE),"")</x:f>
      </x:c>
      <x:c r="D111" s="80" t="str">
        <x:v>موز</x:v>
      </x:c>
      <x:c r="E111" s="87" t="str">
        <x:f>IFERROR(VLOOKUP(D111,'مراجع الوصفات'!$F$2:$I$253,2,FALSE),"")</x:f>
        <x:v>ING-FRT-BANANA</x:v>
      </x:c>
      <x:c r="F111" s="83" t="n">
        <x:v>150</x:v>
      </x:c>
      <x:c r="G111" s="80" t="str">
        <x:v>غ</x:v>
      </x:c>
      <x:c r="H111" s="87" t="str">
        <x:f>IFERROR(VLOOKUP(D111,'مراجع الوصفات'!$F$2:$I$253,3,FALSE),"")</x:f>
        <x:v>كغ</x:v>
      </x:c>
      <x:c r="I111" s="89" t="n">
        <x:f>IF(OR(F111="",G111="",H111=""),"",IF(G111=H111,F111,IF(AND(G111="غ",H111="كغ"),F111/1000,IF(AND(G111="كغ",H111="غ"),F111*1000,IF(AND(G111="مل",H111="لتر"),F111/1000,IF(AND(G111="لتر",H111="مل"),F111*1000,"خطأ وحدة"))))))</x:f>
        <x:v>0.15</x:v>
      </x:c>
      <x:c r="J111" s="85" t="n">
        <x:v>0</x:v>
      </x:c>
      <x:c r="K111" s="80" t="str">
        <x:v>نعم</x:v>
      </x:c>
      <x:c r="L111" s="91" t="str">
        <x:f>IFERROR(VLOOKUP(D111,'مراجع الوصفات'!$F$2:$I$253,4,FALSE),"")</x:f>
      </x:c>
      <x:c r="M111" s="91" t="str">
        <x:f>IF(OR(I111="",NOT(ISNUMBER(I111)),L111=""),"",I111*L111*(1+J111/100))</x:f>
      </x:c>
      <x:c r="N111" s="80" t="str">
        <x:v>وصفة مرجعية بالموز؛ غيّر الفاكهة حسب النكهة.</x:v>
      </x:c>
      <x:c r="O111" s="93" t="str">
        <x:f>IF(AND(B111="",D111="",F111=""),"",IF(A111="تجاهل","تجاهل",IF(OR(B111="",D111="",F111="",G111="",H111=""),"ناقص",IF(NOT(ISNUMBER(I111)),"خطأ وحدة",IF(OR(J111&lt;0,J111&gt;100),"خطأ هدر","صالح")))))</x:f>
        <x:v>صالح</x:v>
      </x:c>
    </x:row>
    <x:row r="112">
      <x:c r="A112" s="79" t="str">
        <x:v>بحاجة مراجعة</x:v>
      </x:c>
      <x:c r="B112" s="80" t="str">
        <x:v>سموذي</x:v>
      </x:c>
      <x:c r="C112" s="87" t="str">
        <x:f>IFERROR(VLOOKUP(B112,'مراجع الوصفات'!$A$2:$D$79,2,FALSE),"")</x:f>
      </x:c>
      <x:c r="D112" s="80" t="str">
        <x:v>لبن مبستر</x:v>
      </x:c>
      <x:c r="E112" s="87" t="str">
        <x:f>IFERROR(VLOOKUP(D112,'مراجع الوصفات'!$F$2:$I$253,2,FALSE),"")</x:f>
        <x:v>ING-DAIRY-YOGURT-PAST</x:v>
      </x:c>
      <x:c r="F112" s="83" t="n">
        <x:v>100</x:v>
      </x:c>
      <x:c r="G112" s="80" t="str">
        <x:v>غ</x:v>
      </x:c>
      <x:c r="H112" s="87" t="str">
        <x:f>IFERROR(VLOOKUP(D112,'مراجع الوصفات'!$F$2:$I$253,3,FALSE),"")</x:f>
        <x:v>كغ</x:v>
      </x:c>
      <x:c r="I112" s="89" t="n">
        <x:f>IF(OR(F112="",G112="",H112=""),"",IF(G112=H112,F112,IF(AND(G112="غ",H112="كغ"),F112/1000,IF(AND(G112="كغ",H112="غ"),F112*1000,IF(AND(G112="مل",H112="لتر"),F112/1000,IF(AND(G112="لتر",H112="مل"),F112*1000,"خطأ وحدة"))))))</x:f>
        <x:v>0.1</x:v>
      </x:c>
      <x:c r="J112" s="85" t="n">
        <x:v>0</x:v>
      </x:c>
      <x:c r="K112" s="80" t="str">
        <x:v>نعم</x:v>
      </x:c>
      <x:c r="L112" s="91" t="n">
        <x:f>IFERROR(VLOOKUP(D112,'مراجع الوصفات'!$F$2:$I$253,4,FALSE),"")</x:f>
        <x:v>15000</x:v>
      </x:c>
      <x:c r="M112" s="91" t="n">
        <x:f>IF(OR(I112="",NOT(ISNUMBER(I112)),L112=""),"",I112*L112*(1+J112/100))</x:f>
        <x:v>1500</x:v>
      </x:c>
      <x:c r="N112" s="80" t="str"/>
      <x:c r="O112" s="93" t="str">
        <x:f>IF(AND(B112="",D112="",F112=""),"",IF(A112="تجاهل","تجاهل",IF(OR(B112="",D112="",F112="",G112="",H112=""),"ناقص",IF(NOT(ISNUMBER(I112)),"خطأ وحدة",IF(OR(J112&lt;0,J112&gt;100),"خطأ هدر","صالح")))))</x:f>
        <x:v>صالح</x:v>
      </x:c>
    </x:row>
    <x:row r="113">
      <x:c r="A113" s="79" t="str">
        <x:v>بحاجة مراجعة</x:v>
      </x:c>
      <x:c r="B113" s="80" t="str">
        <x:v>سموذي</x:v>
      </x:c>
      <x:c r="C113" s="87" t="str">
        <x:f>IFERROR(VLOOKUP(B113,'مراجع الوصفات'!$A$2:$D$79,2,FALSE),"")</x:f>
      </x:c>
      <x:c r="D113" s="80" t="str">
        <x:v>ثلج</x:v>
      </x:c>
      <x:c r="E113" s="87" t="str">
        <x:f>IFERROR(VLOOKUP(D113,'مراجع الوصفات'!$F$2:$I$253,2,FALSE),"")</x:f>
        <x:v>DRK-ICE</x:v>
      </x:c>
      <x:c r="F113" s="83" t="n">
        <x:v>100</x:v>
      </x:c>
      <x:c r="G113" s="80" t="str">
        <x:v>غ</x:v>
      </x:c>
      <x:c r="H113" s="87" t="str">
        <x:f>IFERROR(VLOOKUP(D113,'مراجع الوصفات'!$F$2:$I$253,3,FALSE),"")</x:f>
        <x:v>كغ</x:v>
      </x:c>
      <x:c r="I113" s="89" t="n">
        <x:f>IF(OR(F113="",G113="",H113=""),"",IF(G113=H113,F113,IF(AND(G113="غ",H113="كغ"),F113/1000,IF(AND(G113="كغ",H113="غ"),F113*1000,IF(AND(G113="مل",H113="لتر"),F113/1000,IF(AND(G113="لتر",H113="مل"),F113*1000,"خطأ وحدة"))))))</x:f>
        <x:v>0.1</x:v>
      </x:c>
      <x:c r="J113" s="85" t="n">
        <x:v>0</x:v>
      </x:c>
      <x:c r="K113" s="80" t="str">
        <x:v>نعم</x:v>
      </x:c>
      <x:c r="L113" s="91" t="n">
        <x:f>IFERROR(VLOOKUP(D113,'مراجع الوصفات'!$F$2:$I$253,4,FALSE),"")</x:f>
        <x:v>4000</x:v>
      </x:c>
      <x:c r="M113" s="91" t="n">
        <x:f>IF(OR(I113="",NOT(ISNUMBER(I113)),L113=""),"",I113*L113*(1+J113/100))</x:f>
        <x:v>400</x:v>
      </x:c>
      <x:c r="N113" s="80" t="str"/>
      <x:c r="O113" s="93" t="str">
        <x:f>IF(AND(B113="",D113="",F113=""),"",IF(A113="تجاهل","تجاهل",IF(OR(B113="",D113="",F113="",G113="",H113=""),"ناقص",IF(NOT(ISNUMBER(I113)),"خطأ وحدة",IF(OR(J113&lt;0,J113&gt;100),"خطأ هدر","صالح")))))</x:f>
        <x:v>صالح</x:v>
      </x:c>
    </x:row>
    <x:row r="114">
      <x:c r="A114" s="79" t="str">
        <x:v>بحاجة مراجعة</x:v>
      </x:c>
      <x:c r="B114" s="80" t="str">
        <x:v>كوكتيل فودكا</x:v>
      </x:c>
      <x:c r="C114" s="87" t="str">
        <x:f>IFERROR(VLOOKUP(B114,'مراجع الوصفات'!$A$2:$D$79,2,FALSE),"")</x:f>
      </x:c>
      <x:c r="D114" s="80" t="str">
        <x:v>فودكا سميرنوف</x:v>
      </x:c>
      <x:c r="E114" s="87" t="str">
        <x:f>IFERROR(VLOOKUP(D114,'مراجع الوصفات'!$F$2:$I$253,2,FALSE),"")</x:f>
        <x:v>DRK-ALC-VODKA-SMIRNOFF</x:v>
      </x:c>
      <x:c r="F114" s="83" t="n">
        <x:v>50</x:v>
      </x:c>
      <x:c r="G114" s="80" t="str">
        <x:v>مل</x:v>
      </x:c>
      <x:c r="H114" s="87" t="str">
        <x:f>IFERROR(VLOOKUP(D114,'مراجع الوصفات'!$F$2:$I$253,3,FALSE),"")</x:f>
        <x:v>لتر</x:v>
      </x:c>
      <x:c r="I114" s="89" t="n">
        <x:f>IF(OR(F114="",G114="",H114=""),"",IF(G114=H114,F114,IF(AND(G114="غ",H114="كغ"),F114/1000,IF(AND(G114="كغ",H114="غ"),F114*1000,IF(AND(G114="مل",H114="لتر"),F114/1000,IF(AND(G114="لتر",H114="مل"),F114*1000,"خطأ وحدة"))))))</x:f>
        <x:v>0.05</x:v>
      </x:c>
      <x:c r="J114" s="85" t="n">
        <x:v>0</x:v>
      </x:c>
      <x:c r="K114" s="80" t="str">
        <x:v>نعم</x:v>
      </x:c>
      <x:c r="L114" s="91" t="n">
        <x:f>IFERROR(VLOOKUP(D114,'مراجع الوصفات'!$F$2:$I$253,4,FALSE),"")</x:f>
        <x:v>50000</x:v>
      </x:c>
      <x:c r="M114" s="91" t="n">
        <x:f>IF(OR(I114="",NOT(ISNUMBER(I114)),L114=""),"",I114*L114*(1+J114/100))</x:f>
        <x:v>2500</x:v>
      </x:c>
      <x:c r="N114" s="80" t="str"/>
      <x:c r="O114" s="93" t="str">
        <x:f>IF(AND(B114="",D114="",F114=""),"",IF(A114="تجاهل","تجاهل",IF(OR(B114="",D114="",F114="",G114="",H114=""),"ناقص",IF(NOT(ISNUMBER(I114)),"خطأ وحدة",IF(OR(J114&lt;0,J114&gt;100),"خطأ هدر","صالح")))))</x:f>
        <x:v>صالح</x:v>
      </x:c>
    </x:row>
    <x:row r="115">
      <x:c r="A115" s="79" t="str">
        <x:v>بحاجة مراجعة</x:v>
      </x:c>
      <x:c r="B115" s="80" t="str">
        <x:v>كوكتيل فودكا</x:v>
      </x:c>
      <x:c r="C115" s="87" t="str">
        <x:f>IFERROR(VLOOKUP(B115,'مراجع الوصفات'!$A$2:$D$79,2,FALSE),"")</x:f>
      </x:c>
      <x:c r="D115" s="80" t="str">
        <x:v>عصير تفاح</x:v>
      </x:c>
      <x:c r="E115" s="87" t="str">
        <x:f>IFERROR(VLOOKUP(D115,'مراجع الوصفات'!$F$2:$I$253,2,FALSE),"")</x:f>
        <x:v>DRK-JUICE-APPLE</x:v>
      </x:c>
      <x:c r="F115" s="83" t="n">
        <x:v>150</x:v>
      </x:c>
      <x:c r="G115" s="80" t="str">
        <x:v>مل</x:v>
      </x:c>
      <x:c r="H115" s="87" t="str">
        <x:f>IFERROR(VLOOKUP(D115,'مراجع الوصفات'!$F$2:$I$253,3,FALSE),"")</x:f>
        <x:v>لتر</x:v>
      </x:c>
      <x:c r="I115" s="89" t="n">
        <x:f>IF(OR(F115="",G115="",H115=""),"",IF(G115=H115,F115,IF(AND(G115="غ",H115="كغ"),F115/1000,IF(AND(G115="كغ",H115="غ"),F115*1000,IF(AND(G115="مل",H115="لتر"),F115/1000,IF(AND(G115="لتر",H115="مل"),F115*1000,"خطأ وحدة"))))))</x:f>
        <x:v>0.15</x:v>
      </x:c>
      <x:c r="J115" s="85" t="n">
        <x:v>0</x:v>
      </x:c>
      <x:c r="K115" s="80" t="str">
        <x:v>نعم</x:v>
      </x:c>
      <x:c r="L115" s="91" t="str">
        <x:f>IFERROR(VLOOKUP(D115,'مراجع الوصفات'!$F$2:$I$253,4,FALSE),"")</x:f>
      </x:c>
      <x:c r="M115" s="91" t="str">
        <x:f>IF(OR(I115="",NOT(ISNUMBER(I115)),L115=""),"",I115*L115*(1+J115/100))</x:f>
      </x:c>
      <x:c r="N115" s="80" t="str"/>
      <x:c r="O115" s="93" t="str">
        <x:f>IF(AND(B115="",D115="",F115=""),"",IF(A115="تجاهل","تجاهل",IF(OR(B115="",D115="",F115="",G115="",H115=""),"ناقص",IF(NOT(ISNUMBER(I115)),"خطأ وحدة",IF(OR(J115&lt;0,J115&gt;100),"خطأ هدر","صالح")))))</x:f>
        <x:v>صالح</x:v>
      </x:c>
    </x:row>
    <x:row r="116">
      <x:c r="A116" s="79" t="str">
        <x:v>بحاجة مراجعة</x:v>
      </x:c>
      <x:c r="B116" s="80" t="str">
        <x:v>كوكتيل فودكا</x:v>
      </x:c>
      <x:c r="C116" s="87" t="str">
        <x:f>IFERROR(VLOOKUP(B116,'مراجع الوصفات'!$A$2:$D$79,2,FALSE),"")</x:f>
      </x:c>
      <x:c r="D116" s="80" t="str">
        <x:v>ثلج</x:v>
      </x:c>
      <x:c r="E116" s="87" t="str">
        <x:f>IFERROR(VLOOKUP(D116,'مراجع الوصفات'!$F$2:$I$253,2,FALSE),"")</x:f>
        <x:v>DRK-ICE</x:v>
      </x:c>
      <x:c r="F116" s="83" t="n">
        <x:v>150</x:v>
      </x:c>
      <x:c r="G116" s="80" t="str">
        <x:v>غ</x:v>
      </x:c>
      <x:c r="H116" s="87" t="str">
        <x:f>IFERROR(VLOOKUP(D116,'مراجع الوصفات'!$F$2:$I$253,3,FALSE),"")</x:f>
        <x:v>كغ</x:v>
      </x:c>
      <x:c r="I116" s="89" t="n">
        <x:f>IF(OR(F116="",G116="",H116=""),"",IF(G116=H116,F116,IF(AND(G116="غ",H116="كغ"),F116/1000,IF(AND(G116="كغ",H116="غ"),F116*1000,IF(AND(G116="مل",H116="لتر"),F116/1000,IF(AND(G116="لتر",H116="مل"),F116*1000,"خطأ وحدة"))))))</x:f>
        <x:v>0.15</x:v>
      </x:c>
      <x:c r="J116" s="85" t="n">
        <x:v>0</x:v>
      </x:c>
      <x:c r="K116" s="80" t="str">
        <x:v>نعم</x:v>
      </x:c>
      <x:c r="L116" s="91" t="n">
        <x:f>IFERROR(VLOOKUP(D116,'مراجع الوصفات'!$F$2:$I$253,4,FALSE),"")</x:f>
        <x:v>4000</x:v>
      </x:c>
      <x:c r="M116" s="91" t="n">
        <x:f>IF(OR(I116="",NOT(ISNUMBER(I116)),L116=""),"",I116*L116*(1+J116/100))</x:f>
        <x:v>600</x:v>
      </x:c>
      <x:c r="N116" s="80" t="str"/>
      <x:c r="O116" s="93" t="str">
        <x:f>IF(AND(B116="",D116="",F116=""),"",IF(A116="تجاهل","تجاهل",IF(OR(B116="",D116="",F116="",G116="",H116=""),"ناقص",IF(NOT(ISNUMBER(I116)),"خطأ وحدة",IF(OR(J116&lt;0,J116&gt;100),"خطأ هدر","صالح")))))</x:f>
        <x:v>صالح</x:v>
      </x:c>
    </x:row>
    <x:row r="117">
      <x:c r="A117" s="79" t="str">
        <x:v>بحاجة مراجعة</x:v>
      </x:c>
      <x:c r="B117" s="80" t="str">
        <x:v>موهيتو</x:v>
      </x:c>
      <x:c r="C117" s="87" t="str">
        <x:f>IFERROR(VLOOKUP(B117,'مراجع الوصفات'!$A$2:$D$79,2,FALSE),"")</x:f>
      </x:c>
      <x:c r="D117" s="80" t="str">
        <x:v>روم أبيض</x:v>
      </x:c>
      <x:c r="E117" s="87" t="str">
        <x:f>IFERROR(VLOOKUP(D117,'مراجع الوصفات'!$F$2:$I$253,2,FALSE),"")</x:f>
        <x:v>DRK-ALC-RUM-WHITE</x:v>
      </x:c>
      <x:c r="F117" s="83" t="n">
        <x:v>50</x:v>
      </x:c>
      <x:c r="G117" s="80" t="str">
        <x:v>مل</x:v>
      </x:c>
      <x:c r="H117" s="87" t="str">
        <x:f>IFERROR(VLOOKUP(D117,'مراجع الوصفات'!$F$2:$I$253,3,FALSE),"")</x:f>
        <x:v>لتر</x:v>
      </x:c>
      <x:c r="I117" s="89" t="n">
        <x:f>IF(OR(F117="",G117="",H117=""),"",IF(G117=H117,F117,IF(AND(G117="غ",H117="كغ"),F117/1000,IF(AND(G117="كغ",H117="غ"),F117*1000,IF(AND(G117="مل",H117="لتر"),F117/1000,IF(AND(G117="لتر",H117="مل"),F117*1000,"خطأ وحدة"))))))</x:f>
        <x:v>0.05</x:v>
      </x:c>
      <x:c r="J117" s="85" t="n">
        <x:v>0</x:v>
      </x:c>
      <x:c r="K117" s="80" t="str">
        <x:v>نعم</x:v>
      </x:c>
      <x:c r="L117" s="91" t="str">
        <x:f>IFERROR(VLOOKUP(D117,'مراجع الوصفات'!$F$2:$I$253,4,FALSE),"")</x:f>
      </x:c>
      <x:c r="M117" s="91" t="str">
        <x:f>IF(OR(I117="",NOT(ISNUMBER(I117)),L117=""),"",I117*L117*(1+J117/100))</x:f>
      </x:c>
      <x:c r="N117" s="80" t="str"/>
      <x:c r="O117" s="93" t="str">
        <x:f>IF(AND(B117="",D117="",F117=""),"",IF(A117="تجاهل","تجاهل",IF(OR(B117="",D117="",F117="",G117="",H117=""),"ناقص",IF(NOT(ISNUMBER(I117)),"خطأ وحدة",IF(OR(J117&lt;0,J117&gt;100),"خطأ هدر","صالح")))))</x:f>
        <x:v>صالح</x:v>
      </x:c>
    </x:row>
    <x:row r="118">
      <x:c r="A118" s="79" t="str">
        <x:v>بحاجة مراجعة</x:v>
      </x:c>
      <x:c r="B118" s="80" t="str">
        <x:v>موهيتو</x:v>
      </x:c>
      <x:c r="C118" s="87" t="str">
        <x:f>IFERROR(VLOOKUP(B118,'مراجع الوصفات'!$A$2:$D$79,2,FALSE),"")</x:f>
      </x:c>
      <x:c r="D118" s="80" t="str">
        <x:v>ليمون</x:v>
      </x:c>
      <x:c r="E118" s="87" t="str">
        <x:f>IFERROR(VLOOKUP(D118,'مراجع الوصفات'!$F$2:$I$253,2,FALSE),"")</x:f>
        <x:v>ING-FRT-LEMON</x:v>
      </x:c>
      <x:c r="F118" s="83" t="n">
        <x:v>40</x:v>
      </x:c>
      <x:c r="G118" s="80" t="str">
        <x:v>غ</x:v>
      </x:c>
      <x:c r="H118" s="87" t="str">
        <x:f>IFERROR(VLOOKUP(D118,'مراجع الوصفات'!$F$2:$I$253,3,FALSE),"")</x:f>
        <x:v>كغ</x:v>
      </x:c>
      <x:c r="I118" s="89" t="n">
        <x:f>IF(OR(F118="",G118="",H118=""),"",IF(G118=H118,F118,IF(AND(G118="غ",H118="كغ"),F118/1000,IF(AND(G118="كغ",H118="غ"),F118*1000,IF(AND(G118="مل",H118="لتر"),F118/1000,IF(AND(G118="لتر",H118="مل"),F118*1000,"خطأ وحدة"))))))</x:f>
        <x:v>0.04</x:v>
      </x:c>
      <x:c r="J118" s="85" t="n">
        <x:v>0</x:v>
      </x:c>
      <x:c r="K118" s="80" t="str">
        <x:v>نعم</x:v>
      </x:c>
      <x:c r="L118" s="91" t="n">
        <x:f>IFERROR(VLOOKUP(D118,'مراجع الوصفات'!$F$2:$I$253,4,FALSE),"")</x:f>
        <x:v>30000</x:v>
      </x:c>
      <x:c r="M118" s="91" t="n">
        <x:f>IF(OR(I118="",NOT(ISNUMBER(I118)),L118=""),"",I118*L118*(1+J118/100))</x:f>
        <x:v>1200</x:v>
      </x:c>
      <x:c r="N118" s="80" t="str"/>
      <x:c r="O118" s="93" t="str">
        <x:f>IF(AND(B118="",D118="",F118=""),"",IF(A118="تجاهل","تجاهل",IF(OR(B118="",D118="",F118="",G118="",H118=""),"ناقص",IF(NOT(ISNUMBER(I118)),"خطأ وحدة",IF(OR(J118&lt;0,J118&gt;100),"خطأ هدر","صالح")))))</x:f>
        <x:v>صالح</x:v>
      </x:c>
    </x:row>
    <x:row r="119">
      <x:c r="A119" s="79" t="str">
        <x:v>بحاجة مراجعة</x:v>
      </x:c>
      <x:c r="B119" s="80" t="str">
        <x:v>موهيتو</x:v>
      </x:c>
      <x:c r="C119" s="87" t="str">
        <x:f>IFERROR(VLOOKUP(B119,'مراجع الوصفات'!$A$2:$D$79,2,FALSE),"")</x:f>
      </x:c>
      <x:c r="D119" s="80" t="str">
        <x:v>نعنع طازج</x:v>
      </x:c>
      <x:c r="E119" s="87" t="str">
        <x:f>IFERROR(VLOOKUP(D119,'مراجع الوصفات'!$F$2:$I$253,2,FALSE),"")</x:f>
        <x:v>ING-HERB-MINT</x:v>
      </x:c>
      <x:c r="F119" s="83" t="n">
        <x:v>0.05</x:v>
      </x:c>
      <x:c r="G119" s="80" t="str">
        <x:v>عبوة</x:v>
      </x:c>
      <x:c r="H119" s="87" t="str">
        <x:f>IFERROR(VLOOKUP(D119,'مراجع الوصفات'!$F$2:$I$253,3,FALSE),"")</x:f>
        <x:v>عبوة</x:v>
      </x:c>
      <x:c r="I119" s="89" t="n">
        <x:f>IF(OR(F119="",G119="",H119=""),"",IF(G119=H119,F119,IF(AND(G119="غ",H119="كغ"),F119/1000,IF(AND(G119="كغ",H119="غ"),F119*1000,IF(AND(G119="مل",H119="لتر"),F119/1000,IF(AND(G119="لتر",H119="مل"),F119*1000,"خطأ وحدة"))))))</x:f>
        <x:v>0.05</x:v>
      </x:c>
      <x:c r="J119" s="85" t="n">
        <x:v>0</x:v>
      </x:c>
      <x:c r="K119" s="80" t="str">
        <x:v>نعم</x:v>
      </x:c>
      <x:c r="L119" s="91" t="n">
        <x:f>IFERROR(VLOOKUP(D119,'مراجع الوصفات'!$F$2:$I$253,4,FALSE),"")</x:f>
        <x:v>1500</x:v>
      </x:c>
      <x:c r="M119" s="91" t="n">
        <x:f>IF(OR(I119="",NOT(ISNUMBER(I119)),L119=""),"",I119*L119*(1+J119/100))</x:f>
        <x:v>75</x:v>
      </x:c>
      <x:c r="N119" s="80" t="str"/>
      <x:c r="O119" s="93" t="str">
        <x:f>IF(AND(B119="",D119="",F119=""),"",IF(A119="تجاهل","تجاهل",IF(OR(B119="",D119="",F119="",G119="",H119=""),"ناقص",IF(NOT(ISNUMBER(I119)),"خطأ وحدة",IF(OR(J119&lt;0,J119&gt;100),"خطأ هدر","صالح")))))</x:f>
        <x:v>صالح</x:v>
      </x:c>
    </x:row>
    <x:row r="120">
      <x:c r="A120" s="79" t="str">
        <x:v>بحاجة مراجعة</x:v>
      </x:c>
      <x:c r="B120" s="80" t="str">
        <x:v>موهيتو</x:v>
      </x:c>
      <x:c r="C120" s="87" t="str">
        <x:f>IFERROR(VLOOKUP(B120,'مراجع الوصفات'!$A$2:$D$79,2,FALSE),"")</x:f>
      </x:c>
      <x:c r="D120" s="80" t="str">
        <x:v>سكر</x:v>
      </x:c>
      <x:c r="E120" s="87" t="str">
        <x:f>IFERROR(VLOOKUP(D120,'مراجع الوصفات'!$F$2:$I$253,2,FALSE),"")</x:f>
        <x:v>ING-SWEET-SUGAR</x:v>
      </x:c>
      <x:c r="F120" s="83" t="n">
        <x:v>20</x:v>
      </x:c>
      <x:c r="G120" s="80" t="str">
        <x:v>غ</x:v>
      </x:c>
      <x:c r="H120" s="87" t="str">
        <x:f>IFERROR(VLOOKUP(D120,'مراجع الوصفات'!$F$2:$I$253,3,FALSE),"")</x:f>
        <x:v>كغ</x:v>
      </x:c>
      <x:c r="I120" s="89" t="n">
        <x:f>IF(OR(F120="",G120="",H120=""),"",IF(G120=H120,F120,IF(AND(G120="غ",H120="كغ"),F120/1000,IF(AND(G120="كغ",H120="غ"),F120*1000,IF(AND(G120="مل",H120="لتر"),F120/1000,IF(AND(G120="لتر",H120="مل"),F120*1000,"خطأ وحدة"))))))</x:f>
        <x:v>0.02</x:v>
      </x:c>
      <x:c r="J120" s="85" t="n">
        <x:v>0</x:v>
      </x:c>
      <x:c r="K120" s="80" t="str">
        <x:v>نعم</x:v>
      </x:c>
      <x:c r="L120" s="91" t="n">
        <x:f>IFERROR(VLOOKUP(D120,'مراجع الوصفات'!$F$2:$I$253,4,FALSE),"")</x:f>
        <x:v>10000</x:v>
      </x:c>
      <x:c r="M120" s="91" t="n">
        <x:f>IF(OR(I120="",NOT(ISNUMBER(I120)),L120=""),"",I120*L120*(1+J120/100))</x:f>
        <x:v>200</x:v>
      </x:c>
      <x:c r="N120" s="80" t="str"/>
      <x:c r="O120" s="93" t="str">
        <x:f>IF(AND(B120="",D120="",F120=""),"",IF(A120="تجاهل","تجاهل",IF(OR(B120="",D120="",F120="",G120="",H120=""),"ناقص",IF(NOT(ISNUMBER(I120)),"خطأ وحدة",IF(OR(J120&lt;0,J120&gt;100),"خطأ هدر","صالح")))))</x:f>
        <x:v>صالح</x:v>
      </x:c>
    </x:row>
    <x:row r="121">
      <x:c r="A121" s="79" t="str">
        <x:v>بحاجة مراجعة</x:v>
      </x:c>
      <x:c r="B121" s="80" t="str">
        <x:v>موهيتو</x:v>
      </x:c>
      <x:c r="C121" s="87" t="str">
        <x:f>IFERROR(VLOOKUP(B121,'مراجع الوصفات'!$A$2:$D$79,2,FALSE),"")</x:f>
      </x:c>
      <x:c r="D121" s="80" t="str">
        <x:v>مياه غازية</x:v>
      </x:c>
      <x:c r="E121" s="87" t="str">
        <x:f>IFERROR(VLOOKUP(D121,'مراجع الوصفات'!$F$2:$I$253,2,FALSE),"")</x:f>
        <x:v>DRK-SODA-WATER</x:v>
      </x:c>
      <x:c r="F121" s="83" t="n">
        <x:v>0.5</x:v>
      </x:c>
      <x:c r="G121" s="80" t="str">
        <x:v>زجاجة</x:v>
      </x:c>
      <x:c r="H121" s="87" t="str">
        <x:f>IFERROR(VLOOKUP(D121,'مراجع الوصفات'!$F$2:$I$253,3,FALSE),"")</x:f>
        <x:v>زجاجة</x:v>
      </x:c>
      <x:c r="I121" s="89" t="n">
        <x:f>IF(OR(F121="",G121="",H121=""),"",IF(G121=H121,F121,IF(AND(G121="غ",H121="كغ"),F121/1000,IF(AND(G121="كغ",H121="غ"),F121*1000,IF(AND(G121="مل",H121="لتر"),F121/1000,IF(AND(G121="لتر",H121="مل"),F121*1000,"خطأ وحدة"))))))</x:f>
        <x:v>0.5</x:v>
      </x:c>
      <x:c r="J121" s="85" t="n">
        <x:v>0</x:v>
      </x:c>
      <x:c r="K121" s="80" t="str">
        <x:v>نعم</x:v>
      </x:c>
      <x:c r="L121" s="91" t="str">
        <x:f>IFERROR(VLOOKUP(D121,'مراجع الوصفات'!$F$2:$I$253,4,FALSE),"")</x:f>
      </x:c>
      <x:c r="M121" s="91" t="str">
        <x:f>IF(OR(I121="",NOT(ISNUMBER(I121)),L121=""),"",I121*L121*(1+J121/100))</x:f>
      </x:c>
      <x:c r="N121" s="80" t="str"/>
      <x:c r="O121" s="93" t="str">
        <x:f>IF(AND(B121="",D121="",F121=""),"",IF(A121="تجاهل","تجاهل",IF(OR(B121="",D121="",F121="",G121="",H121=""),"ناقص",IF(NOT(ISNUMBER(I121)),"خطأ وحدة",IF(OR(J121&lt;0,J121&gt;100),"خطأ هدر","صالح")))))</x:f>
        <x:v>صالح</x:v>
      </x:c>
    </x:row>
    <x:row r="122">
      <x:c r="A122" s="79" t="str">
        <x:v>بحاجة مراجعة</x:v>
      </x:c>
      <x:c r="B122" s="80" t="str">
        <x:v>موهيتو</x:v>
      </x:c>
      <x:c r="C122" s="87" t="str">
        <x:f>IFERROR(VLOOKUP(B122,'مراجع الوصفات'!$A$2:$D$79,2,FALSE),"")</x:f>
      </x:c>
      <x:c r="D122" s="80" t="str">
        <x:v>ثلج</x:v>
      </x:c>
      <x:c r="E122" s="87" t="str">
        <x:f>IFERROR(VLOOKUP(D122,'مراجع الوصفات'!$F$2:$I$253,2,FALSE),"")</x:f>
        <x:v>DRK-ICE</x:v>
      </x:c>
      <x:c r="F122" s="83" t="n">
        <x:v>150</x:v>
      </x:c>
      <x:c r="G122" s="80" t="str">
        <x:v>غ</x:v>
      </x:c>
      <x:c r="H122" s="87" t="str">
        <x:f>IFERROR(VLOOKUP(D122,'مراجع الوصفات'!$F$2:$I$253,3,FALSE),"")</x:f>
        <x:v>كغ</x:v>
      </x:c>
      <x:c r="I122" s="89" t="n">
        <x:f>IF(OR(F122="",G122="",H122=""),"",IF(G122=H122,F122,IF(AND(G122="غ",H122="كغ"),F122/1000,IF(AND(G122="كغ",H122="غ"),F122*1000,IF(AND(G122="مل",H122="لتر"),F122/1000,IF(AND(G122="لتر",H122="مل"),F122*1000,"خطأ وحدة"))))))</x:f>
        <x:v>0.15</x:v>
      </x:c>
      <x:c r="J122" s="85" t="n">
        <x:v>0</x:v>
      </x:c>
      <x:c r="K122" s="80" t="str">
        <x:v>نعم</x:v>
      </x:c>
      <x:c r="L122" s="91" t="n">
        <x:f>IFERROR(VLOOKUP(D122,'مراجع الوصفات'!$F$2:$I$253,4,FALSE),"")</x:f>
        <x:v>4000</x:v>
      </x:c>
      <x:c r="M122" s="91" t="n">
        <x:f>IF(OR(I122="",NOT(ISNUMBER(I122)),L122=""),"",I122*L122*(1+J122/100))</x:f>
        <x:v>600</x:v>
      </x:c>
      <x:c r="N122" s="80" t="str"/>
      <x:c r="O122" s="93" t="str">
        <x:f>IF(AND(B122="",D122="",F122=""),"",IF(A122="تجاهل","تجاهل",IF(OR(B122="",D122="",F122="",G122="",H122=""),"ناقص",IF(NOT(ISNUMBER(I122)),"خطأ وحدة",IF(OR(J122&lt;0,J122&gt;100),"خطأ هدر","صالح")))))</x:f>
        <x:v>صالح</x:v>
      </x:c>
    </x:row>
    <x:row r="123">
      <x:c r="A123" s="79" t="str">
        <x:v>بحاجة مراجعة</x:v>
      </x:c>
      <x:c r="B123" s="80" t="str">
        <x:v>كوكتيل ويسكي</x:v>
      </x:c>
      <x:c r="C123" s="87" t="str">
        <x:f>IFERROR(VLOOKUP(B123,'مراجع الوصفات'!$A$2:$D$79,2,FALSE),"")</x:f>
      </x:c>
      <x:c r="D123" s="80" t="str">
        <x:v>ويسكي</x:v>
      </x:c>
      <x:c r="E123" s="87" t="str">
        <x:f>IFERROR(VLOOKUP(D123,'مراجع الوصفات'!$F$2:$I$253,2,FALSE),"")</x:f>
        <x:v>DRK-ALC-WHISKEY</x:v>
      </x:c>
      <x:c r="F123" s="83" t="n">
        <x:v>50</x:v>
      </x:c>
      <x:c r="G123" s="80" t="str">
        <x:v>مل</x:v>
      </x:c>
      <x:c r="H123" s="87" t="str">
        <x:f>IFERROR(VLOOKUP(D123,'مراجع الوصفات'!$F$2:$I$253,3,FALSE),"")</x:f>
        <x:v>لتر</x:v>
      </x:c>
      <x:c r="I123" s="89" t="n">
        <x:f>IF(OR(F123="",G123="",H123=""),"",IF(G123=H123,F123,IF(AND(G123="غ",H123="كغ"),F123/1000,IF(AND(G123="كغ",H123="غ"),F123*1000,IF(AND(G123="مل",H123="لتر"),F123/1000,IF(AND(G123="لتر",H123="مل"),F123*1000,"خطأ وحدة"))))))</x:f>
        <x:v>0.05</x:v>
      </x:c>
      <x:c r="J123" s="85" t="n">
        <x:v>0</x:v>
      </x:c>
      <x:c r="K123" s="80" t="str">
        <x:v>نعم</x:v>
      </x:c>
      <x:c r="L123" s="91" t="str">
        <x:f>IFERROR(VLOOKUP(D123,'مراجع الوصفات'!$F$2:$I$253,4,FALSE),"")</x:f>
      </x:c>
      <x:c r="M123" s="91" t="str">
        <x:f>IF(OR(I123="",NOT(ISNUMBER(I123)),L123=""),"",I123*L123*(1+J123/100))</x:f>
      </x:c>
      <x:c r="N123" s="80" t="str"/>
      <x:c r="O123" s="93" t="str">
        <x:f>IF(AND(B123="",D123="",F123=""),"",IF(A123="تجاهل","تجاهل",IF(OR(B123="",D123="",F123="",G123="",H123=""),"ناقص",IF(NOT(ISNUMBER(I123)),"خطأ وحدة",IF(OR(J123&lt;0,J123&gt;100),"خطأ هدر","صالح")))))</x:f>
        <x:v>صالح</x:v>
      </x:c>
    </x:row>
    <x:row r="124">
      <x:c r="A124" s="79" t="str">
        <x:v>بحاجة مراجعة</x:v>
      </x:c>
      <x:c r="B124" s="80" t="str">
        <x:v>كوكتيل ويسكي</x:v>
      </x:c>
      <x:c r="C124" s="87" t="str">
        <x:f>IFERROR(VLOOKUP(B124,'مراجع الوصفات'!$A$2:$D$79,2,FALSE),"")</x:f>
      </x:c>
      <x:c r="D124" s="80" t="str">
        <x:v>عصير تفاح</x:v>
      </x:c>
      <x:c r="E124" s="87" t="str">
        <x:f>IFERROR(VLOOKUP(D124,'مراجع الوصفات'!$F$2:$I$253,2,FALSE),"")</x:f>
        <x:v>DRK-JUICE-APPLE</x:v>
      </x:c>
      <x:c r="F124" s="83" t="n">
        <x:v>150</x:v>
      </x:c>
      <x:c r="G124" s="80" t="str">
        <x:v>مل</x:v>
      </x:c>
      <x:c r="H124" s="87" t="str">
        <x:f>IFERROR(VLOOKUP(D124,'مراجع الوصفات'!$F$2:$I$253,3,FALSE),"")</x:f>
        <x:v>لتر</x:v>
      </x:c>
      <x:c r="I124" s="89" t="n">
        <x:f>IF(OR(F124="",G124="",H124=""),"",IF(G124=H124,F124,IF(AND(G124="غ",H124="كغ"),F124/1000,IF(AND(G124="كغ",H124="غ"),F124*1000,IF(AND(G124="مل",H124="لتر"),F124/1000,IF(AND(G124="لتر",H124="مل"),F124*1000,"خطأ وحدة"))))))</x:f>
        <x:v>0.15</x:v>
      </x:c>
      <x:c r="J124" s="85" t="n">
        <x:v>0</x:v>
      </x:c>
      <x:c r="K124" s="80" t="str">
        <x:v>نعم</x:v>
      </x:c>
      <x:c r="L124" s="91" t="str">
        <x:f>IFERROR(VLOOKUP(D124,'مراجع الوصفات'!$F$2:$I$253,4,FALSE),"")</x:f>
      </x:c>
      <x:c r="M124" s="91" t="str">
        <x:f>IF(OR(I124="",NOT(ISNUMBER(I124)),L124=""),"",I124*L124*(1+J124/100))</x:f>
      </x:c>
      <x:c r="N124" s="80" t="str"/>
      <x:c r="O124" s="93" t="str">
        <x:f>IF(AND(B124="",D124="",F124=""),"",IF(A124="تجاهل","تجاهل",IF(OR(B124="",D124="",F124="",G124="",H124=""),"ناقص",IF(NOT(ISNUMBER(I124)),"خطأ وحدة",IF(OR(J124&lt;0,J124&gt;100),"خطأ هدر","صالح")))))</x:f>
        <x:v>صالح</x:v>
      </x:c>
    </x:row>
    <x:row r="125">
      <x:c r="A125" s="79" t="str">
        <x:v>بحاجة مراجعة</x:v>
      </x:c>
      <x:c r="B125" s="80" t="str">
        <x:v>كوكتيل ويسكي</x:v>
      </x:c>
      <x:c r="C125" s="87" t="str">
        <x:f>IFERROR(VLOOKUP(B125,'مراجع الوصفات'!$A$2:$D$79,2,FALSE),"")</x:f>
      </x:c>
      <x:c r="D125" s="80" t="str">
        <x:v>ثلج</x:v>
      </x:c>
      <x:c r="E125" s="87" t="str">
        <x:f>IFERROR(VLOOKUP(D125,'مراجع الوصفات'!$F$2:$I$253,2,FALSE),"")</x:f>
        <x:v>DRK-ICE</x:v>
      </x:c>
      <x:c r="F125" s="83" t="n">
        <x:v>150</x:v>
      </x:c>
      <x:c r="G125" s="80" t="str">
        <x:v>غ</x:v>
      </x:c>
      <x:c r="H125" s="87" t="str">
        <x:f>IFERROR(VLOOKUP(D125,'مراجع الوصفات'!$F$2:$I$253,3,FALSE),"")</x:f>
        <x:v>كغ</x:v>
      </x:c>
      <x:c r="I125" s="89" t="n">
        <x:f>IF(OR(F125="",G125="",H125=""),"",IF(G125=H125,F125,IF(AND(G125="غ",H125="كغ"),F125/1000,IF(AND(G125="كغ",H125="غ"),F125*1000,IF(AND(G125="مل",H125="لتر"),F125/1000,IF(AND(G125="لتر",H125="مل"),F125*1000,"خطأ وحدة"))))))</x:f>
        <x:v>0.15</x:v>
      </x:c>
      <x:c r="J125" s="85" t="n">
        <x:v>0</x:v>
      </x:c>
      <x:c r="K125" s="80" t="str">
        <x:v>نعم</x:v>
      </x:c>
      <x:c r="L125" s="91" t="n">
        <x:f>IFERROR(VLOOKUP(D125,'مراجع الوصفات'!$F$2:$I$253,4,FALSE),"")</x:f>
        <x:v>4000</x:v>
      </x:c>
      <x:c r="M125" s="91" t="n">
        <x:f>IF(OR(I125="",NOT(ISNUMBER(I125)),L125=""),"",I125*L125*(1+J125/100))</x:f>
        <x:v>600</x:v>
      </x:c>
      <x:c r="N125" s="80" t="str"/>
      <x:c r="O125" s="93" t="str">
        <x:f>IF(AND(B125="",D125="",F125=""),"",IF(A125="تجاهل","تجاهل",IF(OR(B125="",D125="",F125="",G125="",H125=""),"ناقص",IF(NOT(ISNUMBER(I125)),"خطأ وحدة",IF(OR(J125&lt;0,J125&gt;100),"خطأ هدر","صالح")))))</x:f>
        <x:v>صالح</x:v>
      </x:c>
    </x:row>
    <x:row r="126">
      <x:c r="A126" s="79" t="str">
        <x:v>بحاجة مراجعة</x:v>
      </x:c>
      <x:c r="B126" s="80" t="str">
        <x:v>جين حبق</x:v>
      </x:c>
      <x:c r="C126" s="87" t="str">
        <x:f>IFERROR(VLOOKUP(B126,'مراجع الوصفات'!$A$2:$D$79,2,FALSE),"")</x:f>
      </x:c>
      <x:c r="D126" s="80" t="str">
        <x:v>جين</x:v>
      </x:c>
      <x:c r="E126" s="87" t="str">
        <x:f>IFERROR(VLOOKUP(D126,'مراجع الوصفات'!$F$2:$I$253,2,FALSE),"")</x:f>
        <x:v>DRK-ALC-GIN</x:v>
      </x:c>
      <x:c r="F126" s="83" t="n">
        <x:v>50</x:v>
      </x:c>
      <x:c r="G126" s="80" t="str">
        <x:v>مل</x:v>
      </x:c>
      <x:c r="H126" s="87" t="str">
        <x:f>IFERROR(VLOOKUP(D126,'مراجع الوصفات'!$F$2:$I$253,3,FALSE),"")</x:f>
        <x:v>لتر</x:v>
      </x:c>
      <x:c r="I126" s="89" t="n">
        <x:f>IF(OR(F126="",G126="",H126=""),"",IF(G126=H126,F126,IF(AND(G126="غ",H126="كغ"),F126/1000,IF(AND(G126="كغ",H126="غ"),F126*1000,IF(AND(G126="مل",H126="لتر"),F126/1000,IF(AND(G126="لتر",H126="مل"),F126*1000,"خطأ وحدة"))))))</x:f>
        <x:v>0.05</x:v>
      </x:c>
      <x:c r="J126" s="85" t="n">
        <x:v>0</x:v>
      </x:c>
      <x:c r="K126" s="80" t="str">
        <x:v>نعم</x:v>
      </x:c>
      <x:c r="L126" s="91" t="str">
        <x:f>IFERROR(VLOOKUP(D126,'مراجع الوصفات'!$F$2:$I$253,4,FALSE),"")</x:f>
      </x:c>
      <x:c r="M126" s="91" t="str">
        <x:f>IF(OR(I126="",NOT(ISNUMBER(I126)),L126=""),"",I126*L126*(1+J126/100))</x:f>
      </x:c>
      <x:c r="N126" s="80" t="str"/>
      <x:c r="O126" s="93" t="str">
        <x:f>IF(AND(B126="",D126="",F126=""),"",IF(A126="تجاهل","تجاهل",IF(OR(B126="",D126="",F126="",G126="",H126=""),"ناقص",IF(NOT(ISNUMBER(I126)),"خطأ وحدة",IF(OR(J126&lt;0,J126&gt;100),"خطأ هدر","صالح")))))</x:f>
        <x:v>صالح</x:v>
      </x:c>
    </x:row>
    <x:row r="127">
      <x:c r="A127" s="79" t="str">
        <x:v>بحاجة مراجعة</x:v>
      </x:c>
      <x:c r="B127" s="80" t="str">
        <x:v>جين حبق</x:v>
      </x:c>
      <x:c r="C127" s="87" t="str">
        <x:f>IFERROR(VLOOKUP(B127,'مراجع الوصفات'!$A$2:$D$79,2,FALSE),"")</x:f>
      </x:c>
      <x:c r="D127" s="80" t="str">
        <x:v>حبق / ريحان</x:v>
      </x:c>
      <x:c r="E127" s="87" t="str">
        <x:f>IFERROR(VLOOKUP(D127,'مراجع الوصفات'!$F$2:$I$253,2,FALSE),"")</x:f>
        <x:v>ING-HERB-BASIL</x:v>
      </x:c>
      <x:c r="F127" s="83" t="n">
        <x:v>0.05</x:v>
      </x:c>
      <x:c r="G127" s="80" t="str">
        <x:v>عبوة</x:v>
      </x:c>
      <x:c r="H127" s="87" t="str">
        <x:f>IFERROR(VLOOKUP(D127,'مراجع الوصفات'!$F$2:$I$253,3,FALSE),"")</x:f>
        <x:v>عبوة</x:v>
      </x:c>
      <x:c r="I127" s="89" t="n">
        <x:f>IF(OR(F127="",G127="",H127=""),"",IF(G127=H127,F127,IF(AND(G127="غ",H127="كغ"),F127/1000,IF(AND(G127="كغ",H127="غ"),F127*1000,IF(AND(G127="مل",H127="لتر"),F127/1000,IF(AND(G127="لتر",H127="مل"),F127*1000,"خطأ وحدة"))))))</x:f>
        <x:v>0.05</x:v>
      </x:c>
      <x:c r="J127" s="85" t="n">
        <x:v>0</x:v>
      </x:c>
      <x:c r="K127" s="80" t="str">
        <x:v>نعم</x:v>
      </x:c>
      <x:c r="L127" s="91" t="str">
        <x:f>IFERROR(VLOOKUP(D127,'مراجع الوصفات'!$F$2:$I$253,4,FALSE),"")</x:f>
      </x:c>
      <x:c r="M127" s="91" t="str">
        <x:f>IF(OR(I127="",NOT(ISNUMBER(I127)),L127=""),"",I127*L127*(1+J127/100))</x:f>
      </x:c>
      <x:c r="N127" s="80" t="str"/>
      <x:c r="O127" s="93" t="str">
        <x:f>IF(AND(B127="",D127="",F127=""),"",IF(A127="تجاهل","تجاهل",IF(OR(B127="",D127="",F127="",G127="",H127=""),"ناقص",IF(NOT(ISNUMBER(I127)),"خطأ وحدة",IF(OR(J127&lt;0,J127&gt;100),"خطأ هدر","صالح")))))</x:f>
        <x:v>صالح</x:v>
      </x:c>
    </x:row>
    <x:row r="128">
      <x:c r="A128" s="79" t="str">
        <x:v>بحاجة مراجعة</x:v>
      </x:c>
      <x:c r="B128" s="80" t="str">
        <x:v>جين حبق</x:v>
      </x:c>
      <x:c r="C128" s="87" t="str">
        <x:f>IFERROR(VLOOKUP(B128,'مراجع الوصفات'!$A$2:$D$79,2,FALSE),"")</x:f>
      </x:c>
      <x:c r="D128" s="80" t="str">
        <x:v>تونيك ووتر</x:v>
      </x:c>
      <x:c r="E128" s="87" t="str">
        <x:f>IFERROR(VLOOKUP(D128,'مراجع الوصفات'!$F$2:$I$253,2,FALSE),"")</x:f>
        <x:v>DRK-TONIC-WATER</x:v>
      </x:c>
      <x:c r="F128" s="83" t="n">
        <x:v>0.5</x:v>
      </x:c>
      <x:c r="G128" s="80" t="str">
        <x:v>زجاجة</x:v>
      </x:c>
      <x:c r="H128" s="87" t="str">
        <x:f>IFERROR(VLOOKUP(D128,'مراجع الوصفات'!$F$2:$I$253,3,FALSE),"")</x:f>
        <x:v>زجاجة</x:v>
      </x:c>
      <x:c r="I128" s="89" t="n">
        <x:f>IF(OR(F128="",G128="",H128=""),"",IF(G128=H128,F128,IF(AND(G128="غ",H128="كغ"),F128/1000,IF(AND(G128="كغ",H128="غ"),F128*1000,IF(AND(G128="مل",H128="لتر"),F128/1000,IF(AND(G128="لتر",H128="مل"),F128*1000,"خطأ وحدة"))))))</x:f>
        <x:v>0.5</x:v>
      </x:c>
      <x:c r="J128" s="85" t="n">
        <x:v>0</x:v>
      </x:c>
      <x:c r="K128" s="80" t="str">
        <x:v>نعم</x:v>
      </x:c>
      <x:c r="L128" s="91" t="str">
        <x:f>IFERROR(VLOOKUP(D128,'مراجع الوصفات'!$F$2:$I$253,4,FALSE),"")</x:f>
      </x:c>
      <x:c r="M128" s="91" t="str">
        <x:f>IF(OR(I128="",NOT(ISNUMBER(I128)),L128=""),"",I128*L128*(1+J128/100))</x:f>
      </x:c>
      <x:c r="N128" s="80" t="str"/>
      <x:c r="O128" s="93" t="str">
        <x:f>IF(AND(B128="",D128="",F128=""),"",IF(A128="تجاهل","تجاهل",IF(OR(B128="",D128="",F128="",G128="",H128=""),"ناقص",IF(NOT(ISNUMBER(I128)),"خطأ وحدة",IF(OR(J128&lt;0,J128&gt;100),"خطأ هدر","صالح")))))</x:f>
        <x:v>صالح</x:v>
      </x:c>
    </x:row>
    <x:row r="129">
      <x:c r="A129" s="79" t="str">
        <x:v>بحاجة مراجعة</x:v>
      </x:c>
      <x:c r="B129" s="80" t="str">
        <x:v>جين حبق</x:v>
      </x:c>
      <x:c r="C129" s="87" t="str">
        <x:f>IFERROR(VLOOKUP(B129,'مراجع الوصفات'!$A$2:$D$79,2,FALSE),"")</x:f>
      </x:c>
      <x:c r="D129" s="80" t="str">
        <x:v>ليمون</x:v>
      </x:c>
      <x:c r="E129" s="87" t="str">
        <x:f>IFERROR(VLOOKUP(D129,'مراجع الوصفات'!$F$2:$I$253,2,FALSE),"")</x:f>
        <x:v>ING-FRT-LEMON</x:v>
      </x:c>
      <x:c r="F129" s="83" t="n">
        <x:v>30</x:v>
      </x:c>
      <x:c r="G129" s="80" t="str">
        <x:v>غ</x:v>
      </x:c>
      <x:c r="H129" s="87" t="str">
        <x:f>IFERROR(VLOOKUP(D129,'مراجع الوصفات'!$F$2:$I$253,3,FALSE),"")</x:f>
        <x:v>كغ</x:v>
      </x:c>
      <x:c r="I129" s="89" t="n">
        <x:f>IF(OR(F129="",G129="",H129=""),"",IF(G129=H129,F129,IF(AND(G129="غ",H129="كغ"),F129/1000,IF(AND(G129="كغ",H129="غ"),F129*1000,IF(AND(G129="مل",H129="لتر"),F129/1000,IF(AND(G129="لتر",H129="مل"),F129*1000,"خطأ وحدة"))))))</x:f>
        <x:v>0.03</x:v>
      </x:c>
      <x:c r="J129" s="85" t="n">
        <x:v>0</x:v>
      </x:c>
      <x:c r="K129" s="80" t="str">
        <x:v>نعم</x:v>
      </x:c>
      <x:c r="L129" s="91" t="n">
        <x:f>IFERROR(VLOOKUP(D129,'مراجع الوصفات'!$F$2:$I$253,4,FALSE),"")</x:f>
        <x:v>30000</x:v>
      </x:c>
      <x:c r="M129" s="91" t="n">
        <x:f>IF(OR(I129="",NOT(ISNUMBER(I129)),L129=""),"",I129*L129*(1+J129/100))</x:f>
        <x:v>900</x:v>
      </x:c>
      <x:c r="N129" s="80" t="str"/>
      <x:c r="O129" s="93" t="str">
        <x:f>IF(AND(B129="",D129="",F129=""),"",IF(A129="تجاهل","تجاهل",IF(OR(B129="",D129="",F129="",G129="",H129=""),"ناقص",IF(NOT(ISNUMBER(I129)),"خطأ وحدة",IF(OR(J129&lt;0,J129&gt;100),"خطأ هدر","صالح")))))</x:f>
        <x:v>صالح</x:v>
      </x:c>
    </x:row>
    <x:row r="130">
      <x:c r="A130" s="79" t="str">
        <x:v>بحاجة مراجعة</x:v>
      </x:c>
      <x:c r="B130" s="80" t="str">
        <x:v>جين حبق</x:v>
      </x:c>
      <x:c r="C130" s="87" t="str">
        <x:f>IFERROR(VLOOKUP(B130,'مراجع الوصفات'!$A$2:$D$79,2,FALSE),"")</x:f>
      </x:c>
      <x:c r="D130" s="80" t="str">
        <x:v>ثلج</x:v>
      </x:c>
      <x:c r="E130" s="87" t="str">
        <x:f>IFERROR(VLOOKUP(D130,'مراجع الوصفات'!$F$2:$I$253,2,FALSE),"")</x:f>
        <x:v>DRK-ICE</x:v>
      </x:c>
      <x:c r="F130" s="83" t="n">
        <x:v>150</x:v>
      </x:c>
      <x:c r="G130" s="80" t="str">
        <x:v>غ</x:v>
      </x:c>
      <x:c r="H130" s="87" t="str">
        <x:f>IFERROR(VLOOKUP(D130,'مراجع الوصفات'!$F$2:$I$253,3,FALSE),"")</x:f>
        <x:v>كغ</x:v>
      </x:c>
      <x:c r="I130" s="89" t="n">
        <x:f>IF(OR(F130="",G130="",H130=""),"",IF(G130=H130,F130,IF(AND(G130="غ",H130="كغ"),F130/1000,IF(AND(G130="كغ",H130="غ"),F130*1000,IF(AND(G130="مل",H130="لتر"),F130/1000,IF(AND(G130="لتر",H130="مل"),F130*1000,"خطأ وحدة"))))))</x:f>
        <x:v>0.15</x:v>
      </x:c>
      <x:c r="J130" s="85" t="n">
        <x:v>0</x:v>
      </x:c>
      <x:c r="K130" s="80" t="str">
        <x:v>نعم</x:v>
      </x:c>
      <x:c r="L130" s="91" t="n">
        <x:f>IFERROR(VLOOKUP(D130,'مراجع الوصفات'!$F$2:$I$253,4,FALSE),"")</x:f>
        <x:v>4000</x:v>
      </x:c>
      <x:c r="M130" s="91" t="n">
        <x:f>IF(OR(I130="",NOT(ISNUMBER(I130)),L130=""),"",I130*L130*(1+J130/100))</x:f>
        <x:v>600</x:v>
      </x:c>
      <x:c r="N130" s="80" t="str"/>
      <x:c r="O130" s="93" t="str">
        <x:f>IF(AND(B130="",D130="",F130=""),"",IF(A130="تجاهل","تجاهل",IF(OR(B130="",D130="",F130="",G130="",H130=""),"ناقص",IF(NOT(ISNUMBER(I130)),"خطأ وحدة",IF(OR(J130&lt;0,J130&gt;100),"خطأ هدر","صالح")))))</x:f>
        <x:v>صالح</x:v>
      </x:c>
    </x:row>
    <x:row r="131">
      <x:c r="A131" s="79" t="str">
        <x:v>بحاجة مراجعة</x:v>
      </x:c>
      <x:c r="B131" s="80" t="str">
        <x:v>كأس نبيذ</x:v>
      </x:c>
      <x:c r="C131" s="87" t="str">
        <x:f>IFERROR(VLOOKUP(B131,'مراجع الوصفات'!$A$2:$D$79,2,FALSE),"")</x:f>
      </x:c>
      <x:c r="D131" s="80" t="str">
        <x:v>نبيذ أحمر</x:v>
      </x:c>
      <x:c r="E131" s="87" t="str">
        <x:f>IFERROR(VLOOKUP(D131,'مراجع الوصفات'!$F$2:$I$253,2,FALSE),"")</x:f>
        <x:v>DRK-ALC-WINE-RED</x:v>
      </x:c>
      <x:c r="F131" s="83" t="n">
        <x:v>0.2</x:v>
      </x:c>
      <x:c r="G131" s="80" t="str">
        <x:v>زجاجة</x:v>
      </x:c>
      <x:c r="H131" s="87" t="str">
        <x:f>IFERROR(VLOOKUP(D131,'مراجع الوصفات'!$F$2:$I$253,3,FALSE),"")</x:f>
        <x:v>زجاجة</x:v>
      </x:c>
      <x:c r="I131" s="89" t="n">
        <x:f>IF(OR(F131="",G131="",H131=""),"",IF(G131=H131,F131,IF(AND(G131="غ",H131="كغ"),F131/1000,IF(AND(G131="كغ",H131="غ"),F131*1000,IF(AND(G131="مل",H131="لتر"),F131/1000,IF(AND(G131="لتر",H131="مل"),F131*1000,"خطأ وحدة"))))))</x:f>
        <x:v>0.2</x:v>
      </x:c>
      <x:c r="J131" s="85" t="n">
        <x:v>0</x:v>
      </x:c>
      <x:c r="K131" s="80" t="str">
        <x:v>نعم</x:v>
      </x:c>
      <x:c r="L131" s="91" t="str">
        <x:f>IFERROR(VLOOKUP(D131,'مراجع الوصفات'!$F$2:$I$253,4,FALSE),"")</x:f>
      </x:c>
      <x:c r="M131" s="91" t="str">
        <x:f>IF(OR(I131="",NOT(ISNUMBER(I131)),L131=""),"",I131*L131*(1+J131/100))</x:f>
      </x:c>
      <x:c r="N131" s="80" t="str">
        <x:v>على أساس زجاجة 750مل وكأس 150مل؛ غيّر إلى النبيذ الأبيض عند الحاجة.</x:v>
      </x:c>
      <x:c r="O131" s="93" t="str">
        <x:f>IF(AND(B131="",D131="",F131=""),"",IF(A131="تجاهل","تجاهل",IF(OR(B131="",D131="",F131="",G131="",H131=""),"ناقص",IF(NOT(ISNUMBER(I131)),"خطأ وحدة",IF(OR(J131&lt;0,J131&gt;100),"خطأ هدر","صالح")))))</x:f>
        <x:v>صالح</x:v>
      </x:c>
    </x:row>
    <x:row r="132">
      <x:c r="A132" s="79" t="str">
        <x:v>بحاجة مراجعة</x:v>
      </x:c>
      <x:c r="B132" s="80" t="str">
        <x:v>شوت تيكيلا</x:v>
      </x:c>
      <x:c r="C132" s="87" t="str">
        <x:f>IFERROR(VLOOKUP(B132,'مراجع الوصفات'!$A$2:$D$79,2,FALSE),"")</x:f>
      </x:c>
      <x:c r="D132" s="80" t="str">
        <x:v>تيكيلا</x:v>
      </x:c>
      <x:c r="E132" s="87" t="str">
        <x:f>IFERROR(VLOOKUP(D132,'مراجع الوصفات'!$F$2:$I$253,2,FALSE),"")</x:f>
        <x:v>DRK-ALC-TEQUILA</x:v>
      </x:c>
      <x:c r="F132" s="83" t="n">
        <x:v>40</x:v>
      </x:c>
      <x:c r="G132" s="80" t="str">
        <x:v>مل</x:v>
      </x:c>
      <x:c r="H132" s="87" t="str">
        <x:f>IFERROR(VLOOKUP(D132,'مراجع الوصفات'!$F$2:$I$253,3,FALSE),"")</x:f>
        <x:v>لتر</x:v>
      </x:c>
      <x:c r="I132" s="89" t="n">
        <x:f>IF(OR(F132="",G132="",H132=""),"",IF(G132=H132,F132,IF(AND(G132="غ",H132="كغ"),F132/1000,IF(AND(G132="كغ",H132="غ"),F132*1000,IF(AND(G132="مل",H132="لتر"),F132/1000,IF(AND(G132="لتر",H132="مل"),F132*1000,"خطأ وحدة"))))))</x:f>
        <x:v>0.04</x:v>
      </x:c>
      <x:c r="J132" s="85" t="n">
        <x:v>0</x:v>
      </x:c>
      <x:c r="K132" s="80" t="str">
        <x:v>نعم</x:v>
      </x:c>
      <x:c r="L132" s="91" t="str">
        <x:f>IFERROR(VLOOKUP(D132,'مراجع الوصفات'!$F$2:$I$253,4,FALSE),"")</x:f>
      </x:c>
      <x:c r="M132" s="91" t="str">
        <x:f>IF(OR(I132="",NOT(ISNUMBER(I132)),L132=""),"",I132*L132*(1+J132/100))</x:f>
      </x:c>
      <x:c r="N132" s="80" t="str"/>
      <x:c r="O132" s="93" t="str">
        <x:f>IF(AND(B132="",D132="",F132=""),"",IF(A132="تجاهل","تجاهل",IF(OR(B132="",D132="",F132="",G132="",H132=""),"ناقص",IF(NOT(ISNUMBER(I132)),"خطأ وحدة",IF(OR(J132&lt;0,J132&gt;100),"خطأ هدر","صالح")))))</x:f>
        <x:v>صالح</x:v>
      </x:c>
    </x:row>
    <x:row r="133">
      <x:c r="A133" s="79" t="str">
        <x:v>بحاجة مراجعة</x:v>
      </x:c>
      <x:c r="B133" s="80" t="str">
        <x:v>شوت زيتونة وتاباسكو</x:v>
      </x:c>
      <x:c r="C133" s="87" t="str">
        <x:f>IFERROR(VLOOKUP(B133,'مراجع الوصفات'!$A$2:$D$79,2,FALSE),"")</x:f>
      </x:c>
      <x:c r="D133" s="80" t="str">
        <x:v>فودكا سميرنوف</x:v>
      </x:c>
      <x:c r="E133" s="87" t="str">
        <x:f>IFERROR(VLOOKUP(D133,'مراجع الوصفات'!$F$2:$I$253,2,FALSE),"")</x:f>
        <x:v>DRK-ALC-VODKA-SMIRNOFF</x:v>
      </x:c>
      <x:c r="F133" s="83" t="n">
        <x:v>40</x:v>
      </x:c>
      <x:c r="G133" s="80" t="str">
        <x:v>مل</x:v>
      </x:c>
      <x:c r="H133" s="87" t="str">
        <x:f>IFERROR(VLOOKUP(D133,'مراجع الوصفات'!$F$2:$I$253,3,FALSE),"")</x:f>
        <x:v>لتر</x:v>
      </x:c>
      <x:c r="I133" s="89" t="n">
        <x:f>IF(OR(F133="",G133="",H133=""),"",IF(G133=H133,F133,IF(AND(G133="غ",H133="كغ"),F133/1000,IF(AND(G133="كغ",H133="غ"),F133*1000,IF(AND(G133="مل",H133="لتر"),F133/1000,IF(AND(G133="لتر",H133="مل"),F133*1000,"خطأ وحدة"))))))</x:f>
        <x:v>0.04</x:v>
      </x:c>
      <x:c r="J133" s="85" t="n">
        <x:v>0</x:v>
      </x:c>
      <x:c r="K133" s="80" t="str">
        <x:v>نعم</x:v>
      </x:c>
      <x:c r="L133" s="91" t="n">
        <x:f>IFERROR(VLOOKUP(D133,'مراجع الوصفات'!$F$2:$I$253,4,FALSE),"")</x:f>
        <x:v>50000</x:v>
      </x:c>
      <x:c r="M133" s="91" t="n">
        <x:f>IF(OR(I133="",NOT(ISNUMBER(I133)),L133=""),"",I133*L133*(1+J133/100))</x:f>
        <x:v>2000</x:v>
      </x:c>
      <x:c r="N133" s="80" t="str">
        <x:v>يمكن استبدال الفودكا بقاعدة المشروب الفعلية.</x:v>
      </x:c>
      <x:c r="O133" s="93" t="str">
        <x:f>IF(AND(B133="",D133="",F133=""),"",IF(A133="تجاهل","تجاهل",IF(OR(B133="",D133="",F133="",G133="",H133=""),"ناقص",IF(NOT(ISNUMBER(I133)),"خطأ وحدة",IF(OR(J133&lt;0,J133&gt;100),"خطأ هدر","صالح")))))</x:f>
        <x:v>صالح</x:v>
      </x:c>
    </x:row>
    <x:row r="134">
      <x:c r="A134" s="79" t="str">
        <x:v>بحاجة مراجعة</x:v>
      </x:c>
      <x:c r="B134" s="80" t="str">
        <x:v>شوت زيتونة وتاباسكو</x:v>
      </x:c>
      <x:c r="C134" s="87" t="str">
        <x:f>IFERROR(VLOOKUP(B134,'مراجع الوصفات'!$A$2:$D$79,2,FALSE),"")</x:f>
      </x:c>
      <x:c r="D134" s="80" t="str">
        <x:v>زيتون أخضر</x:v>
      </x:c>
      <x:c r="E134" s="87" t="str">
        <x:f>IFERROR(VLOOKUP(D134,'مراجع الوصفات'!$F$2:$I$253,2,FALSE),"")</x:f>
        <x:v>ING-PICKLE-GREENOLIVE</x:v>
      </x:c>
      <x:c r="F134" s="83" t="n">
        <x:v>15</x:v>
      </x:c>
      <x:c r="G134" s="80" t="str">
        <x:v>غ</x:v>
      </x:c>
      <x:c r="H134" s="87" t="str">
        <x:f>IFERROR(VLOOKUP(D134,'مراجع الوصفات'!$F$2:$I$253,3,FALSE),"")</x:f>
        <x:v>كغ</x:v>
      </x:c>
      <x:c r="I134" s="89" t="n">
        <x:f>IF(OR(F134="",G134="",H134=""),"",IF(G134=H134,F134,IF(AND(G134="غ",H134="كغ"),F134/1000,IF(AND(G134="كغ",H134="غ"),F134*1000,IF(AND(G134="مل",H134="لتر"),F134/1000,IF(AND(G134="لتر",H134="مل"),F134*1000,"خطأ وحدة"))))))</x:f>
        <x:v>0.015</x:v>
      </x:c>
      <x:c r="J134" s="85" t="n">
        <x:v>0</x:v>
      </x:c>
      <x:c r="K134" s="80" t="str">
        <x:v>نعم</x:v>
      </x:c>
      <x:c r="L134" s="91" t="str">
        <x:f>IFERROR(VLOOKUP(D134,'مراجع الوصفات'!$F$2:$I$253,4,FALSE),"")</x:f>
      </x:c>
      <x:c r="M134" s="91" t="str">
        <x:f>IF(OR(I134="",NOT(ISNUMBER(I134)),L134=""),"",I134*L134*(1+J134/100))</x:f>
      </x:c>
      <x:c r="N134" s="80" t="str"/>
      <x:c r="O134" s="93" t="str">
        <x:f>IF(AND(B134="",D134="",F134=""),"",IF(A134="تجاهل","تجاهل",IF(OR(B134="",D134="",F134="",G134="",H134=""),"ناقص",IF(NOT(ISNUMBER(I134)),"خطأ وحدة",IF(OR(J134&lt;0,J134&gt;100),"خطأ هدر","صالح")))))</x:f>
        <x:v>صالح</x:v>
      </x:c>
    </x:row>
    <x:row r="135">
      <x:c r="A135" s="79" t="str">
        <x:v>بحاجة مراجعة</x:v>
      </x:c>
      <x:c r="B135" s="80" t="str">
        <x:v>شوت زيتونة وتاباسكو</x:v>
      </x:c>
      <x:c r="C135" s="87" t="str">
        <x:f>IFERROR(VLOOKUP(B135,'مراجع الوصفات'!$A$2:$D$79,2,FALSE),"")</x:f>
      </x:c>
      <x:c r="D135" s="80" t="str">
        <x:v>تاباسكو</x:v>
      </x:c>
      <x:c r="E135" s="87" t="str">
        <x:f>IFERROR(VLOOKUP(D135,'مراجع الوصفات'!$F$2:$I$253,2,FALSE),"")</x:f>
        <x:v>ING-SAUCE-TABASCO</x:v>
      </x:c>
      <x:c r="F135" s="83" t="n">
        <x:v>2</x:v>
      </x:c>
      <x:c r="G135" s="80" t="str">
        <x:v>مل</x:v>
      </x:c>
      <x:c r="H135" s="87" t="str">
        <x:f>IFERROR(VLOOKUP(D135,'مراجع الوصفات'!$F$2:$I$253,3,FALSE),"")</x:f>
        <x:v>مل</x:v>
      </x:c>
      <x:c r="I135" s="89" t="n">
        <x:f>IF(OR(F135="",G135="",H135=""),"",IF(G135=H135,F135,IF(AND(G135="غ",H135="كغ"),F135/1000,IF(AND(G135="كغ",H135="غ"),F135*1000,IF(AND(G135="مل",H135="لتر"),F135/1000,IF(AND(G135="لتر",H135="مل"),F135*1000,"خطأ وحدة"))))))</x:f>
        <x:v>2</x:v>
      </x:c>
      <x:c r="J135" s="85" t="n">
        <x:v>0</x:v>
      </x:c>
      <x:c r="K135" s="80" t="str">
        <x:v>نعم</x:v>
      </x:c>
      <x:c r="L135" s="91" t="str">
        <x:f>IFERROR(VLOOKUP(D135,'مراجع الوصفات'!$F$2:$I$253,4,FALSE),"")</x:f>
      </x:c>
      <x:c r="M135" s="91" t="str">
        <x:f>IF(OR(I135="",NOT(ISNUMBER(I135)),L135=""),"",I135*L135*(1+J135/100))</x:f>
      </x:c>
      <x:c r="N135" s="80" t="str"/>
      <x:c r="O135" s="93" t="str">
        <x:f>IF(AND(B135="",D135="",F135=""),"",IF(A135="تجاهل","تجاهل",IF(OR(B135="",D135="",F135="",G135="",H135=""),"ناقص",IF(NOT(ISNUMBER(I135)),"خطأ وحدة",IF(OR(J135&lt;0,J135&gt;100),"خطأ هدر","صالح")))))</x:f>
        <x:v>صالح</x:v>
      </x:c>
    </x:row>
    <x:row r="136">
      <x:c r="A136" s="79"/>
      <x:c r="B136" s="80"/>
      <x:c r="C136" s="87" t="str">
        <x:f>IFERROR(VLOOKUP(B136,'مراجع الوصفات'!$A$2:$D$79,2,FALSE),"")</x:f>
      </x:c>
      <x:c r="D136" s="80"/>
      <x:c r="E136" s="87" t="str">
        <x:f>IFERROR(VLOOKUP(D136,'مراجع الوصفات'!$F$2:$I$253,2,FALSE),"")</x:f>
      </x:c>
      <x:c r="F136" s="83"/>
      <x:c r="G136" s="80"/>
      <x:c r="H136" s="87" t="str">
        <x:f>IFERROR(VLOOKUP(D136,'مراجع الوصفات'!$F$2:$I$253,3,FALSE),"")</x:f>
      </x:c>
      <x:c r="I136" s="89" t="str">
        <x:f>IF(OR(F136="",G136="",H136=""),"",IF(G136=H136,F136,IF(AND(G136="غ",H136="كغ"),F136/1000,IF(AND(G136="كغ",H136="غ"),F136*1000,IF(AND(G136="مل",H136="لتر"),F136/1000,IF(AND(G136="لتر",H136="مل"),F136*1000,"خطأ وحدة"))))))</x:f>
      </x:c>
      <x:c r="J136" s="85"/>
      <x:c r="K136" s="80"/>
      <x:c r="L136" s="91" t="str">
        <x:f>IFERROR(VLOOKUP(D136,'مراجع الوصفات'!$F$2:$I$253,4,FALSE),"")</x:f>
      </x:c>
      <x:c r="M136" s="91" t="str">
        <x:f>IF(OR(I136="",NOT(ISNUMBER(I136)),L136=""),"",I136*L136*(1+J136/100))</x:f>
      </x:c>
      <x:c r="N136" s="80"/>
      <x:c r="O136" s="93" t="str">
        <x:f>IF(AND(B136="",D136="",F136=""),"",IF(A136="تجاهل","تجاهل",IF(OR(B136="",D136="",F136="",G136="",H136=""),"ناقص",IF(NOT(ISNUMBER(I136)),"خطأ وحدة",IF(OR(J136&lt;0,J136&gt;100),"خطأ هدر","صالح")))))</x:f>
      </x:c>
    </x:row>
    <x:row r="137">
      <x:c r="A137" s="79"/>
      <x:c r="B137" s="80"/>
      <x:c r="C137" s="87" t="str">
        <x:f>IFERROR(VLOOKUP(B137,'مراجع الوصفات'!$A$2:$D$79,2,FALSE),"")</x:f>
      </x:c>
      <x:c r="D137" s="80"/>
      <x:c r="E137" s="87" t="str">
        <x:f>IFERROR(VLOOKUP(D137,'مراجع الوصفات'!$F$2:$I$253,2,FALSE),"")</x:f>
      </x:c>
      <x:c r="F137" s="83"/>
      <x:c r="G137" s="80"/>
      <x:c r="H137" s="87" t="str">
        <x:f>IFERROR(VLOOKUP(D137,'مراجع الوصفات'!$F$2:$I$253,3,FALSE),"")</x:f>
      </x:c>
      <x:c r="I137" s="89" t="str">
        <x:f>IF(OR(F137="",G137="",H137=""),"",IF(G137=H137,F137,IF(AND(G137="غ",H137="كغ"),F137/1000,IF(AND(G137="كغ",H137="غ"),F137*1000,IF(AND(G137="مل",H137="لتر"),F137/1000,IF(AND(G137="لتر",H137="مل"),F137*1000,"خطأ وحدة"))))))</x:f>
      </x:c>
      <x:c r="J137" s="85"/>
      <x:c r="K137" s="80"/>
      <x:c r="L137" s="91" t="str">
        <x:f>IFERROR(VLOOKUP(D137,'مراجع الوصفات'!$F$2:$I$253,4,FALSE),"")</x:f>
      </x:c>
      <x:c r="M137" s="91" t="str">
        <x:f>IF(OR(I137="",NOT(ISNUMBER(I137)),L137=""),"",I137*L137*(1+J137/100))</x:f>
      </x:c>
      <x:c r="N137" s="80"/>
      <x:c r="O137" s="93" t="str">
        <x:f>IF(AND(B137="",D137="",F137=""),"",IF(A137="تجاهل","تجاهل",IF(OR(B137="",D137="",F137="",G137="",H137=""),"ناقص",IF(NOT(ISNUMBER(I137)),"خطأ وحدة",IF(OR(J137&lt;0,J137&gt;100),"خطأ هدر","صالح")))))</x:f>
      </x:c>
    </x:row>
    <x:row r="138">
      <x:c r="A138" s="79"/>
      <x:c r="B138" s="80"/>
      <x:c r="C138" s="87" t="str">
        <x:f>IFERROR(VLOOKUP(B138,'مراجع الوصفات'!$A$2:$D$79,2,FALSE),"")</x:f>
      </x:c>
      <x:c r="D138" s="80"/>
      <x:c r="E138" s="87" t="str">
        <x:f>IFERROR(VLOOKUP(D138,'مراجع الوصفات'!$F$2:$I$253,2,FALSE),"")</x:f>
      </x:c>
      <x:c r="F138" s="83"/>
      <x:c r="G138" s="80"/>
      <x:c r="H138" s="87" t="str">
        <x:f>IFERROR(VLOOKUP(D138,'مراجع الوصفات'!$F$2:$I$253,3,FALSE),"")</x:f>
      </x:c>
      <x:c r="I138" s="89" t="str">
        <x:f>IF(OR(F138="",G138="",H138=""),"",IF(G138=H138,F138,IF(AND(G138="غ",H138="كغ"),F138/1000,IF(AND(G138="كغ",H138="غ"),F138*1000,IF(AND(G138="مل",H138="لتر"),F138/1000,IF(AND(G138="لتر",H138="مل"),F138*1000,"خطأ وحدة"))))))</x:f>
      </x:c>
      <x:c r="J138" s="85"/>
      <x:c r="K138" s="80"/>
      <x:c r="L138" s="91" t="str">
        <x:f>IFERROR(VLOOKUP(D138,'مراجع الوصفات'!$F$2:$I$253,4,FALSE),"")</x:f>
      </x:c>
      <x:c r="M138" s="91" t="str">
        <x:f>IF(OR(I138="",NOT(ISNUMBER(I138)),L138=""),"",I138*L138*(1+J138/100))</x:f>
      </x:c>
      <x:c r="N138" s="80"/>
      <x:c r="O138" s="93" t="str">
        <x:f>IF(AND(B138="",D138="",F138=""),"",IF(A138="تجاهل","تجاهل",IF(OR(B138="",D138="",F138="",G138="",H138=""),"ناقص",IF(NOT(ISNUMBER(I138)),"خطأ وحدة",IF(OR(J138&lt;0,J138&gt;100),"خطأ هدر","صالح")))))</x:f>
      </x:c>
    </x:row>
    <x:row r="139">
      <x:c r="A139" s="79"/>
      <x:c r="B139" s="80"/>
      <x:c r="C139" s="87" t="str">
        <x:f>IFERROR(VLOOKUP(B139,'مراجع الوصفات'!$A$2:$D$79,2,FALSE),"")</x:f>
      </x:c>
      <x:c r="D139" s="80"/>
      <x:c r="E139" s="87" t="str">
        <x:f>IFERROR(VLOOKUP(D139,'مراجع الوصفات'!$F$2:$I$253,2,FALSE),"")</x:f>
      </x:c>
      <x:c r="F139" s="83"/>
      <x:c r="G139" s="80"/>
      <x:c r="H139" s="87" t="str">
        <x:f>IFERROR(VLOOKUP(D139,'مراجع الوصفات'!$F$2:$I$253,3,FALSE),"")</x:f>
      </x:c>
      <x:c r="I139" s="89" t="str">
        <x:f>IF(OR(F139="",G139="",H139=""),"",IF(G139=H139,F139,IF(AND(G139="غ",H139="كغ"),F139/1000,IF(AND(G139="كغ",H139="غ"),F139*1000,IF(AND(G139="مل",H139="لتر"),F139/1000,IF(AND(G139="لتر",H139="مل"),F139*1000,"خطأ وحدة"))))))</x:f>
      </x:c>
      <x:c r="J139" s="85"/>
      <x:c r="K139" s="80"/>
      <x:c r="L139" s="91" t="str">
        <x:f>IFERROR(VLOOKUP(D139,'مراجع الوصفات'!$F$2:$I$253,4,FALSE),"")</x:f>
      </x:c>
      <x:c r="M139" s="91" t="str">
        <x:f>IF(OR(I139="",NOT(ISNUMBER(I139)),L139=""),"",I139*L139*(1+J139/100))</x:f>
      </x:c>
      <x:c r="N139" s="80"/>
      <x:c r="O139" s="93" t="str">
        <x:f>IF(AND(B139="",D139="",F139=""),"",IF(A139="تجاهل","تجاهل",IF(OR(B139="",D139="",F139="",G139="",H139=""),"ناقص",IF(NOT(ISNUMBER(I139)),"خطأ وحدة",IF(OR(J139&lt;0,J139&gt;100),"خطأ هدر","صالح")))))</x:f>
      </x:c>
    </x:row>
    <x:row r="140">
      <x:c r="A140" s="79"/>
      <x:c r="B140" s="80"/>
      <x:c r="C140" s="87" t="str">
        <x:f>IFERROR(VLOOKUP(B140,'مراجع الوصفات'!$A$2:$D$79,2,FALSE),"")</x:f>
      </x:c>
      <x:c r="D140" s="80"/>
      <x:c r="E140" s="87" t="str">
        <x:f>IFERROR(VLOOKUP(D140,'مراجع الوصفات'!$F$2:$I$253,2,FALSE),"")</x:f>
      </x:c>
      <x:c r="F140" s="83"/>
      <x:c r="G140" s="80"/>
      <x:c r="H140" s="87" t="str">
        <x:f>IFERROR(VLOOKUP(D140,'مراجع الوصفات'!$F$2:$I$253,3,FALSE),"")</x:f>
      </x:c>
      <x:c r="I140" s="89" t="str">
        <x:f>IF(OR(F140="",G140="",H140=""),"",IF(G140=H140,F140,IF(AND(G140="غ",H140="كغ"),F140/1000,IF(AND(G140="كغ",H140="غ"),F140*1000,IF(AND(G140="مل",H140="لتر"),F140/1000,IF(AND(G140="لتر",H140="مل"),F140*1000,"خطأ وحدة"))))))</x:f>
      </x:c>
      <x:c r="J140" s="85"/>
      <x:c r="K140" s="80"/>
      <x:c r="L140" s="91" t="str">
        <x:f>IFERROR(VLOOKUP(D140,'مراجع الوصفات'!$F$2:$I$253,4,FALSE),"")</x:f>
      </x:c>
      <x:c r="M140" s="91" t="str">
        <x:f>IF(OR(I140="",NOT(ISNUMBER(I140)),L140=""),"",I140*L140*(1+J140/100))</x:f>
      </x:c>
      <x:c r="N140" s="80"/>
      <x:c r="O140" s="93" t="str">
        <x:f>IF(AND(B140="",D140="",F140=""),"",IF(A140="تجاهل","تجاهل",IF(OR(B140="",D140="",F140="",G140="",H140=""),"ناقص",IF(NOT(ISNUMBER(I140)),"خطأ وحدة",IF(OR(J140&lt;0,J140&gt;100),"خطأ هدر","صالح")))))</x:f>
      </x:c>
    </x:row>
    <x:row r="141">
      <x:c r="A141" s="79"/>
      <x:c r="B141" s="80"/>
      <x:c r="C141" s="87" t="str">
        <x:f>IFERROR(VLOOKUP(B141,'مراجع الوصفات'!$A$2:$D$79,2,FALSE),"")</x:f>
      </x:c>
      <x:c r="D141" s="80"/>
      <x:c r="E141" s="87" t="str">
        <x:f>IFERROR(VLOOKUP(D141,'مراجع الوصفات'!$F$2:$I$253,2,FALSE),"")</x:f>
      </x:c>
      <x:c r="F141" s="83"/>
      <x:c r="G141" s="80"/>
      <x:c r="H141" s="87" t="str">
        <x:f>IFERROR(VLOOKUP(D141,'مراجع الوصفات'!$F$2:$I$253,3,FALSE),"")</x:f>
      </x:c>
      <x:c r="I141" s="89" t="str">
        <x:f>IF(OR(F141="",G141="",H141=""),"",IF(G141=H141,F141,IF(AND(G141="غ",H141="كغ"),F141/1000,IF(AND(G141="كغ",H141="غ"),F141*1000,IF(AND(G141="مل",H141="لتر"),F141/1000,IF(AND(G141="لتر",H141="مل"),F141*1000,"خطأ وحدة"))))))</x:f>
      </x:c>
      <x:c r="J141" s="85"/>
      <x:c r="K141" s="80"/>
      <x:c r="L141" s="91" t="str">
        <x:f>IFERROR(VLOOKUP(D141,'مراجع الوصفات'!$F$2:$I$253,4,FALSE),"")</x:f>
      </x:c>
      <x:c r="M141" s="91" t="str">
        <x:f>IF(OR(I141="",NOT(ISNUMBER(I141)),L141=""),"",I141*L141*(1+J141/100))</x:f>
      </x:c>
      <x:c r="N141" s="80"/>
      <x:c r="O141" s="93" t="str">
        <x:f>IF(AND(B141="",D141="",F141=""),"",IF(A141="تجاهل","تجاهل",IF(OR(B141="",D141="",F141="",G141="",H141=""),"ناقص",IF(NOT(ISNUMBER(I141)),"خطأ وحدة",IF(OR(J141&lt;0,J141&gt;100),"خطأ هدر","صالح")))))</x:f>
      </x:c>
    </x:row>
    <x:row r="142">
      <x:c r="A142" s="79"/>
      <x:c r="B142" s="80"/>
      <x:c r="C142" s="87" t="str">
        <x:f>IFERROR(VLOOKUP(B142,'مراجع الوصفات'!$A$2:$D$79,2,FALSE),"")</x:f>
      </x:c>
      <x:c r="D142" s="80"/>
      <x:c r="E142" s="87" t="str">
        <x:f>IFERROR(VLOOKUP(D142,'مراجع الوصفات'!$F$2:$I$253,2,FALSE),"")</x:f>
      </x:c>
      <x:c r="F142" s="83"/>
      <x:c r="G142" s="80"/>
      <x:c r="H142" s="87" t="str">
        <x:f>IFERROR(VLOOKUP(D142,'مراجع الوصفات'!$F$2:$I$253,3,FALSE),"")</x:f>
      </x:c>
      <x:c r="I142" s="89" t="str">
        <x:f>IF(OR(F142="",G142="",H142=""),"",IF(G142=H142,F142,IF(AND(G142="غ",H142="كغ"),F142/1000,IF(AND(G142="كغ",H142="غ"),F142*1000,IF(AND(G142="مل",H142="لتر"),F142/1000,IF(AND(G142="لتر",H142="مل"),F142*1000,"خطأ وحدة"))))))</x:f>
      </x:c>
      <x:c r="J142" s="85"/>
      <x:c r="K142" s="80"/>
      <x:c r="L142" s="91" t="str">
        <x:f>IFERROR(VLOOKUP(D142,'مراجع الوصفات'!$F$2:$I$253,4,FALSE),"")</x:f>
      </x:c>
      <x:c r="M142" s="91" t="str">
        <x:f>IF(OR(I142="",NOT(ISNUMBER(I142)),L142=""),"",I142*L142*(1+J142/100))</x:f>
      </x:c>
      <x:c r="N142" s="80"/>
      <x:c r="O142" s="93" t="str">
        <x:f>IF(AND(B142="",D142="",F142=""),"",IF(A142="تجاهل","تجاهل",IF(OR(B142="",D142="",F142="",G142="",H142=""),"ناقص",IF(NOT(ISNUMBER(I142)),"خطأ وحدة",IF(OR(J142&lt;0,J142&gt;100),"خطأ هدر","صالح")))))</x:f>
      </x:c>
    </x:row>
    <x:row r="143">
      <x:c r="A143" s="79"/>
      <x:c r="B143" s="80"/>
      <x:c r="C143" s="87" t="str">
        <x:f>IFERROR(VLOOKUP(B143,'مراجع الوصفات'!$A$2:$D$79,2,FALSE),"")</x:f>
      </x:c>
      <x:c r="D143" s="80"/>
      <x:c r="E143" s="87" t="str">
        <x:f>IFERROR(VLOOKUP(D143,'مراجع الوصفات'!$F$2:$I$253,2,FALSE),"")</x:f>
      </x:c>
      <x:c r="F143" s="83"/>
      <x:c r="G143" s="80"/>
      <x:c r="H143" s="87" t="str">
        <x:f>IFERROR(VLOOKUP(D143,'مراجع الوصفات'!$F$2:$I$253,3,FALSE),"")</x:f>
      </x:c>
      <x:c r="I143" s="89" t="str">
        <x:f>IF(OR(F143="",G143="",H143=""),"",IF(G143=H143,F143,IF(AND(G143="غ",H143="كغ"),F143/1000,IF(AND(G143="كغ",H143="غ"),F143*1000,IF(AND(G143="مل",H143="لتر"),F143/1000,IF(AND(G143="لتر",H143="مل"),F143*1000,"خطأ وحدة"))))))</x:f>
      </x:c>
      <x:c r="J143" s="85"/>
      <x:c r="K143" s="80"/>
      <x:c r="L143" s="91" t="str">
        <x:f>IFERROR(VLOOKUP(D143,'مراجع الوصفات'!$F$2:$I$253,4,FALSE),"")</x:f>
      </x:c>
      <x:c r="M143" s="91" t="str">
        <x:f>IF(OR(I143="",NOT(ISNUMBER(I143)),L143=""),"",I143*L143*(1+J143/100))</x:f>
      </x:c>
      <x:c r="N143" s="80"/>
      <x:c r="O143" s="93" t="str">
        <x:f>IF(AND(B143="",D143="",F143=""),"",IF(A143="تجاهل","تجاهل",IF(OR(B143="",D143="",F143="",G143="",H143=""),"ناقص",IF(NOT(ISNUMBER(I143)),"خطأ وحدة",IF(OR(J143&lt;0,J143&gt;100),"خطأ هدر","صالح")))))</x:f>
      </x:c>
    </x:row>
    <x:row r="144">
      <x:c r="A144" s="79"/>
      <x:c r="B144" s="80"/>
      <x:c r="C144" s="87" t="str">
        <x:f>IFERROR(VLOOKUP(B144,'مراجع الوصفات'!$A$2:$D$79,2,FALSE),"")</x:f>
      </x:c>
      <x:c r="D144" s="80"/>
      <x:c r="E144" s="87" t="str">
        <x:f>IFERROR(VLOOKUP(D144,'مراجع الوصفات'!$F$2:$I$253,2,FALSE),"")</x:f>
      </x:c>
      <x:c r="F144" s="83"/>
      <x:c r="G144" s="80"/>
      <x:c r="H144" s="87" t="str">
        <x:f>IFERROR(VLOOKUP(D144,'مراجع الوصفات'!$F$2:$I$253,3,FALSE),"")</x:f>
      </x:c>
      <x:c r="I144" s="89" t="str">
        <x:f>IF(OR(F144="",G144="",H144=""),"",IF(G144=H144,F144,IF(AND(G144="غ",H144="كغ"),F144/1000,IF(AND(G144="كغ",H144="غ"),F144*1000,IF(AND(G144="مل",H144="لتر"),F144/1000,IF(AND(G144="لتر",H144="مل"),F144*1000,"خطأ وحدة"))))))</x:f>
      </x:c>
      <x:c r="J144" s="85"/>
      <x:c r="K144" s="80"/>
      <x:c r="L144" s="91" t="str">
        <x:f>IFERROR(VLOOKUP(D144,'مراجع الوصفات'!$F$2:$I$253,4,FALSE),"")</x:f>
      </x:c>
      <x:c r="M144" s="91" t="str">
        <x:f>IF(OR(I144="",NOT(ISNUMBER(I144)),L144=""),"",I144*L144*(1+J144/100))</x:f>
      </x:c>
      <x:c r="N144" s="80"/>
      <x:c r="O144" s="93" t="str">
        <x:f>IF(AND(B144="",D144="",F144=""),"",IF(A144="تجاهل","تجاهل",IF(OR(B144="",D144="",F144="",G144="",H144=""),"ناقص",IF(NOT(ISNUMBER(I144)),"خطأ وحدة",IF(OR(J144&lt;0,J144&gt;100),"خطأ هدر","صالح")))))</x:f>
      </x:c>
    </x:row>
    <x:row r="145">
      <x:c r="A145" s="79"/>
      <x:c r="B145" s="80"/>
      <x:c r="C145" s="87" t="str">
        <x:f>IFERROR(VLOOKUP(B145,'مراجع الوصفات'!$A$2:$D$79,2,FALSE),"")</x:f>
      </x:c>
      <x:c r="D145" s="80"/>
      <x:c r="E145" s="87" t="str">
        <x:f>IFERROR(VLOOKUP(D145,'مراجع الوصفات'!$F$2:$I$253,2,FALSE),"")</x:f>
      </x:c>
      <x:c r="F145" s="83"/>
      <x:c r="G145" s="80"/>
      <x:c r="H145" s="87" t="str">
        <x:f>IFERROR(VLOOKUP(D145,'مراجع الوصفات'!$F$2:$I$253,3,FALSE),"")</x:f>
      </x:c>
      <x:c r="I145" s="89" t="str">
        <x:f>IF(OR(F145="",G145="",H145=""),"",IF(G145=H145,F145,IF(AND(G145="غ",H145="كغ"),F145/1000,IF(AND(G145="كغ",H145="غ"),F145*1000,IF(AND(G145="مل",H145="لتر"),F145/1000,IF(AND(G145="لتر",H145="مل"),F145*1000,"خطأ وحدة"))))))</x:f>
      </x:c>
      <x:c r="J145" s="85"/>
      <x:c r="K145" s="80"/>
      <x:c r="L145" s="91" t="str">
        <x:f>IFERROR(VLOOKUP(D145,'مراجع الوصفات'!$F$2:$I$253,4,FALSE),"")</x:f>
      </x:c>
      <x:c r="M145" s="91" t="str">
        <x:f>IF(OR(I145="",NOT(ISNUMBER(I145)),L145=""),"",I145*L145*(1+J145/100))</x:f>
      </x:c>
      <x:c r="N145" s="80"/>
      <x:c r="O145" s="93" t="str">
        <x:f>IF(AND(B145="",D145="",F145=""),"",IF(A145="تجاهل","تجاهل",IF(OR(B145="",D145="",F145="",G145="",H145=""),"ناقص",IF(NOT(ISNUMBER(I145)),"خطأ وحدة",IF(OR(J145&lt;0,J145&gt;100),"خطأ هدر","صالح")))))</x:f>
      </x:c>
    </x:row>
    <x:row r="146">
      <x:c r="A146" s="79"/>
      <x:c r="B146" s="80"/>
      <x:c r="C146" s="87" t="str">
        <x:f>IFERROR(VLOOKUP(B146,'مراجع الوصفات'!$A$2:$D$79,2,FALSE),"")</x:f>
      </x:c>
      <x:c r="D146" s="80"/>
      <x:c r="E146" s="87" t="str">
        <x:f>IFERROR(VLOOKUP(D146,'مراجع الوصفات'!$F$2:$I$253,2,FALSE),"")</x:f>
      </x:c>
      <x:c r="F146" s="83"/>
      <x:c r="G146" s="80"/>
      <x:c r="H146" s="87" t="str">
        <x:f>IFERROR(VLOOKUP(D146,'مراجع الوصفات'!$F$2:$I$253,3,FALSE),"")</x:f>
      </x:c>
      <x:c r="I146" s="89" t="str">
        <x:f>IF(OR(F146="",G146="",H146=""),"",IF(G146=H146,F146,IF(AND(G146="غ",H146="كغ"),F146/1000,IF(AND(G146="كغ",H146="غ"),F146*1000,IF(AND(G146="مل",H146="لتر"),F146/1000,IF(AND(G146="لتر",H146="مل"),F146*1000,"خطأ وحدة"))))))</x:f>
      </x:c>
      <x:c r="J146" s="85"/>
      <x:c r="K146" s="80"/>
      <x:c r="L146" s="91" t="str">
        <x:f>IFERROR(VLOOKUP(D146,'مراجع الوصفات'!$F$2:$I$253,4,FALSE),"")</x:f>
      </x:c>
      <x:c r="M146" s="91" t="str">
        <x:f>IF(OR(I146="",NOT(ISNUMBER(I146)),L146=""),"",I146*L146*(1+J146/100))</x:f>
      </x:c>
      <x:c r="N146" s="80"/>
      <x:c r="O146" s="93" t="str">
        <x:f>IF(AND(B146="",D146="",F146=""),"",IF(A146="تجاهل","تجاهل",IF(OR(B146="",D146="",F146="",G146="",H146=""),"ناقص",IF(NOT(ISNUMBER(I146)),"خطأ وحدة",IF(OR(J146&lt;0,J146&gt;100),"خطأ هدر","صالح")))))</x:f>
      </x:c>
    </x:row>
    <x:row r="147">
      <x:c r="A147" s="79"/>
      <x:c r="B147" s="80"/>
      <x:c r="C147" s="87" t="str">
        <x:f>IFERROR(VLOOKUP(B147,'مراجع الوصفات'!$A$2:$D$79,2,FALSE),"")</x:f>
      </x:c>
      <x:c r="D147" s="80"/>
      <x:c r="E147" s="87" t="str">
        <x:f>IFERROR(VLOOKUP(D147,'مراجع الوصفات'!$F$2:$I$253,2,FALSE),"")</x:f>
      </x:c>
      <x:c r="F147" s="83"/>
      <x:c r="G147" s="80"/>
      <x:c r="H147" s="87" t="str">
        <x:f>IFERROR(VLOOKUP(D147,'مراجع الوصفات'!$F$2:$I$253,3,FALSE),"")</x:f>
      </x:c>
      <x:c r="I147" s="89" t="str">
        <x:f>IF(OR(F147="",G147="",H147=""),"",IF(G147=H147,F147,IF(AND(G147="غ",H147="كغ"),F147/1000,IF(AND(G147="كغ",H147="غ"),F147*1000,IF(AND(G147="مل",H147="لتر"),F147/1000,IF(AND(G147="لتر",H147="مل"),F147*1000,"خطأ وحدة"))))))</x:f>
      </x:c>
      <x:c r="J147" s="85"/>
      <x:c r="K147" s="80"/>
      <x:c r="L147" s="91" t="str">
        <x:f>IFERROR(VLOOKUP(D147,'مراجع الوصفات'!$F$2:$I$253,4,FALSE),"")</x:f>
      </x:c>
      <x:c r="M147" s="91" t="str">
        <x:f>IF(OR(I147="",NOT(ISNUMBER(I147)),L147=""),"",I147*L147*(1+J147/100))</x:f>
      </x:c>
      <x:c r="N147" s="80"/>
      <x:c r="O147" s="93" t="str">
        <x:f>IF(AND(B147="",D147="",F147=""),"",IF(A147="تجاهل","تجاهل",IF(OR(B147="",D147="",F147="",G147="",H147=""),"ناقص",IF(NOT(ISNUMBER(I147)),"خطأ وحدة",IF(OR(J147&lt;0,J147&gt;100),"خطأ هدر","صالح")))))</x:f>
      </x:c>
    </x:row>
    <x:row r="148">
      <x:c r="A148" s="79"/>
      <x:c r="B148" s="80"/>
      <x:c r="C148" s="87" t="str">
        <x:f>IFERROR(VLOOKUP(B148,'مراجع الوصفات'!$A$2:$D$79,2,FALSE),"")</x:f>
      </x:c>
      <x:c r="D148" s="80"/>
      <x:c r="E148" s="87" t="str">
        <x:f>IFERROR(VLOOKUP(D148,'مراجع الوصفات'!$F$2:$I$253,2,FALSE),"")</x:f>
      </x:c>
      <x:c r="F148" s="83"/>
      <x:c r="G148" s="80"/>
      <x:c r="H148" s="87" t="str">
        <x:f>IFERROR(VLOOKUP(D148,'مراجع الوصفات'!$F$2:$I$253,3,FALSE),"")</x:f>
      </x:c>
      <x:c r="I148" s="89" t="str">
        <x:f>IF(OR(F148="",G148="",H148=""),"",IF(G148=H148,F148,IF(AND(G148="غ",H148="كغ"),F148/1000,IF(AND(G148="كغ",H148="غ"),F148*1000,IF(AND(G148="مل",H148="لتر"),F148/1000,IF(AND(G148="لتر",H148="مل"),F148*1000,"خطأ وحدة"))))))</x:f>
      </x:c>
      <x:c r="J148" s="85"/>
      <x:c r="K148" s="80"/>
      <x:c r="L148" s="91" t="str">
        <x:f>IFERROR(VLOOKUP(D148,'مراجع الوصفات'!$F$2:$I$253,4,FALSE),"")</x:f>
      </x:c>
      <x:c r="M148" s="91" t="str">
        <x:f>IF(OR(I148="",NOT(ISNUMBER(I148)),L148=""),"",I148*L148*(1+J148/100))</x:f>
      </x:c>
      <x:c r="N148" s="80"/>
      <x:c r="O148" s="93" t="str">
        <x:f>IF(AND(B148="",D148="",F148=""),"",IF(A148="تجاهل","تجاهل",IF(OR(B148="",D148="",F148="",G148="",H148=""),"ناقص",IF(NOT(ISNUMBER(I148)),"خطأ وحدة",IF(OR(J148&lt;0,J148&gt;100),"خطأ هدر","صالح")))))</x:f>
      </x:c>
    </x:row>
    <x:row r="149">
      <x:c r="A149" s="79"/>
      <x:c r="B149" s="80"/>
      <x:c r="C149" s="87" t="str">
        <x:f>IFERROR(VLOOKUP(B149,'مراجع الوصفات'!$A$2:$D$79,2,FALSE),"")</x:f>
      </x:c>
      <x:c r="D149" s="80"/>
      <x:c r="E149" s="87" t="str">
        <x:f>IFERROR(VLOOKUP(D149,'مراجع الوصفات'!$F$2:$I$253,2,FALSE),"")</x:f>
      </x:c>
      <x:c r="F149" s="83"/>
      <x:c r="G149" s="80"/>
      <x:c r="H149" s="87" t="str">
        <x:f>IFERROR(VLOOKUP(D149,'مراجع الوصفات'!$F$2:$I$253,3,FALSE),"")</x:f>
      </x:c>
      <x:c r="I149" s="89" t="str">
        <x:f>IF(OR(F149="",G149="",H149=""),"",IF(G149=H149,F149,IF(AND(G149="غ",H149="كغ"),F149/1000,IF(AND(G149="كغ",H149="غ"),F149*1000,IF(AND(G149="مل",H149="لتر"),F149/1000,IF(AND(G149="لتر",H149="مل"),F149*1000,"خطأ وحدة"))))))</x:f>
      </x:c>
      <x:c r="J149" s="85"/>
      <x:c r="K149" s="80"/>
      <x:c r="L149" s="91" t="str">
        <x:f>IFERROR(VLOOKUP(D149,'مراجع الوصفات'!$F$2:$I$253,4,FALSE),"")</x:f>
      </x:c>
      <x:c r="M149" s="91" t="str">
        <x:f>IF(OR(I149="",NOT(ISNUMBER(I149)),L149=""),"",I149*L149*(1+J149/100))</x:f>
      </x:c>
      <x:c r="N149" s="80"/>
      <x:c r="O149" s="93" t="str">
        <x:f>IF(AND(B149="",D149="",F149=""),"",IF(A149="تجاهل","تجاهل",IF(OR(B149="",D149="",F149="",G149="",H149=""),"ناقص",IF(NOT(ISNUMBER(I149)),"خطأ وحدة",IF(OR(J149&lt;0,J149&gt;100),"خطأ هدر","صالح")))))</x:f>
      </x:c>
    </x:row>
    <x:row r="150">
      <x:c r="A150" s="79"/>
      <x:c r="B150" s="80"/>
      <x:c r="C150" s="87" t="str">
        <x:f>IFERROR(VLOOKUP(B150,'مراجع الوصفات'!$A$2:$D$79,2,FALSE),"")</x:f>
      </x:c>
      <x:c r="D150" s="80"/>
      <x:c r="E150" s="87" t="str">
        <x:f>IFERROR(VLOOKUP(D150,'مراجع الوصفات'!$F$2:$I$253,2,FALSE),"")</x:f>
      </x:c>
      <x:c r="F150" s="83"/>
      <x:c r="G150" s="80"/>
      <x:c r="H150" s="87" t="str">
        <x:f>IFERROR(VLOOKUP(D150,'مراجع الوصفات'!$F$2:$I$253,3,FALSE),"")</x:f>
      </x:c>
      <x:c r="I150" s="89" t="str">
        <x:f>IF(OR(F150="",G150="",H150=""),"",IF(G150=H150,F150,IF(AND(G150="غ",H150="كغ"),F150/1000,IF(AND(G150="كغ",H150="غ"),F150*1000,IF(AND(G150="مل",H150="لتر"),F150/1000,IF(AND(G150="لتر",H150="مل"),F150*1000,"خطأ وحدة"))))))</x:f>
      </x:c>
      <x:c r="J150" s="85"/>
      <x:c r="K150" s="80"/>
      <x:c r="L150" s="91" t="str">
        <x:f>IFERROR(VLOOKUP(D150,'مراجع الوصفات'!$F$2:$I$253,4,FALSE),"")</x:f>
      </x:c>
      <x:c r="M150" s="91" t="str">
        <x:f>IF(OR(I150="",NOT(ISNUMBER(I150)),L150=""),"",I150*L150*(1+J150/100))</x:f>
      </x:c>
      <x:c r="N150" s="80"/>
      <x:c r="O150" s="93" t="str">
        <x:f>IF(AND(B150="",D150="",F150=""),"",IF(A150="تجاهل","تجاهل",IF(OR(B150="",D150="",F150="",G150="",H150=""),"ناقص",IF(NOT(ISNUMBER(I150)),"خطأ وحدة",IF(OR(J150&lt;0,J150&gt;100),"خطأ هدر","صالح")))))</x:f>
      </x:c>
    </x:row>
    <x:row r="151">
      <x:c r="A151" s="79"/>
      <x:c r="B151" s="80"/>
      <x:c r="C151" s="87" t="str">
        <x:f>IFERROR(VLOOKUP(B151,'مراجع الوصفات'!$A$2:$D$79,2,FALSE),"")</x:f>
      </x:c>
      <x:c r="D151" s="80"/>
      <x:c r="E151" s="87" t="str">
        <x:f>IFERROR(VLOOKUP(D151,'مراجع الوصفات'!$F$2:$I$253,2,FALSE),"")</x:f>
      </x:c>
      <x:c r="F151" s="83"/>
      <x:c r="G151" s="80"/>
      <x:c r="H151" s="87" t="str">
        <x:f>IFERROR(VLOOKUP(D151,'مراجع الوصفات'!$F$2:$I$253,3,FALSE),"")</x:f>
      </x:c>
      <x:c r="I151" s="89" t="str">
        <x:f>IF(OR(F151="",G151="",H151=""),"",IF(G151=H151,F151,IF(AND(G151="غ",H151="كغ"),F151/1000,IF(AND(G151="كغ",H151="غ"),F151*1000,IF(AND(G151="مل",H151="لتر"),F151/1000,IF(AND(G151="لتر",H151="مل"),F151*1000,"خطأ وحدة"))))))</x:f>
      </x:c>
      <x:c r="J151" s="85"/>
      <x:c r="K151" s="80"/>
      <x:c r="L151" s="91" t="str">
        <x:f>IFERROR(VLOOKUP(D151,'مراجع الوصفات'!$F$2:$I$253,4,FALSE),"")</x:f>
      </x:c>
      <x:c r="M151" s="91" t="str">
        <x:f>IF(OR(I151="",NOT(ISNUMBER(I151)),L151=""),"",I151*L151*(1+J151/100))</x:f>
      </x:c>
      <x:c r="N151" s="80"/>
      <x:c r="O151" s="93" t="str">
        <x:f>IF(AND(B151="",D151="",F151=""),"",IF(A151="تجاهل","تجاهل",IF(OR(B151="",D151="",F151="",G151="",H151=""),"ناقص",IF(NOT(ISNUMBER(I151)),"خطأ وحدة",IF(OR(J151&lt;0,J151&gt;100),"خطأ هدر","صالح")))))</x:f>
      </x:c>
    </x:row>
    <x:row r="152">
      <x:c r="A152" s="79"/>
      <x:c r="B152" s="80"/>
      <x:c r="C152" s="87" t="str">
        <x:f>IFERROR(VLOOKUP(B152,'مراجع الوصفات'!$A$2:$D$79,2,FALSE),"")</x:f>
      </x:c>
      <x:c r="D152" s="80"/>
      <x:c r="E152" s="87" t="str">
        <x:f>IFERROR(VLOOKUP(D152,'مراجع الوصفات'!$F$2:$I$253,2,FALSE),"")</x:f>
      </x:c>
      <x:c r="F152" s="83"/>
      <x:c r="G152" s="80"/>
      <x:c r="H152" s="87" t="str">
        <x:f>IFERROR(VLOOKUP(D152,'مراجع الوصفات'!$F$2:$I$253,3,FALSE),"")</x:f>
      </x:c>
      <x:c r="I152" s="89" t="str">
        <x:f>IF(OR(F152="",G152="",H152=""),"",IF(G152=H152,F152,IF(AND(G152="غ",H152="كغ"),F152/1000,IF(AND(G152="كغ",H152="غ"),F152*1000,IF(AND(G152="مل",H152="لتر"),F152/1000,IF(AND(G152="لتر",H152="مل"),F152*1000,"خطأ وحدة"))))))</x:f>
      </x:c>
      <x:c r="J152" s="85"/>
      <x:c r="K152" s="80"/>
      <x:c r="L152" s="91" t="str">
        <x:f>IFERROR(VLOOKUP(D152,'مراجع الوصفات'!$F$2:$I$253,4,FALSE),"")</x:f>
      </x:c>
      <x:c r="M152" s="91" t="str">
        <x:f>IF(OR(I152="",NOT(ISNUMBER(I152)),L152=""),"",I152*L152*(1+J152/100))</x:f>
      </x:c>
      <x:c r="N152" s="80"/>
      <x:c r="O152" s="93" t="str">
        <x:f>IF(AND(B152="",D152="",F152=""),"",IF(A152="تجاهل","تجاهل",IF(OR(B152="",D152="",F152="",G152="",H152=""),"ناقص",IF(NOT(ISNUMBER(I152)),"خطأ وحدة",IF(OR(J152&lt;0,J152&gt;100),"خطأ هدر","صالح")))))</x:f>
      </x:c>
    </x:row>
    <x:row r="153">
      <x:c r="A153" s="79"/>
      <x:c r="B153" s="80"/>
      <x:c r="C153" s="87" t="str">
        <x:f>IFERROR(VLOOKUP(B153,'مراجع الوصفات'!$A$2:$D$79,2,FALSE),"")</x:f>
      </x:c>
      <x:c r="D153" s="80"/>
      <x:c r="E153" s="87" t="str">
        <x:f>IFERROR(VLOOKUP(D153,'مراجع الوصفات'!$F$2:$I$253,2,FALSE),"")</x:f>
      </x:c>
      <x:c r="F153" s="83"/>
      <x:c r="G153" s="80"/>
      <x:c r="H153" s="87" t="str">
        <x:f>IFERROR(VLOOKUP(D153,'مراجع الوصفات'!$F$2:$I$253,3,FALSE),"")</x:f>
      </x:c>
      <x:c r="I153" s="89" t="str">
        <x:f>IF(OR(F153="",G153="",H153=""),"",IF(G153=H153,F153,IF(AND(G153="غ",H153="كغ"),F153/1000,IF(AND(G153="كغ",H153="غ"),F153*1000,IF(AND(G153="مل",H153="لتر"),F153/1000,IF(AND(G153="لتر",H153="مل"),F153*1000,"خطأ وحدة"))))))</x:f>
      </x:c>
      <x:c r="J153" s="85"/>
      <x:c r="K153" s="80"/>
      <x:c r="L153" s="91" t="str">
        <x:f>IFERROR(VLOOKUP(D153,'مراجع الوصفات'!$F$2:$I$253,4,FALSE),"")</x:f>
      </x:c>
      <x:c r="M153" s="91" t="str">
        <x:f>IF(OR(I153="",NOT(ISNUMBER(I153)),L153=""),"",I153*L153*(1+J153/100))</x:f>
      </x:c>
      <x:c r="N153" s="80"/>
      <x:c r="O153" s="93" t="str">
        <x:f>IF(AND(B153="",D153="",F153=""),"",IF(A153="تجاهل","تجاهل",IF(OR(B153="",D153="",F153="",G153="",H153=""),"ناقص",IF(NOT(ISNUMBER(I153)),"خطأ وحدة",IF(OR(J153&lt;0,J153&gt;100),"خطأ هدر","صالح")))))</x:f>
      </x:c>
    </x:row>
    <x:row r="154">
      <x:c r="A154" s="79"/>
      <x:c r="B154" s="80"/>
      <x:c r="C154" s="87" t="str">
        <x:f>IFERROR(VLOOKUP(B154,'مراجع الوصفات'!$A$2:$D$79,2,FALSE),"")</x:f>
      </x:c>
      <x:c r="D154" s="80"/>
      <x:c r="E154" s="87" t="str">
        <x:f>IFERROR(VLOOKUP(D154,'مراجع الوصفات'!$F$2:$I$253,2,FALSE),"")</x:f>
      </x:c>
      <x:c r="F154" s="83"/>
      <x:c r="G154" s="80"/>
      <x:c r="H154" s="87" t="str">
        <x:f>IFERROR(VLOOKUP(D154,'مراجع الوصفات'!$F$2:$I$253,3,FALSE),"")</x:f>
      </x:c>
      <x:c r="I154" s="89" t="str">
        <x:f>IF(OR(F154="",G154="",H154=""),"",IF(G154=H154,F154,IF(AND(G154="غ",H154="كغ"),F154/1000,IF(AND(G154="كغ",H154="غ"),F154*1000,IF(AND(G154="مل",H154="لتر"),F154/1000,IF(AND(G154="لتر",H154="مل"),F154*1000,"خطأ وحدة"))))))</x:f>
      </x:c>
      <x:c r="J154" s="85"/>
      <x:c r="K154" s="80"/>
      <x:c r="L154" s="91" t="str">
        <x:f>IFERROR(VLOOKUP(D154,'مراجع الوصفات'!$F$2:$I$253,4,FALSE),"")</x:f>
      </x:c>
      <x:c r="M154" s="91" t="str">
        <x:f>IF(OR(I154="",NOT(ISNUMBER(I154)),L154=""),"",I154*L154*(1+J154/100))</x:f>
      </x:c>
      <x:c r="N154" s="80"/>
      <x:c r="O154" s="93" t="str">
        <x:f>IF(AND(B154="",D154="",F154=""),"",IF(A154="تجاهل","تجاهل",IF(OR(B154="",D154="",F154="",G154="",H154=""),"ناقص",IF(NOT(ISNUMBER(I154)),"خطأ وحدة",IF(OR(J154&lt;0,J154&gt;100),"خطأ هدر","صالح")))))</x:f>
      </x:c>
    </x:row>
    <x:row r="155">
      <x:c r="A155" s="79"/>
      <x:c r="B155" s="80"/>
      <x:c r="C155" s="87" t="str">
        <x:f>IFERROR(VLOOKUP(B155,'مراجع الوصفات'!$A$2:$D$79,2,FALSE),"")</x:f>
      </x:c>
      <x:c r="D155" s="80"/>
      <x:c r="E155" s="87" t="str">
        <x:f>IFERROR(VLOOKUP(D155,'مراجع الوصفات'!$F$2:$I$253,2,FALSE),"")</x:f>
      </x:c>
      <x:c r="F155" s="83"/>
      <x:c r="G155" s="80"/>
      <x:c r="H155" s="87" t="str">
        <x:f>IFERROR(VLOOKUP(D155,'مراجع الوصفات'!$F$2:$I$253,3,FALSE),"")</x:f>
      </x:c>
      <x:c r="I155" s="89" t="str">
        <x:f>IF(OR(F155="",G155="",H155=""),"",IF(G155=H155,F155,IF(AND(G155="غ",H155="كغ"),F155/1000,IF(AND(G155="كغ",H155="غ"),F155*1000,IF(AND(G155="مل",H155="لتر"),F155/1000,IF(AND(G155="لتر",H155="مل"),F155*1000,"خطأ وحدة"))))))</x:f>
      </x:c>
      <x:c r="J155" s="85"/>
      <x:c r="K155" s="80"/>
      <x:c r="L155" s="91" t="str">
        <x:f>IFERROR(VLOOKUP(D155,'مراجع الوصفات'!$F$2:$I$253,4,FALSE),"")</x:f>
      </x:c>
      <x:c r="M155" s="91" t="str">
        <x:f>IF(OR(I155="",NOT(ISNUMBER(I155)),L155=""),"",I155*L155*(1+J155/100))</x:f>
      </x:c>
      <x:c r="N155" s="80"/>
      <x:c r="O155" s="93" t="str">
        <x:f>IF(AND(B155="",D155="",F155=""),"",IF(A155="تجاهل","تجاهل",IF(OR(B155="",D155="",F155="",G155="",H155=""),"ناقص",IF(NOT(ISNUMBER(I155)),"خطأ وحدة",IF(OR(J155&lt;0,J155&gt;100),"خطأ هدر","صالح")))))</x:f>
      </x:c>
    </x:row>
    <x:row r="156">
      <x:c r="A156" s="79"/>
      <x:c r="B156" s="80"/>
      <x:c r="C156" s="87" t="str">
        <x:f>IFERROR(VLOOKUP(B156,'مراجع الوصفات'!$A$2:$D$79,2,FALSE),"")</x:f>
      </x:c>
      <x:c r="D156" s="80"/>
      <x:c r="E156" s="87" t="str">
        <x:f>IFERROR(VLOOKUP(D156,'مراجع الوصفات'!$F$2:$I$253,2,FALSE),"")</x:f>
      </x:c>
      <x:c r="F156" s="83"/>
      <x:c r="G156" s="80"/>
      <x:c r="H156" s="87" t="str">
        <x:f>IFERROR(VLOOKUP(D156,'مراجع الوصفات'!$F$2:$I$253,3,FALSE),"")</x:f>
      </x:c>
      <x:c r="I156" s="89" t="str">
        <x:f>IF(OR(F156="",G156="",H156=""),"",IF(G156=H156,F156,IF(AND(G156="غ",H156="كغ"),F156/1000,IF(AND(G156="كغ",H156="غ"),F156*1000,IF(AND(G156="مل",H156="لتر"),F156/1000,IF(AND(G156="لتر",H156="مل"),F156*1000,"خطأ وحدة"))))))</x:f>
      </x:c>
      <x:c r="J156" s="85"/>
      <x:c r="K156" s="80"/>
      <x:c r="L156" s="91" t="str">
        <x:f>IFERROR(VLOOKUP(D156,'مراجع الوصفات'!$F$2:$I$253,4,FALSE),"")</x:f>
      </x:c>
      <x:c r="M156" s="91" t="str">
        <x:f>IF(OR(I156="",NOT(ISNUMBER(I156)),L156=""),"",I156*L156*(1+J156/100))</x:f>
      </x:c>
      <x:c r="N156" s="80"/>
      <x:c r="O156" s="93" t="str">
        <x:f>IF(AND(B156="",D156="",F156=""),"",IF(A156="تجاهل","تجاهل",IF(OR(B156="",D156="",F156="",G156="",H156=""),"ناقص",IF(NOT(ISNUMBER(I156)),"خطأ وحدة",IF(OR(J156&lt;0,J156&gt;100),"خطأ هدر","صالح")))))</x:f>
      </x:c>
    </x:row>
    <x:row r="157">
      <x:c r="A157" s="79"/>
      <x:c r="B157" s="80"/>
      <x:c r="C157" s="87" t="str">
        <x:f>IFERROR(VLOOKUP(B157,'مراجع الوصفات'!$A$2:$D$79,2,FALSE),"")</x:f>
      </x:c>
      <x:c r="D157" s="80"/>
      <x:c r="E157" s="87" t="str">
        <x:f>IFERROR(VLOOKUP(D157,'مراجع الوصفات'!$F$2:$I$253,2,FALSE),"")</x:f>
      </x:c>
      <x:c r="F157" s="83"/>
      <x:c r="G157" s="80"/>
      <x:c r="H157" s="87" t="str">
        <x:f>IFERROR(VLOOKUP(D157,'مراجع الوصفات'!$F$2:$I$253,3,FALSE),"")</x:f>
      </x:c>
      <x:c r="I157" s="89" t="str">
        <x:f>IF(OR(F157="",G157="",H157=""),"",IF(G157=H157,F157,IF(AND(G157="غ",H157="كغ"),F157/1000,IF(AND(G157="كغ",H157="غ"),F157*1000,IF(AND(G157="مل",H157="لتر"),F157/1000,IF(AND(G157="لتر",H157="مل"),F157*1000,"خطأ وحدة"))))))</x:f>
      </x:c>
      <x:c r="J157" s="85"/>
      <x:c r="K157" s="80"/>
      <x:c r="L157" s="91" t="str">
        <x:f>IFERROR(VLOOKUP(D157,'مراجع الوصفات'!$F$2:$I$253,4,FALSE),"")</x:f>
      </x:c>
      <x:c r="M157" s="91" t="str">
        <x:f>IF(OR(I157="",NOT(ISNUMBER(I157)),L157=""),"",I157*L157*(1+J157/100))</x:f>
      </x:c>
      <x:c r="N157" s="80"/>
      <x:c r="O157" s="93" t="str">
        <x:f>IF(AND(B157="",D157="",F157=""),"",IF(A157="تجاهل","تجاهل",IF(OR(B157="",D157="",F157="",G157="",H157=""),"ناقص",IF(NOT(ISNUMBER(I157)),"خطأ وحدة",IF(OR(J157&lt;0,J157&gt;100),"خطأ هدر","صالح")))))</x:f>
      </x:c>
    </x:row>
    <x:row r="158">
      <x:c r="A158" s="79"/>
      <x:c r="B158" s="80"/>
      <x:c r="C158" s="87" t="str">
        <x:f>IFERROR(VLOOKUP(B158,'مراجع الوصفات'!$A$2:$D$79,2,FALSE),"")</x:f>
      </x:c>
      <x:c r="D158" s="80"/>
      <x:c r="E158" s="87" t="str">
        <x:f>IFERROR(VLOOKUP(D158,'مراجع الوصفات'!$F$2:$I$253,2,FALSE),"")</x:f>
      </x:c>
      <x:c r="F158" s="83"/>
      <x:c r="G158" s="80"/>
      <x:c r="H158" s="87" t="str">
        <x:f>IFERROR(VLOOKUP(D158,'مراجع الوصفات'!$F$2:$I$253,3,FALSE),"")</x:f>
      </x:c>
      <x:c r="I158" s="89" t="str">
        <x:f>IF(OR(F158="",G158="",H158=""),"",IF(G158=H158,F158,IF(AND(G158="غ",H158="كغ"),F158/1000,IF(AND(G158="كغ",H158="غ"),F158*1000,IF(AND(G158="مل",H158="لتر"),F158/1000,IF(AND(G158="لتر",H158="مل"),F158*1000,"خطأ وحدة"))))))</x:f>
      </x:c>
      <x:c r="J158" s="85"/>
      <x:c r="K158" s="80"/>
      <x:c r="L158" s="91" t="str">
        <x:f>IFERROR(VLOOKUP(D158,'مراجع الوصفات'!$F$2:$I$253,4,FALSE),"")</x:f>
      </x:c>
      <x:c r="M158" s="91" t="str">
        <x:f>IF(OR(I158="",NOT(ISNUMBER(I158)),L158=""),"",I158*L158*(1+J158/100))</x:f>
      </x:c>
      <x:c r="N158" s="80"/>
      <x:c r="O158" s="93" t="str">
        <x:f>IF(AND(B158="",D158="",F158=""),"",IF(A158="تجاهل","تجاهل",IF(OR(B158="",D158="",F158="",G158="",H158=""),"ناقص",IF(NOT(ISNUMBER(I158)),"خطأ وحدة",IF(OR(J158&lt;0,J158&gt;100),"خطأ هدر","صالح")))))</x:f>
      </x:c>
    </x:row>
    <x:row r="159">
      <x:c r="A159" s="79"/>
      <x:c r="B159" s="80"/>
      <x:c r="C159" s="87" t="str">
        <x:f>IFERROR(VLOOKUP(B159,'مراجع الوصفات'!$A$2:$D$79,2,FALSE),"")</x:f>
      </x:c>
      <x:c r="D159" s="80"/>
      <x:c r="E159" s="87" t="str">
        <x:f>IFERROR(VLOOKUP(D159,'مراجع الوصفات'!$F$2:$I$253,2,FALSE),"")</x:f>
      </x:c>
      <x:c r="F159" s="83"/>
      <x:c r="G159" s="80"/>
      <x:c r="H159" s="87" t="str">
        <x:f>IFERROR(VLOOKUP(D159,'مراجع الوصفات'!$F$2:$I$253,3,FALSE),"")</x:f>
      </x:c>
      <x:c r="I159" s="89" t="str">
        <x:f>IF(OR(F159="",G159="",H159=""),"",IF(G159=H159,F159,IF(AND(G159="غ",H159="كغ"),F159/1000,IF(AND(G159="كغ",H159="غ"),F159*1000,IF(AND(G159="مل",H159="لتر"),F159/1000,IF(AND(G159="لتر",H159="مل"),F159*1000,"خطأ وحدة"))))))</x:f>
      </x:c>
      <x:c r="J159" s="85"/>
      <x:c r="K159" s="80"/>
      <x:c r="L159" s="91" t="str">
        <x:f>IFERROR(VLOOKUP(D159,'مراجع الوصفات'!$F$2:$I$253,4,FALSE),"")</x:f>
      </x:c>
      <x:c r="M159" s="91" t="str">
        <x:f>IF(OR(I159="",NOT(ISNUMBER(I159)),L159=""),"",I159*L159*(1+J159/100))</x:f>
      </x:c>
      <x:c r="N159" s="80"/>
      <x:c r="O159" s="93" t="str">
        <x:f>IF(AND(B159="",D159="",F159=""),"",IF(A159="تجاهل","تجاهل",IF(OR(B159="",D159="",F159="",G159="",H159=""),"ناقص",IF(NOT(ISNUMBER(I159)),"خطأ وحدة",IF(OR(J159&lt;0,J159&gt;100),"خطأ هدر","صالح")))))</x:f>
      </x:c>
    </x:row>
    <x:row r="160">
      <x:c r="A160" s="79"/>
      <x:c r="B160" s="80"/>
      <x:c r="C160" s="87" t="str">
        <x:f>IFERROR(VLOOKUP(B160,'مراجع الوصفات'!$A$2:$D$79,2,FALSE),"")</x:f>
      </x:c>
      <x:c r="D160" s="80"/>
      <x:c r="E160" s="87" t="str">
        <x:f>IFERROR(VLOOKUP(D160,'مراجع الوصفات'!$F$2:$I$253,2,FALSE),"")</x:f>
      </x:c>
      <x:c r="F160" s="83"/>
      <x:c r="G160" s="80"/>
      <x:c r="H160" s="87" t="str">
        <x:f>IFERROR(VLOOKUP(D160,'مراجع الوصفات'!$F$2:$I$253,3,FALSE),"")</x:f>
      </x:c>
      <x:c r="I160" s="89" t="str">
        <x:f>IF(OR(F160="",G160="",H160=""),"",IF(G160=H160,F160,IF(AND(G160="غ",H160="كغ"),F160/1000,IF(AND(G160="كغ",H160="غ"),F160*1000,IF(AND(G160="مل",H160="لتر"),F160/1000,IF(AND(G160="لتر",H160="مل"),F160*1000,"خطأ وحدة"))))))</x:f>
      </x:c>
      <x:c r="J160" s="85"/>
      <x:c r="K160" s="80"/>
      <x:c r="L160" s="91" t="str">
        <x:f>IFERROR(VLOOKUP(D160,'مراجع الوصفات'!$F$2:$I$253,4,FALSE),"")</x:f>
      </x:c>
      <x:c r="M160" s="91" t="str">
        <x:f>IF(OR(I160="",NOT(ISNUMBER(I160)),L160=""),"",I160*L160*(1+J160/100))</x:f>
      </x:c>
      <x:c r="N160" s="80"/>
      <x:c r="O160" s="93" t="str">
        <x:f>IF(AND(B160="",D160="",F160=""),"",IF(A160="تجاهل","تجاهل",IF(OR(B160="",D160="",F160="",G160="",H160=""),"ناقص",IF(NOT(ISNUMBER(I160)),"خطأ وحدة",IF(OR(J160&lt;0,J160&gt;100),"خطأ هدر","صالح")))))</x:f>
      </x:c>
    </x:row>
    <x:row r="161">
      <x:c r="A161" s="79"/>
      <x:c r="B161" s="80"/>
      <x:c r="C161" s="87" t="str">
        <x:f>IFERROR(VLOOKUP(B161,'مراجع الوصفات'!$A$2:$D$79,2,FALSE),"")</x:f>
      </x:c>
      <x:c r="D161" s="80"/>
      <x:c r="E161" s="87" t="str">
        <x:f>IFERROR(VLOOKUP(D161,'مراجع الوصفات'!$F$2:$I$253,2,FALSE),"")</x:f>
      </x:c>
      <x:c r="F161" s="83"/>
      <x:c r="G161" s="80"/>
      <x:c r="H161" s="87" t="str">
        <x:f>IFERROR(VLOOKUP(D161,'مراجع الوصفات'!$F$2:$I$253,3,FALSE),"")</x:f>
      </x:c>
      <x:c r="I161" s="89" t="str">
        <x:f>IF(OR(F161="",G161="",H161=""),"",IF(G161=H161,F161,IF(AND(G161="غ",H161="كغ"),F161/1000,IF(AND(G161="كغ",H161="غ"),F161*1000,IF(AND(G161="مل",H161="لتر"),F161/1000,IF(AND(G161="لتر",H161="مل"),F161*1000,"خطأ وحدة"))))))</x:f>
      </x:c>
      <x:c r="J161" s="85"/>
      <x:c r="K161" s="80"/>
      <x:c r="L161" s="91" t="str">
        <x:f>IFERROR(VLOOKUP(D161,'مراجع الوصفات'!$F$2:$I$253,4,FALSE),"")</x:f>
      </x:c>
      <x:c r="M161" s="91" t="str">
        <x:f>IF(OR(I161="",NOT(ISNUMBER(I161)),L161=""),"",I161*L161*(1+J161/100))</x:f>
      </x:c>
      <x:c r="N161" s="80"/>
      <x:c r="O161" s="93" t="str">
        <x:f>IF(AND(B161="",D161="",F161=""),"",IF(A161="تجاهل","تجاهل",IF(OR(B161="",D161="",F161="",G161="",H161=""),"ناقص",IF(NOT(ISNUMBER(I161)),"خطأ وحدة",IF(OR(J161&lt;0,J161&gt;100),"خطأ هدر","صالح")))))</x:f>
      </x:c>
    </x:row>
    <x:row r="162">
      <x:c r="A162" s="79"/>
      <x:c r="B162" s="80"/>
      <x:c r="C162" s="87" t="str">
        <x:f>IFERROR(VLOOKUP(B162,'مراجع الوصفات'!$A$2:$D$79,2,FALSE),"")</x:f>
      </x:c>
      <x:c r="D162" s="80"/>
      <x:c r="E162" s="87" t="str">
        <x:f>IFERROR(VLOOKUP(D162,'مراجع الوصفات'!$F$2:$I$253,2,FALSE),"")</x:f>
      </x:c>
      <x:c r="F162" s="83"/>
      <x:c r="G162" s="80"/>
      <x:c r="H162" s="87" t="str">
        <x:f>IFERROR(VLOOKUP(D162,'مراجع الوصفات'!$F$2:$I$253,3,FALSE),"")</x:f>
      </x:c>
      <x:c r="I162" s="89" t="str">
        <x:f>IF(OR(F162="",G162="",H162=""),"",IF(G162=H162,F162,IF(AND(G162="غ",H162="كغ"),F162/1000,IF(AND(G162="كغ",H162="غ"),F162*1000,IF(AND(G162="مل",H162="لتر"),F162/1000,IF(AND(G162="لتر",H162="مل"),F162*1000,"خطأ وحدة"))))))</x:f>
      </x:c>
      <x:c r="J162" s="85"/>
      <x:c r="K162" s="80"/>
      <x:c r="L162" s="91" t="str">
        <x:f>IFERROR(VLOOKUP(D162,'مراجع الوصفات'!$F$2:$I$253,4,FALSE),"")</x:f>
      </x:c>
      <x:c r="M162" s="91" t="str">
        <x:f>IF(OR(I162="",NOT(ISNUMBER(I162)),L162=""),"",I162*L162*(1+J162/100))</x:f>
      </x:c>
      <x:c r="N162" s="80"/>
      <x:c r="O162" s="93" t="str">
        <x:f>IF(AND(B162="",D162="",F162=""),"",IF(A162="تجاهل","تجاهل",IF(OR(B162="",D162="",F162="",G162="",H162=""),"ناقص",IF(NOT(ISNUMBER(I162)),"خطأ وحدة",IF(OR(J162&lt;0,J162&gt;100),"خطأ هدر","صالح")))))</x:f>
      </x:c>
    </x:row>
    <x:row r="163">
      <x:c r="A163" s="79"/>
      <x:c r="B163" s="80"/>
      <x:c r="C163" s="87" t="str">
        <x:f>IFERROR(VLOOKUP(B163,'مراجع الوصفات'!$A$2:$D$79,2,FALSE),"")</x:f>
      </x:c>
      <x:c r="D163" s="80"/>
      <x:c r="E163" s="87" t="str">
        <x:f>IFERROR(VLOOKUP(D163,'مراجع الوصفات'!$F$2:$I$253,2,FALSE),"")</x:f>
      </x:c>
      <x:c r="F163" s="83"/>
      <x:c r="G163" s="80"/>
      <x:c r="H163" s="87" t="str">
        <x:f>IFERROR(VLOOKUP(D163,'مراجع الوصفات'!$F$2:$I$253,3,FALSE),"")</x:f>
      </x:c>
      <x:c r="I163" s="89" t="str">
        <x:f>IF(OR(F163="",G163="",H163=""),"",IF(G163=H163,F163,IF(AND(G163="غ",H163="كغ"),F163/1000,IF(AND(G163="كغ",H163="غ"),F163*1000,IF(AND(G163="مل",H163="لتر"),F163/1000,IF(AND(G163="لتر",H163="مل"),F163*1000,"خطأ وحدة"))))))</x:f>
      </x:c>
      <x:c r="J163" s="85"/>
      <x:c r="K163" s="80"/>
      <x:c r="L163" s="91" t="str">
        <x:f>IFERROR(VLOOKUP(D163,'مراجع الوصفات'!$F$2:$I$253,4,FALSE),"")</x:f>
      </x:c>
      <x:c r="M163" s="91" t="str">
        <x:f>IF(OR(I163="",NOT(ISNUMBER(I163)),L163=""),"",I163*L163*(1+J163/100))</x:f>
      </x:c>
      <x:c r="N163" s="80"/>
      <x:c r="O163" s="93" t="str">
        <x:f>IF(AND(B163="",D163="",F163=""),"",IF(A163="تجاهل","تجاهل",IF(OR(B163="",D163="",F163="",G163="",H163=""),"ناقص",IF(NOT(ISNUMBER(I163)),"خطأ وحدة",IF(OR(J163&lt;0,J163&gt;100),"خطأ هدر","صالح")))))</x:f>
      </x:c>
    </x:row>
    <x:row r="164">
      <x:c r="A164" s="79"/>
      <x:c r="B164" s="80"/>
      <x:c r="C164" s="87" t="str">
        <x:f>IFERROR(VLOOKUP(B164,'مراجع الوصفات'!$A$2:$D$79,2,FALSE),"")</x:f>
      </x:c>
      <x:c r="D164" s="80"/>
      <x:c r="E164" s="87" t="str">
        <x:f>IFERROR(VLOOKUP(D164,'مراجع الوصفات'!$F$2:$I$253,2,FALSE),"")</x:f>
      </x:c>
      <x:c r="F164" s="83"/>
      <x:c r="G164" s="80"/>
      <x:c r="H164" s="87" t="str">
        <x:f>IFERROR(VLOOKUP(D164,'مراجع الوصفات'!$F$2:$I$253,3,FALSE),"")</x:f>
      </x:c>
      <x:c r="I164" s="89" t="str">
        <x:f>IF(OR(F164="",G164="",H164=""),"",IF(G164=H164,F164,IF(AND(G164="غ",H164="كغ"),F164/1000,IF(AND(G164="كغ",H164="غ"),F164*1000,IF(AND(G164="مل",H164="لتر"),F164/1000,IF(AND(G164="لتر",H164="مل"),F164*1000,"خطأ وحدة"))))))</x:f>
      </x:c>
      <x:c r="J164" s="85"/>
      <x:c r="K164" s="80"/>
      <x:c r="L164" s="91" t="str">
        <x:f>IFERROR(VLOOKUP(D164,'مراجع الوصفات'!$F$2:$I$253,4,FALSE),"")</x:f>
      </x:c>
      <x:c r="M164" s="91" t="str">
        <x:f>IF(OR(I164="",NOT(ISNUMBER(I164)),L164=""),"",I164*L164*(1+J164/100))</x:f>
      </x:c>
      <x:c r="N164" s="80"/>
      <x:c r="O164" s="93" t="str">
        <x:f>IF(AND(B164="",D164="",F164=""),"",IF(A164="تجاهل","تجاهل",IF(OR(B164="",D164="",F164="",G164="",H164=""),"ناقص",IF(NOT(ISNUMBER(I164)),"خطأ وحدة",IF(OR(J164&lt;0,J164&gt;100),"خطأ هدر","صالح")))))</x:f>
      </x:c>
    </x:row>
    <x:row r="165">
      <x:c r="A165" s="79"/>
      <x:c r="B165" s="80"/>
      <x:c r="C165" s="87" t="str">
        <x:f>IFERROR(VLOOKUP(B165,'مراجع الوصفات'!$A$2:$D$79,2,FALSE),"")</x:f>
      </x:c>
      <x:c r="D165" s="80"/>
      <x:c r="E165" s="87" t="str">
        <x:f>IFERROR(VLOOKUP(D165,'مراجع الوصفات'!$F$2:$I$253,2,FALSE),"")</x:f>
      </x:c>
      <x:c r="F165" s="83"/>
      <x:c r="G165" s="80"/>
      <x:c r="H165" s="87" t="str">
        <x:f>IFERROR(VLOOKUP(D165,'مراجع الوصفات'!$F$2:$I$253,3,FALSE),"")</x:f>
      </x:c>
      <x:c r="I165" s="89" t="str">
        <x:f>IF(OR(F165="",G165="",H165=""),"",IF(G165=H165,F165,IF(AND(G165="غ",H165="كغ"),F165/1000,IF(AND(G165="كغ",H165="غ"),F165*1000,IF(AND(G165="مل",H165="لتر"),F165/1000,IF(AND(G165="لتر",H165="مل"),F165*1000,"خطأ وحدة"))))))</x:f>
      </x:c>
      <x:c r="J165" s="85"/>
      <x:c r="K165" s="80"/>
      <x:c r="L165" s="91" t="str">
        <x:f>IFERROR(VLOOKUP(D165,'مراجع الوصفات'!$F$2:$I$253,4,FALSE),"")</x:f>
      </x:c>
      <x:c r="M165" s="91" t="str">
        <x:f>IF(OR(I165="",NOT(ISNUMBER(I165)),L165=""),"",I165*L165*(1+J165/100))</x:f>
      </x:c>
      <x:c r="N165" s="80"/>
      <x:c r="O165" s="93" t="str">
        <x:f>IF(AND(B165="",D165="",F165=""),"",IF(A165="تجاهل","تجاهل",IF(OR(B165="",D165="",F165="",G165="",H165=""),"ناقص",IF(NOT(ISNUMBER(I165)),"خطأ وحدة",IF(OR(J165&lt;0,J165&gt;100),"خطأ هدر","صالح")))))</x:f>
      </x:c>
    </x:row>
    <x:row r="166">
      <x:c r="A166" s="79"/>
      <x:c r="B166" s="80"/>
      <x:c r="C166" s="87" t="str">
        <x:f>IFERROR(VLOOKUP(B166,'مراجع الوصفات'!$A$2:$D$79,2,FALSE),"")</x:f>
      </x:c>
      <x:c r="D166" s="80"/>
      <x:c r="E166" s="87" t="str">
        <x:f>IFERROR(VLOOKUP(D166,'مراجع الوصفات'!$F$2:$I$253,2,FALSE),"")</x:f>
      </x:c>
      <x:c r="F166" s="83"/>
      <x:c r="G166" s="80"/>
      <x:c r="H166" s="87" t="str">
        <x:f>IFERROR(VLOOKUP(D166,'مراجع الوصفات'!$F$2:$I$253,3,FALSE),"")</x:f>
      </x:c>
      <x:c r="I166" s="89" t="str">
        <x:f>IF(OR(F166="",G166="",H166=""),"",IF(G166=H166,F166,IF(AND(G166="غ",H166="كغ"),F166/1000,IF(AND(G166="كغ",H166="غ"),F166*1000,IF(AND(G166="مل",H166="لتر"),F166/1000,IF(AND(G166="لتر",H166="مل"),F166*1000,"خطأ وحدة"))))))</x:f>
      </x:c>
      <x:c r="J166" s="85"/>
      <x:c r="K166" s="80"/>
      <x:c r="L166" s="91" t="str">
        <x:f>IFERROR(VLOOKUP(D166,'مراجع الوصفات'!$F$2:$I$253,4,FALSE),"")</x:f>
      </x:c>
      <x:c r="M166" s="91" t="str">
        <x:f>IF(OR(I166="",NOT(ISNUMBER(I166)),L166=""),"",I166*L166*(1+J166/100))</x:f>
      </x:c>
      <x:c r="N166" s="80"/>
      <x:c r="O166" s="93" t="str">
        <x:f>IF(AND(B166="",D166="",F166=""),"",IF(A166="تجاهل","تجاهل",IF(OR(B166="",D166="",F166="",G166="",H166=""),"ناقص",IF(NOT(ISNUMBER(I166)),"خطأ وحدة",IF(OR(J166&lt;0,J166&gt;100),"خطأ هدر","صالح")))))</x:f>
      </x:c>
    </x:row>
    <x:row r="167">
      <x:c r="A167" s="79"/>
      <x:c r="B167" s="80"/>
      <x:c r="C167" s="87" t="str">
        <x:f>IFERROR(VLOOKUP(B167,'مراجع الوصفات'!$A$2:$D$79,2,FALSE),"")</x:f>
      </x:c>
      <x:c r="D167" s="80"/>
      <x:c r="E167" s="87" t="str">
        <x:f>IFERROR(VLOOKUP(D167,'مراجع الوصفات'!$F$2:$I$253,2,FALSE),"")</x:f>
      </x:c>
      <x:c r="F167" s="83"/>
      <x:c r="G167" s="80"/>
      <x:c r="H167" s="87" t="str">
        <x:f>IFERROR(VLOOKUP(D167,'مراجع الوصفات'!$F$2:$I$253,3,FALSE),"")</x:f>
      </x:c>
      <x:c r="I167" s="89" t="str">
        <x:f>IF(OR(F167="",G167="",H167=""),"",IF(G167=H167,F167,IF(AND(G167="غ",H167="كغ"),F167/1000,IF(AND(G167="كغ",H167="غ"),F167*1000,IF(AND(G167="مل",H167="لتر"),F167/1000,IF(AND(G167="لتر",H167="مل"),F167*1000,"خطأ وحدة"))))))</x:f>
      </x:c>
      <x:c r="J167" s="85"/>
      <x:c r="K167" s="80"/>
      <x:c r="L167" s="91" t="str">
        <x:f>IFERROR(VLOOKUP(D167,'مراجع الوصفات'!$F$2:$I$253,4,FALSE),"")</x:f>
      </x:c>
      <x:c r="M167" s="91" t="str">
        <x:f>IF(OR(I167="",NOT(ISNUMBER(I167)),L167=""),"",I167*L167*(1+J167/100))</x:f>
      </x:c>
      <x:c r="N167" s="80"/>
      <x:c r="O167" s="93" t="str">
        <x:f>IF(AND(B167="",D167="",F167=""),"",IF(A167="تجاهل","تجاهل",IF(OR(B167="",D167="",F167="",G167="",H167=""),"ناقص",IF(NOT(ISNUMBER(I167)),"خطأ وحدة",IF(OR(J167&lt;0,J167&gt;100),"خطأ هدر","صالح")))))</x:f>
      </x:c>
    </x:row>
    <x:row r="168">
      <x:c r="A168" s="79"/>
      <x:c r="B168" s="80"/>
      <x:c r="C168" s="87" t="str">
        <x:f>IFERROR(VLOOKUP(B168,'مراجع الوصفات'!$A$2:$D$79,2,FALSE),"")</x:f>
      </x:c>
      <x:c r="D168" s="80"/>
      <x:c r="E168" s="87" t="str">
        <x:f>IFERROR(VLOOKUP(D168,'مراجع الوصفات'!$F$2:$I$253,2,FALSE),"")</x:f>
      </x:c>
      <x:c r="F168" s="83"/>
      <x:c r="G168" s="80"/>
      <x:c r="H168" s="87" t="str">
        <x:f>IFERROR(VLOOKUP(D168,'مراجع الوصفات'!$F$2:$I$253,3,FALSE),"")</x:f>
      </x:c>
      <x:c r="I168" s="89" t="str">
        <x:f>IF(OR(F168="",G168="",H168=""),"",IF(G168=H168,F168,IF(AND(G168="غ",H168="كغ"),F168/1000,IF(AND(G168="كغ",H168="غ"),F168*1000,IF(AND(G168="مل",H168="لتر"),F168/1000,IF(AND(G168="لتر",H168="مل"),F168*1000,"خطأ وحدة"))))))</x:f>
      </x:c>
      <x:c r="J168" s="85"/>
      <x:c r="K168" s="80"/>
      <x:c r="L168" s="91" t="str">
        <x:f>IFERROR(VLOOKUP(D168,'مراجع الوصفات'!$F$2:$I$253,4,FALSE),"")</x:f>
      </x:c>
      <x:c r="M168" s="91" t="str">
        <x:f>IF(OR(I168="",NOT(ISNUMBER(I168)),L168=""),"",I168*L168*(1+J168/100))</x:f>
      </x:c>
      <x:c r="N168" s="80"/>
      <x:c r="O168" s="93" t="str">
        <x:f>IF(AND(B168="",D168="",F168=""),"",IF(A168="تجاهل","تجاهل",IF(OR(B168="",D168="",F168="",G168="",H168=""),"ناقص",IF(NOT(ISNUMBER(I168)),"خطأ وحدة",IF(OR(J168&lt;0,J168&gt;100),"خطأ هدر","صالح")))))</x:f>
      </x:c>
    </x:row>
    <x:row r="169">
      <x:c r="A169" s="79"/>
      <x:c r="B169" s="80"/>
      <x:c r="C169" s="87" t="str">
        <x:f>IFERROR(VLOOKUP(B169,'مراجع الوصفات'!$A$2:$D$79,2,FALSE),"")</x:f>
      </x:c>
      <x:c r="D169" s="80"/>
      <x:c r="E169" s="87" t="str">
        <x:f>IFERROR(VLOOKUP(D169,'مراجع الوصفات'!$F$2:$I$253,2,FALSE),"")</x:f>
      </x:c>
      <x:c r="F169" s="83"/>
      <x:c r="G169" s="80"/>
      <x:c r="H169" s="87" t="str">
        <x:f>IFERROR(VLOOKUP(D169,'مراجع الوصفات'!$F$2:$I$253,3,FALSE),"")</x:f>
      </x:c>
      <x:c r="I169" s="89" t="str">
        <x:f>IF(OR(F169="",G169="",H169=""),"",IF(G169=H169,F169,IF(AND(G169="غ",H169="كغ"),F169/1000,IF(AND(G169="كغ",H169="غ"),F169*1000,IF(AND(G169="مل",H169="لتر"),F169/1000,IF(AND(G169="لتر",H169="مل"),F169*1000,"خطأ وحدة"))))))</x:f>
      </x:c>
      <x:c r="J169" s="85"/>
      <x:c r="K169" s="80"/>
      <x:c r="L169" s="91" t="str">
        <x:f>IFERROR(VLOOKUP(D169,'مراجع الوصفات'!$F$2:$I$253,4,FALSE),"")</x:f>
      </x:c>
      <x:c r="M169" s="91" t="str">
        <x:f>IF(OR(I169="",NOT(ISNUMBER(I169)),L169=""),"",I169*L169*(1+J169/100))</x:f>
      </x:c>
      <x:c r="N169" s="80"/>
      <x:c r="O169" s="93" t="str">
        <x:f>IF(AND(B169="",D169="",F169=""),"",IF(A169="تجاهل","تجاهل",IF(OR(B169="",D169="",F169="",G169="",H169=""),"ناقص",IF(NOT(ISNUMBER(I169)),"خطأ وحدة",IF(OR(J169&lt;0,J169&gt;100),"خطأ هدر","صالح")))))</x:f>
      </x:c>
    </x:row>
    <x:row r="170">
      <x:c r="A170" s="79"/>
      <x:c r="B170" s="80"/>
      <x:c r="C170" s="87" t="str">
        <x:f>IFERROR(VLOOKUP(B170,'مراجع الوصفات'!$A$2:$D$79,2,FALSE),"")</x:f>
      </x:c>
      <x:c r="D170" s="80"/>
      <x:c r="E170" s="87" t="str">
        <x:f>IFERROR(VLOOKUP(D170,'مراجع الوصفات'!$F$2:$I$253,2,FALSE),"")</x:f>
      </x:c>
      <x:c r="F170" s="83"/>
      <x:c r="G170" s="80"/>
      <x:c r="H170" s="87" t="str">
        <x:f>IFERROR(VLOOKUP(D170,'مراجع الوصفات'!$F$2:$I$253,3,FALSE),"")</x:f>
      </x:c>
      <x:c r="I170" s="89" t="str">
        <x:f>IF(OR(F170="",G170="",H170=""),"",IF(G170=H170,F170,IF(AND(G170="غ",H170="كغ"),F170/1000,IF(AND(G170="كغ",H170="غ"),F170*1000,IF(AND(G170="مل",H170="لتر"),F170/1000,IF(AND(G170="لتر",H170="مل"),F170*1000,"خطأ وحدة"))))))</x:f>
      </x:c>
      <x:c r="J170" s="85"/>
      <x:c r="K170" s="80"/>
      <x:c r="L170" s="91" t="str">
        <x:f>IFERROR(VLOOKUP(D170,'مراجع الوصفات'!$F$2:$I$253,4,FALSE),"")</x:f>
      </x:c>
      <x:c r="M170" s="91" t="str">
        <x:f>IF(OR(I170="",NOT(ISNUMBER(I170)),L170=""),"",I170*L170*(1+J170/100))</x:f>
      </x:c>
      <x:c r="N170" s="80"/>
      <x:c r="O170" s="93" t="str">
        <x:f>IF(AND(B170="",D170="",F170=""),"",IF(A170="تجاهل","تجاهل",IF(OR(B170="",D170="",F170="",G170="",H170=""),"ناقص",IF(NOT(ISNUMBER(I170)),"خطأ وحدة",IF(OR(J170&lt;0,J170&gt;100),"خطأ هدر","صالح")))))</x:f>
      </x:c>
    </x:row>
    <x:row r="171">
      <x:c r="A171" s="79"/>
      <x:c r="B171" s="80"/>
      <x:c r="C171" s="87" t="str">
        <x:f>IFERROR(VLOOKUP(B171,'مراجع الوصفات'!$A$2:$D$79,2,FALSE),"")</x:f>
      </x:c>
      <x:c r="D171" s="80"/>
      <x:c r="E171" s="87" t="str">
        <x:f>IFERROR(VLOOKUP(D171,'مراجع الوصفات'!$F$2:$I$253,2,FALSE),"")</x:f>
      </x:c>
      <x:c r="F171" s="83"/>
      <x:c r="G171" s="80"/>
      <x:c r="H171" s="87" t="str">
        <x:f>IFERROR(VLOOKUP(D171,'مراجع الوصفات'!$F$2:$I$253,3,FALSE),"")</x:f>
      </x:c>
      <x:c r="I171" s="89" t="str">
        <x:f>IF(OR(F171="",G171="",H171=""),"",IF(G171=H171,F171,IF(AND(G171="غ",H171="كغ"),F171/1000,IF(AND(G171="كغ",H171="غ"),F171*1000,IF(AND(G171="مل",H171="لتر"),F171/1000,IF(AND(G171="لتر",H171="مل"),F171*1000,"خطأ وحدة"))))))</x:f>
      </x:c>
      <x:c r="J171" s="85"/>
      <x:c r="K171" s="80"/>
      <x:c r="L171" s="91" t="str">
        <x:f>IFERROR(VLOOKUP(D171,'مراجع الوصفات'!$F$2:$I$253,4,FALSE),"")</x:f>
      </x:c>
      <x:c r="M171" s="91" t="str">
        <x:f>IF(OR(I171="",NOT(ISNUMBER(I171)),L171=""),"",I171*L171*(1+J171/100))</x:f>
      </x:c>
      <x:c r="N171" s="80"/>
      <x:c r="O171" s="93" t="str">
        <x:f>IF(AND(B171="",D171="",F171=""),"",IF(A171="تجاهل","تجاهل",IF(OR(B171="",D171="",F171="",G171="",H171=""),"ناقص",IF(NOT(ISNUMBER(I171)),"خطأ وحدة",IF(OR(J171&lt;0,J171&gt;100),"خطأ هدر","صالح")))))</x:f>
      </x:c>
    </x:row>
    <x:row r="172">
      <x:c r="A172" s="79"/>
      <x:c r="B172" s="80"/>
      <x:c r="C172" s="87" t="str">
        <x:f>IFERROR(VLOOKUP(B172,'مراجع الوصفات'!$A$2:$D$79,2,FALSE),"")</x:f>
      </x:c>
      <x:c r="D172" s="80"/>
      <x:c r="E172" s="87" t="str">
        <x:f>IFERROR(VLOOKUP(D172,'مراجع الوصفات'!$F$2:$I$253,2,FALSE),"")</x:f>
      </x:c>
      <x:c r="F172" s="83"/>
      <x:c r="G172" s="80"/>
      <x:c r="H172" s="87" t="str">
        <x:f>IFERROR(VLOOKUP(D172,'مراجع الوصفات'!$F$2:$I$253,3,FALSE),"")</x:f>
      </x:c>
      <x:c r="I172" s="89" t="str">
        <x:f>IF(OR(F172="",G172="",H172=""),"",IF(G172=H172,F172,IF(AND(G172="غ",H172="كغ"),F172/1000,IF(AND(G172="كغ",H172="غ"),F172*1000,IF(AND(G172="مل",H172="لتر"),F172/1000,IF(AND(G172="لتر",H172="مل"),F172*1000,"خطأ وحدة"))))))</x:f>
      </x:c>
      <x:c r="J172" s="85"/>
      <x:c r="K172" s="80"/>
      <x:c r="L172" s="91" t="str">
        <x:f>IFERROR(VLOOKUP(D172,'مراجع الوصفات'!$F$2:$I$253,4,FALSE),"")</x:f>
      </x:c>
      <x:c r="M172" s="91" t="str">
        <x:f>IF(OR(I172="",NOT(ISNUMBER(I172)),L172=""),"",I172*L172*(1+J172/100))</x:f>
      </x:c>
      <x:c r="N172" s="80"/>
      <x:c r="O172" s="93" t="str">
        <x:f>IF(AND(B172="",D172="",F172=""),"",IF(A172="تجاهل","تجاهل",IF(OR(B172="",D172="",F172="",G172="",H172=""),"ناقص",IF(NOT(ISNUMBER(I172)),"خطأ وحدة",IF(OR(J172&lt;0,J172&gt;100),"خطأ هدر","صالح")))))</x:f>
      </x:c>
    </x:row>
    <x:row r="173">
      <x:c r="A173" s="79"/>
      <x:c r="B173" s="80"/>
      <x:c r="C173" s="87" t="str">
        <x:f>IFERROR(VLOOKUP(B173,'مراجع الوصفات'!$A$2:$D$79,2,FALSE),"")</x:f>
      </x:c>
      <x:c r="D173" s="80"/>
      <x:c r="E173" s="87" t="str">
        <x:f>IFERROR(VLOOKUP(D173,'مراجع الوصفات'!$F$2:$I$253,2,FALSE),"")</x:f>
      </x:c>
      <x:c r="F173" s="83"/>
      <x:c r="G173" s="80"/>
      <x:c r="H173" s="87" t="str">
        <x:f>IFERROR(VLOOKUP(D173,'مراجع الوصفات'!$F$2:$I$253,3,FALSE),"")</x:f>
      </x:c>
      <x:c r="I173" s="89" t="str">
        <x:f>IF(OR(F173="",G173="",H173=""),"",IF(G173=H173,F173,IF(AND(G173="غ",H173="كغ"),F173/1000,IF(AND(G173="كغ",H173="غ"),F173*1000,IF(AND(G173="مل",H173="لتر"),F173/1000,IF(AND(G173="لتر",H173="مل"),F173*1000,"خطأ وحدة"))))))</x:f>
      </x:c>
      <x:c r="J173" s="85"/>
      <x:c r="K173" s="80"/>
      <x:c r="L173" s="91" t="str">
        <x:f>IFERROR(VLOOKUP(D173,'مراجع الوصفات'!$F$2:$I$253,4,FALSE),"")</x:f>
      </x:c>
      <x:c r="M173" s="91" t="str">
        <x:f>IF(OR(I173="",NOT(ISNUMBER(I173)),L173=""),"",I173*L173*(1+J173/100))</x:f>
      </x:c>
      <x:c r="N173" s="80"/>
      <x:c r="O173" s="93" t="str">
        <x:f>IF(AND(B173="",D173="",F173=""),"",IF(A173="تجاهل","تجاهل",IF(OR(B173="",D173="",F173="",G173="",H173=""),"ناقص",IF(NOT(ISNUMBER(I173)),"خطأ وحدة",IF(OR(J173&lt;0,J173&gt;100),"خطأ هدر","صالح")))))</x:f>
      </x:c>
    </x:row>
    <x:row r="174">
      <x:c r="A174" s="79"/>
      <x:c r="B174" s="80"/>
      <x:c r="C174" s="87" t="str">
        <x:f>IFERROR(VLOOKUP(B174,'مراجع الوصفات'!$A$2:$D$79,2,FALSE),"")</x:f>
      </x:c>
      <x:c r="D174" s="80"/>
      <x:c r="E174" s="87" t="str">
        <x:f>IFERROR(VLOOKUP(D174,'مراجع الوصفات'!$F$2:$I$253,2,FALSE),"")</x:f>
      </x:c>
      <x:c r="F174" s="83"/>
      <x:c r="G174" s="80"/>
      <x:c r="H174" s="87" t="str">
        <x:f>IFERROR(VLOOKUP(D174,'مراجع الوصفات'!$F$2:$I$253,3,FALSE),"")</x:f>
      </x:c>
      <x:c r="I174" s="89" t="str">
        <x:f>IF(OR(F174="",G174="",H174=""),"",IF(G174=H174,F174,IF(AND(G174="غ",H174="كغ"),F174/1000,IF(AND(G174="كغ",H174="غ"),F174*1000,IF(AND(G174="مل",H174="لتر"),F174/1000,IF(AND(G174="لتر",H174="مل"),F174*1000,"خطأ وحدة"))))))</x:f>
      </x:c>
      <x:c r="J174" s="85"/>
      <x:c r="K174" s="80"/>
      <x:c r="L174" s="91" t="str">
        <x:f>IFERROR(VLOOKUP(D174,'مراجع الوصفات'!$F$2:$I$253,4,FALSE),"")</x:f>
      </x:c>
      <x:c r="M174" s="91" t="str">
        <x:f>IF(OR(I174="",NOT(ISNUMBER(I174)),L174=""),"",I174*L174*(1+J174/100))</x:f>
      </x:c>
      <x:c r="N174" s="80"/>
      <x:c r="O174" s="93" t="str">
        <x:f>IF(AND(B174="",D174="",F174=""),"",IF(A174="تجاهل","تجاهل",IF(OR(B174="",D174="",F174="",G174="",H174=""),"ناقص",IF(NOT(ISNUMBER(I174)),"خطأ وحدة",IF(OR(J174&lt;0,J174&gt;100),"خطأ هدر","صالح")))))</x:f>
      </x:c>
    </x:row>
    <x:row r="175">
      <x:c r="A175" s="79"/>
      <x:c r="B175" s="80"/>
      <x:c r="C175" s="87" t="str">
        <x:f>IFERROR(VLOOKUP(B175,'مراجع الوصفات'!$A$2:$D$79,2,FALSE),"")</x:f>
      </x:c>
      <x:c r="D175" s="80"/>
      <x:c r="E175" s="87" t="str">
        <x:f>IFERROR(VLOOKUP(D175,'مراجع الوصفات'!$F$2:$I$253,2,FALSE),"")</x:f>
      </x:c>
      <x:c r="F175" s="83"/>
      <x:c r="G175" s="80"/>
      <x:c r="H175" s="87" t="str">
        <x:f>IFERROR(VLOOKUP(D175,'مراجع الوصفات'!$F$2:$I$253,3,FALSE),"")</x:f>
      </x:c>
      <x:c r="I175" s="89" t="str">
        <x:f>IF(OR(F175="",G175="",H175=""),"",IF(G175=H175,F175,IF(AND(G175="غ",H175="كغ"),F175/1000,IF(AND(G175="كغ",H175="غ"),F175*1000,IF(AND(G175="مل",H175="لتر"),F175/1000,IF(AND(G175="لتر",H175="مل"),F175*1000,"خطأ وحدة"))))))</x:f>
      </x:c>
      <x:c r="J175" s="85"/>
      <x:c r="K175" s="80"/>
      <x:c r="L175" s="91" t="str">
        <x:f>IFERROR(VLOOKUP(D175,'مراجع الوصفات'!$F$2:$I$253,4,FALSE),"")</x:f>
      </x:c>
      <x:c r="M175" s="91" t="str">
        <x:f>IF(OR(I175="",NOT(ISNUMBER(I175)),L175=""),"",I175*L175*(1+J175/100))</x:f>
      </x:c>
      <x:c r="N175" s="80"/>
      <x:c r="O175" s="93" t="str">
        <x:f>IF(AND(B175="",D175="",F175=""),"",IF(A175="تجاهل","تجاهل",IF(OR(B175="",D175="",F175="",G175="",H175=""),"ناقص",IF(NOT(ISNUMBER(I175)),"خطأ وحدة",IF(OR(J175&lt;0,J175&gt;100),"خطأ هدر","صالح")))))</x:f>
      </x:c>
    </x:row>
    <x:row r="176">
      <x:c r="A176" s="79"/>
      <x:c r="B176" s="80"/>
      <x:c r="C176" s="87" t="str">
        <x:f>IFERROR(VLOOKUP(B176,'مراجع الوصفات'!$A$2:$D$79,2,FALSE),"")</x:f>
      </x:c>
      <x:c r="D176" s="80"/>
      <x:c r="E176" s="87" t="str">
        <x:f>IFERROR(VLOOKUP(D176,'مراجع الوصفات'!$F$2:$I$253,2,FALSE),"")</x:f>
      </x:c>
      <x:c r="F176" s="83"/>
      <x:c r="G176" s="80"/>
      <x:c r="H176" s="87" t="str">
        <x:f>IFERROR(VLOOKUP(D176,'مراجع الوصفات'!$F$2:$I$253,3,FALSE),"")</x:f>
      </x:c>
      <x:c r="I176" s="89" t="str">
        <x:f>IF(OR(F176="",G176="",H176=""),"",IF(G176=H176,F176,IF(AND(G176="غ",H176="كغ"),F176/1000,IF(AND(G176="كغ",H176="غ"),F176*1000,IF(AND(G176="مل",H176="لتر"),F176/1000,IF(AND(G176="لتر",H176="مل"),F176*1000,"خطأ وحدة"))))))</x:f>
      </x:c>
      <x:c r="J176" s="85"/>
      <x:c r="K176" s="80"/>
      <x:c r="L176" s="91" t="str">
        <x:f>IFERROR(VLOOKUP(D176,'مراجع الوصفات'!$F$2:$I$253,4,FALSE),"")</x:f>
      </x:c>
      <x:c r="M176" s="91" t="str">
        <x:f>IF(OR(I176="",NOT(ISNUMBER(I176)),L176=""),"",I176*L176*(1+J176/100))</x:f>
      </x:c>
      <x:c r="N176" s="80"/>
      <x:c r="O176" s="93" t="str">
        <x:f>IF(AND(B176="",D176="",F176=""),"",IF(A176="تجاهل","تجاهل",IF(OR(B176="",D176="",F176="",G176="",H176=""),"ناقص",IF(NOT(ISNUMBER(I176)),"خطأ وحدة",IF(OR(J176&lt;0,J176&gt;100),"خطأ هدر","صالح")))))</x:f>
      </x:c>
    </x:row>
    <x:row r="177">
      <x:c r="A177" s="79"/>
      <x:c r="B177" s="80"/>
      <x:c r="C177" s="87" t="str">
        <x:f>IFERROR(VLOOKUP(B177,'مراجع الوصفات'!$A$2:$D$79,2,FALSE),"")</x:f>
      </x:c>
      <x:c r="D177" s="80"/>
      <x:c r="E177" s="87" t="str">
        <x:f>IFERROR(VLOOKUP(D177,'مراجع الوصفات'!$F$2:$I$253,2,FALSE),"")</x:f>
      </x:c>
      <x:c r="F177" s="83"/>
      <x:c r="G177" s="80"/>
      <x:c r="H177" s="87" t="str">
        <x:f>IFERROR(VLOOKUP(D177,'مراجع الوصفات'!$F$2:$I$253,3,FALSE),"")</x:f>
      </x:c>
      <x:c r="I177" s="89" t="str">
        <x:f>IF(OR(F177="",G177="",H177=""),"",IF(G177=H177,F177,IF(AND(G177="غ",H177="كغ"),F177/1000,IF(AND(G177="كغ",H177="غ"),F177*1000,IF(AND(G177="مل",H177="لتر"),F177/1000,IF(AND(G177="لتر",H177="مل"),F177*1000,"خطأ وحدة"))))))</x:f>
      </x:c>
      <x:c r="J177" s="85"/>
      <x:c r="K177" s="80"/>
      <x:c r="L177" s="91" t="str">
        <x:f>IFERROR(VLOOKUP(D177,'مراجع الوصفات'!$F$2:$I$253,4,FALSE),"")</x:f>
      </x:c>
      <x:c r="M177" s="91" t="str">
        <x:f>IF(OR(I177="",NOT(ISNUMBER(I177)),L177=""),"",I177*L177*(1+J177/100))</x:f>
      </x:c>
      <x:c r="N177" s="80"/>
      <x:c r="O177" s="93" t="str">
        <x:f>IF(AND(B177="",D177="",F177=""),"",IF(A177="تجاهل","تجاهل",IF(OR(B177="",D177="",F177="",G177="",H177=""),"ناقص",IF(NOT(ISNUMBER(I177)),"خطأ وحدة",IF(OR(J177&lt;0,J177&gt;100),"خطأ هدر","صالح")))))</x:f>
      </x:c>
    </x:row>
    <x:row r="178">
      <x:c r="A178" s="79"/>
      <x:c r="B178" s="80"/>
      <x:c r="C178" s="87" t="str">
        <x:f>IFERROR(VLOOKUP(B178,'مراجع الوصفات'!$A$2:$D$79,2,FALSE),"")</x:f>
      </x:c>
      <x:c r="D178" s="80"/>
      <x:c r="E178" s="87" t="str">
        <x:f>IFERROR(VLOOKUP(D178,'مراجع الوصفات'!$F$2:$I$253,2,FALSE),"")</x:f>
      </x:c>
      <x:c r="F178" s="83"/>
      <x:c r="G178" s="80"/>
      <x:c r="H178" s="87" t="str">
        <x:f>IFERROR(VLOOKUP(D178,'مراجع الوصفات'!$F$2:$I$253,3,FALSE),"")</x:f>
      </x:c>
      <x:c r="I178" s="89" t="str">
        <x:f>IF(OR(F178="",G178="",H178=""),"",IF(G178=H178,F178,IF(AND(G178="غ",H178="كغ"),F178/1000,IF(AND(G178="كغ",H178="غ"),F178*1000,IF(AND(G178="مل",H178="لتر"),F178/1000,IF(AND(G178="لتر",H178="مل"),F178*1000,"خطأ وحدة"))))))</x:f>
      </x:c>
      <x:c r="J178" s="85"/>
      <x:c r="K178" s="80"/>
      <x:c r="L178" s="91" t="str">
        <x:f>IFERROR(VLOOKUP(D178,'مراجع الوصفات'!$F$2:$I$253,4,FALSE),"")</x:f>
      </x:c>
      <x:c r="M178" s="91" t="str">
        <x:f>IF(OR(I178="",NOT(ISNUMBER(I178)),L178=""),"",I178*L178*(1+J178/100))</x:f>
      </x:c>
      <x:c r="N178" s="80"/>
      <x:c r="O178" s="93" t="str">
        <x:f>IF(AND(B178="",D178="",F178=""),"",IF(A178="تجاهل","تجاهل",IF(OR(B178="",D178="",F178="",G178="",H178=""),"ناقص",IF(NOT(ISNUMBER(I178)),"خطأ وحدة",IF(OR(J178&lt;0,J178&gt;100),"خطأ هدر","صالح")))))</x:f>
      </x:c>
    </x:row>
    <x:row r="179">
      <x:c r="A179" s="79"/>
      <x:c r="B179" s="80"/>
      <x:c r="C179" s="87" t="str">
        <x:f>IFERROR(VLOOKUP(B179,'مراجع الوصفات'!$A$2:$D$79,2,FALSE),"")</x:f>
      </x:c>
      <x:c r="D179" s="80"/>
      <x:c r="E179" s="87" t="str">
        <x:f>IFERROR(VLOOKUP(D179,'مراجع الوصفات'!$F$2:$I$253,2,FALSE),"")</x:f>
      </x:c>
      <x:c r="F179" s="83"/>
      <x:c r="G179" s="80"/>
      <x:c r="H179" s="87" t="str">
        <x:f>IFERROR(VLOOKUP(D179,'مراجع الوصفات'!$F$2:$I$253,3,FALSE),"")</x:f>
      </x:c>
      <x:c r="I179" s="89" t="str">
        <x:f>IF(OR(F179="",G179="",H179=""),"",IF(G179=H179,F179,IF(AND(G179="غ",H179="كغ"),F179/1000,IF(AND(G179="كغ",H179="غ"),F179*1000,IF(AND(G179="مل",H179="لتر"),F179/1000,IF(AND(G179="لتر",H179="مل"),F179*1000,"خطأ وحدة"))))))</x:f>
      </x:c>
      <x:c r="J179" s="85"/>
      <x:c r="K179" s="80"/>
      <x:c r="L179" s="91" t="str">
        <x:f>IFERROR(VLOOKUP(D179,'مراجع الوصفات'!$F$2:$I$253,4,FALSE),"")</x:f>
      </x:c>
      <x:c r="M179" s="91" t="str">
        <x:f>IF(OR(I179="",NOT(ISNUMBER(I179)),L179=""),"",I179*L179*(1+J179/100))</x:f>
      </x:c>
      <x:c r="N179" s="80"/>
      <x:c r="O179" s="93" t="str">
        <x:f>IF(AND(B179="",D179="",F179=""),"",IF(A179="تجاهل","تجاهل",IF(OR(B179="",D179="",F179="",G179="",H179=""),"ناقص",IF(NOT(ISNUMBER(I179)),"خطأ وحدة",IF(OR(J179&lt;0,J179&gt;100),"خطأ هدر","صالح")))))</x:f>
      </x:c>
    </x:row>
    <x:row r="180">
      <x:c r="A180" s="79"/>
      <x:c r="B180" s="80"/>
      <x:c r="C180" s="87" t="str">
        <x:f>IFERROR(VLOOKUP(B180,'مراجع الوصفات'!$A$2:$D$79,2,FALSE),"")</x:f>
      </x:c>
      <x:c r="D180" s="80"/>
      <x:c r="E180" s="87" t="str">
        <x:f>IFERROR(VLOOKUP(D180,'مراجع الوصفات'!$F$2:$I$253,2,FALSE),"")</x:f>
      </x:c>
      <x:c r="F180" s="83"/>
      <x:c r="G180" s="80"/>
      <x:c r="H180" s="87" t="str">
        <x:f>IFERROR(VLOOKUP(D180,'مراجع الوصفات'!$F$2:$I$253,3,FALSE),"")</x:f>
      </x:c>
      <x:c r="I180" s="89" t="str">
        <x:f>IF(OR(F180="",G180="",H180=""),"",IF(G180=H180,F180,IF(AND(G180="غ",H180="كغ"),F180/1000,IF(AND(G180="كغ",H180="غ"),F180*1000,IF(AND(G180="مل",H180="لتر"),F180/1000,IF(AND(G180="لتر",H180="مل"),F180*1000,"خطأ وحدة"))))))</x:f>
      </x:c>
      <x:c r="J180" s="85"/>
      <x:c r="K180" s="80"/>
      <x:c r="L180" s="91" t="str">
        <x:f>IFERROR(VLOOKUP(D180,'مراجع الوصفات'!$F$2:$I$253,4,FALSE),"")</x:f>
      </x:c>
      <x:c r="M180" s="91" t="str">
        <x:f>IF(OR(I180="",NOT(ISNUMBER(I180)),L180=""),"",I180*L180*(1+J180/100))</x:f>
      </x:c>
      <x:c r="N180" s="80"/>
      <x:c r="O180" s="93" t="str">
        <x:f>IF(AND(B180="",D180="",F180=""),"",IF(A180="تجاهل","تجاهل",IF(OR(B180="",D180="",F180="",G180="",H180=""),"ناقص",IF(NOT(ISNUMBER(I180)),"خطأ وحدة",IF(OR(J180&lt;0,J180&gt;100),"خطأ هدر","صالح")))))</x:f>
      </x:c>
    </x:row>
    <x:row r="181">
      <x:c r="A181" s="79"/>
      <x:c r="B181" s="80"/>
      <x:c r="C181" s="87" t="str">
        <x:f>IFERROR(VLOOKUP(B181,'مراجع الوصفات'!$A$2:$D$79,2,FALSE),"")</x:f>
      </x:c>
      <x:c r="D181" s="80"/>
      <x:c r="E181" s="87" t="str">
        <x:f>IFERROR(VLOOKUP(D181,'مراجع الوصفات'!$F$2:$I$253,2,FALSE),"")</x:f>
      </x:c>
      <x:c r="F181" s="83"/>
      <x:c r="G181" s="80"/>
      <x:c r="H181" s="87" t="str">
        <x:f>IFERROR(VLOOKUP(D181,'مراجع الوصفات'!$F$2:$I$253,3,FALSE),"")</x:f>
      </x:c>
      <x:c r="I181" s="89" t="str">
        <x:f>IF(OR(F181="",G181="",H181=""),"",IF(G181=H181,F181,IF(AND(G181="غ",H181="كغ"),F181/1000,IF(AND(G181="كغ",H181="غ"),F181*1000,IF(AND(G181="مل",H181="لتر"),F181/1000,IF(AND(G181="لتر",H181="مل"),F181*1000,"خطأ وحدة"))))))</x:f>
      </x:c>
      <x:c r="J181" s="85"/>
      <x:c r="K181" s="80"/>
      <x:c r="L181" s="91" t="str">
        <x:f>IFERROR(VLOOKUP(D181,'مراجع الوصفات'!$F$2:$I$253,4,FALSE),"")</x:f>
      </x:c>
      <x:c r="M181" s="91" t="str">
        <x:f>IF(OR(I181="",NOT(ISNUMBER(I181)),L181=""),"",I181*L181*(1+J181/100))</x:f>
      </x:c>
      <x:c r="N181" s="80"/>
      <x:c r="O181" s="93" t="str">
        <x:f>IF(AND(B181="",D181="",F181=""),"",IF(A181="تجاهل","تجاهل",IF(OR(B181="",D181="",F181="",G181="",H181=""),"ناقص",IF(NOT(ISNUMBER(I181)),"خطأ وحدة",IF(OR(J181&lt;0,J181&gt;100),"خطأ هدر","صالح")))))</x:f>
      </x:c>
    </x:row>
    <x:row r="182">
      <x:c r="A182" s="79"/>
      <x:c r="B182" s="80"/>
      <x:c r="C182" s="87" t="str">
        <x:f>IFERROR(VLOOKUP(B182,'مراجع الوصفات'!$A$2:$D$79,2,FALSE),"")</x:f>
      </x:c>
      <x:c r="D182" s="80"/>
      <x:c r="E182" s="87" t="str">
        <x:f>IFERROR(VLOOKUP(D182,'مراجع الوصفات'!$F$2:$I$253,2,FALSE),"")</x:f>
      </x:c>
      <x:c r="F182" s="83"/>
      <x:c r="G182" s="80"/>
      <x:c r="H182" s="87" t="str">
        <x:f>IFERROR(VLOOKUP(D182,'مراجع الوصفات'!$F$2:$I$253,3,FALSE),"")</x:f>
      </x:c>
      <x:c r="I182" s="89" t="str">
        <x:f>IF(OR(F182="",G182="",H182=""),"",IF(G182=H182,F182,IF(AND(G182="غ",H182="كغ"),F182/1000,IF(AND(G182="كغ",H182="غ"),F182*1000,IF(AND(G182="مل",H182="لتر"),F182/1000,IF(AND(G182="لتر",H182="مل"),F182*1000,"خطأ وحدة"))))))</x:f>
      </x:c>
      <x:c r="J182" s="85"/>
      <x:c r="K182" s="80"/>
      <x:c r="L182" s="91" t="str">
        <x:f>IFERROR(VLOOKUP(D182,'مراجع الوصفات'!$F$2:$I$253,4,FALSE),"")</x:f>
      </x:c>
      <x:c r="M182" s="91" t="str">
        <x:f>IF(OR(I182="",NOT(ISNUMBER(I182)),L182=""),"",I182*L182*(1+J182/100))</x:f>
      </x:c>
      <x:c r="N182" s="80"/>
      <x:c r="O182" s="93" t="str">
        <x:f>IF(AND(B182="",D182="",F182=""),"",IF(A182="تجاهل","تجاهل",IF(OR(B182="",D182="",F182="",G182="",H182=""),"ناقص",IF(NOT(ISNUMBER(I182)),"خطأ وحدة",IF(OR(J182&lt;0,J182&gt;100),"خطأ هدر","صالح")))))</x:f>
      </x:c>
    </x:row>
    <x:row r="183">
      <x:c r="A183" s="79"/>
      <x:c r="B183" s="80"/>
      <x:c r="C183" s="87" t="str">
        <x:f>IFERROR(VLOOKUP(B183,'مراجع الوصفات'!$A$2:$D$79,2,FALSE),"")</x:f>
      </x:c>
      <x:c r="D183" s="80"/>
      <x:c r="E183" s="87" t="str">
        <x:f>IFERROR(VLOOKUP(D183,'مراجع الوصفات'!$F$2:$I$253,2,FALSE),"")</x:f>
      </x:c>
      <x:c r="F183" s="83"/>
      <x:c r="G183" s="80"/>
      <x:c r="H183" s="87" t="str">
        <x:f>IFERROR(VLOOKUP(D183,'مراجع الوصفات'!$F$2:$I$253,3,FALSE),"")</x:f>
      </x:c>
      <x:c r="I183" s="89" t="str">
        <x:f>IF(OR(F183="",G183="",H183=""),"",IF(G183=H183,F183,IF(AND(G183="غ",H183="كغ"),F183/1000,IF(AND(G183="كغ",H183="غ"),F183*1000,IF(AND(G183="مل",H183="لتر"),F183/1000,IF(AND(G183="لتر",H183="مل"),F183*1000,"خطأ وحدة"))))))</x:f>
      </x:c>
      <x:c r="J183" s="85"/>
      <x:c r="K183" s="80"/>
      <x:c r="L183" s="91" t="str">
        <x:f>IFERROR(VLOOKUP(D183,'مراجع الوصفات'!$F$2:$I$253,4,FALSE),"")</x:f>
      </x:c>
      <x:c r="M183" s="91" t="str">
        <x:f>IF(OR(I183="",NOT(ISNUMBER(I183)),L183=""),"",I183*L183*(1+J183/100))</x:f>
      </x:c>
      <x:c r="N183" s="80"/>
      <x:c r="O183" s="93" t="str">
        <x:f>IF(AND(B183="",D183="",F183=""),"",IF(A183="تجاهل","تجاهل",IF(OR(B183="",D183="",F183="",G183="",H183=""),"ناقص",IF(NOT(ISNUMBER(I183)),"خطأ وحدة",IF(OR(J183&lt;0,J183&gt;100),"خطأ هدر","صالح")))))</x:f>
      </x:c>
    </x:row>
    <x:row r="184">
      <x:c r="A184" s="79"/>
      <x:c r="B184" s="80"/>
      <x:c r="C184" s="87" t="str">
        <x:f>IFERROR(VLOOKUP(B184,'مراجع الوصفات'!$A$2:$D$79,2,FALSE),"")</x:f>
      </x:c>
      <x:c r="D184" s="80"/>
      <x:c r="E184" s="87" t="str">
        <x:f>IFERROR(VLOOKUP(D184,'مراجع الوصفات'!$F$2:$I$253,2,FALSE),"")</x:f>
      </x:c>
      <x:c r="F184" s="83"/>
      <x:c r="G184" s="80"/>
      <x:c r="H184" s="87" t="str">
        <x:f>IFERROR(VLOOKUP(D184,'مراجع الوصفات'!$F$2:$I$253,3,FALSE),"")</x:f>
      </x:c>
      <x:c r="I184" s="89" t="str">
        <x:f>IF(OR(F184="",G184="",H184=""),"",IF(G184=H184,F184,IF(AND(G184="غ",H184="كغ"),F184/1000,IF(AND(G184="كغ",H184="غ"),F184*1000,IF(AND(G184="مل",H184="لتر"),F184/1000,IF(AND(G184="لتر",H184="مل"),F184*1000,"خطأ وحدة"))))))</x:f>
      </x:c>
      <x:c r="J184" s="85"/>
      <x:c r="K184" s="80"/>
      <x:c r="L184" s="91" t="str">
        <x:f>IFERROR(VLOOKUP(D184,'مراجع الوصفات'!$F$2:$I$253,4,FALSE),"")</x:f>
      </x:c>
      <x:c r="M184" s="91" t="str">
        <x:f>IF(OR(I184="",NOT(ISNUMBER(I184)),L184=""),"",I184*L184*(1+J184/100))</x:f>
      </x:c>
      <x:c r="N184" s="80"/>
      <x:c r="O184" s="93" t="str">
        <x:f>IF(AND(B184="",D184="",F184=""),"",IF(A184="تجاهل","تجاهل",IF(OR(B184="",D184="",F184="",G184="",H184=""),"ناقص",IF(NOT(ISNUMBER(I184)),"خطأ وحدة",IF(OR(J184&lt;0,J184&gt;100),"خطأ هدر","صالح")))))</x:f>
      </x:c>
    </x:row>
    <x:row r="185">
      <x:c r="A185" s="79"/>
      <x:c r="B185" s="80"/>
      <x:c r="C185" s="87" t="str">
        <x:f>IFERROR(VLOOKUP(B185,'مراجع الوصفات'!$A$2:$D$79,2,FALSE),"")</x:f>
      </x:c>
      <x:c r="D185" s="80"/>
      <x:c r="E185" s="87" t="str">
        <x:f>IFERROR(VLOOKUP(D185,'مراجع الوصفات'!$F$2:$I$253,2,FALSE),"")</x:f>
      </x:c>
      <x:c r="F185" s="83"/>
      <x:c r="G185" s="80"/>
      <x:c r="H185" s="87" t="str">
        <x:f>IFERROR(VLOOKUP(D185,'مراجع الوصفات'!$F$2:$I$253,3,FALSE),"")</x:f>
      </x:c>
      <x:c r="I185" s="89" t="str">
        <x:f>IF(OR(F185="",G185="",H185=""),"",IF(G185=H185,F185,IF(AND(G185="غ",H185="كغ"),F185/1000,IF(AND(G185="كغ",H185="غ"),F185*1000,IF(AND(G185="مل",H185="لتر"),F185/1000,IF(AND(G185="لتر",H185="مل"),F185*1000,"خطأ وحدة"))))))</x:f>
      </x:c>
      <x:c r="J185" s="85"/>
      <x:c r="K185" s="80"/>
      <x:c r="L185" s="91" t="str">
        <x:f>IFERROR(VLOOKUP(D185,'مراجع الوصفات'!$F$2:$I$253,4,FALSE),"")</x:f>
      </x:c>
      <x:c r="M185" s="91" t="str">
        <x:f>IF(OR(I185="",NOT(ISNUMBER(I185)),L185=""),"",I185*L185*(1+J185/100))</x:f>
      </x:c>
      <x:c r="N185" s="80"/>
      <x:c r="O185" s="93" t="str">
        <x:f>IF(AND(B185="",D185="",F185=""),"",IF(A185="تجاهل","تجاهل",IF(OR(B185="",D185="",F185="",G185="",H185=""),"ناقص",IF(NOT(ISNUMBER(I185)),"خطأ وحدة",IF(OR(J185&lt;0,J185&gt;100),"خطأ هدر","صالح")))))</x:f>
      </x:c>
    </x:row>
    <x:row r="186">
      <x:c r="A186" s="79"/>
      <x:c r="B186" s="80"/>
      <x:c r="C186" s="87" t="str">
        <x:f>IFERROR(VLOOKUP(B186,'مراجع الوصفات'!$A$2:$D$79,2,FALSE),"")</x:f>
      </x:c>
      <x:c r="D186" s="80"/>
      <x:c r="E186" s="87" t="str">
        <x:f>IFERROR(VLOOKUP(D186,'مراجع الوصفات'!$F$2:$I$253,2,FALSE),"")</x:f>
      </x:c>
      <x:c r="F186" s="83"/>
      <x:c r="G186" s="80"/>
      <x:c r="H186" s="87" t="str">
        <x:f>IFERROR(VLOOKUP(D186,'مراجع الوصفات'!$F$2:$I$253,3,FALSE),"")</x:f>
      </x:c>
      <x:c r="I186" s="89" t="str">
        <x:f>IF(OR(F186="",G186="",H186=""),"",IF(G186=H186,F186,IF(AND(G186="غ",H186="كغ"),F186/1000,IF(AND(G186="كغ",H186="غ"),F186*1000,IF(AND(G186="مل",H186="لتر"),F186/1000,IF(AND(G186="لتر",H186="مل"),F186*1000,"خطأ وحدة"))))))</x:f>
      </x:c>
      <x:c r="J186" s="85"/>
      <x:c r="K186" s="80"/>
      <x:c r="L186" s="91" t="str">
        <x:f>IFERROR(VLOOKUP(D186,'مراجع الوصفات'!$F$2:$I$253,4,FALSE),"")</x:f>
      </x:c>
      <x:c r="M186" s="91" t="str">
        <x:f>IF(OR(I186="",NOT(ISNUMBER(I186)),L186=""),"",I186*L186*(1+J186/100))</x:f>
      </x:c>
      <x:c r="N186" s="80"/>
      <x:c r="O186" s="93" t="str">
        <x:f>IF(AND(B186="",D186="",F186=""),"",IF(A186="تجاهل","تجاهل",IF(OR(B186="",D186="",F186="",G186="",H186=""),"ناقص",IF(NOT(ISNUMBER(I186)),"خطأ وحدة",IF(OR(J186&lt;0,J186&gt;100),"خطأ هدر","صالح")))))</x:f>
      </x:c>
    </x:row>
    <x:row r="187">
      <x:c r="A187" s="79"/>
      <x:c r="B187" s="80"/>
      <x:c r="C187" s="87" t="str">
        <x:f>IFERROR(VLOOKUP(B187,'مراجع الوصفات'!$A$2:$D$79,2,FALSE),"")</x:f>
      </x:c>
      <x:c r="D187" s="80"/>
      <x:c r="E187" s="87" t="str">
        <x:f>IFERROR(VLOOKUP(D187,'مراجع الوصفات'!$F$2:$I$253,2,FALSE),"")</x:f>
      </x:c>
      <x:c r="F187" s="83"/>
      <x:c r="G187" s="80"/>
      <x:c r="H187" s="87" t="str">
        <x:f>IFERROR(VLOOKUP(D187,'مراجع الوصفات'!$F$2:$I$253,3,FALSE),"")</x:f>
      </x:c>
      <x:c r="I187" s="89" t="str">
        <x:f>IF(OR(F187="",G187="",H187=""),"",IF(G187=H187,F187,IF(AND(G187="غ",H187="كغ"),F187/1000,IF(AND(G187="كغ",H187="غ"),F187*1000,IF(AND(G187="مل",H187="لتر"),F187/1000,IF(AND(G187="لتر",H187="مل"),F187*1000,"خطأ وحدة"))))))</x:f>
      </x:c>
      <x:c r="J187" s="85"/>
      <x:c r="K187" s="80"/>
      <x:c r="L187" s="91" t="str">
        <x:f>IFERROR(VLOOKUP(D187,'مراجع الوصفات'!$F$2:$I$253,4,FALSE),"")</x:f>
      </x:c>
      <x:c r="M187" s="91" t="str">
        <x:f>IF(OR(I187="",NOT(ISNUMBER(I187)),L187=""),"",I187*L187*(1+J187/100))</x:f>
      </x:c>
      <x:c r="N187" s="80"/>
      <x:c r="O187" s="93" t="str">
        <x:f>IF(AND(B187="",D187="",F187=""),"",IF(A187="تجاهل","تجاهل",IF(OR(B187="",D187="",F187="",G187="",H187=""),"ناقص",IF(NOT(ISNUMBER(I187)),"خطأ وحدة",IF(OR(J187&lt;0,J187&gt;100),"خطأ هدر","صالح")))))</x:f>
      </x:c>
    </x:row>
    <x:row r="188">
      <x:c r="A188" s="79"/>
      <x:c r="B188" s="80"/>
      <x:c r="C188" s="87" t="str">
        <x:f>IFERROR(VLOOKUP(B188,'مراجع الوصفات'!$A$2:$D$79,2,FALSE),"")</x:f>
      </x:c>
      <x:c r="D188" s="80"/>
      <x:c r="E188" s="87" t="str">
        <x:f>IFERROR(VLOOKUP(D188,'مراجع الوصفات'!$F$2:$I$253,2,FALSE),"")</x:f>
      </x:c>
      <x:c r="F188" s="83"/>
      <x:c r="G188" s="80"/>
      <x:c r="H188" s="87" t="str">
        <x:f>IFERROR(VLOOKUP(D188,'مراجع الوصفات'!$F$2:$I$253,3,FALSE),"")</x:f>
      </x:c>
      <x:c r="I188" s="89" t="str">
        <x:f>IF(OR(F188="",G188="",H188=""),"",IF(G188=H188,F188,IF(AND(G188="غ",H188="كغ"),F188/1000,IF(AND(G188="كغ",H188="غ"),F188*1000,IF(AND(G188="مل",H188="لتر"),F188/1000,IF(AND(G188="لتر",H188="مل"),F188*1000,"خطأ وحدة"))))))</x:f>
      </x:c>
      <x:c r="J188" s="85"/>
      <x:c r="K188" s="80"/>
      <x:c r="L188" s="91" t="str">
        <x:f>IFERROR(VLOOKUP(D188,'مراجع الوصفات'!$F$2:$I$253,4,FALSE),"")</x:f>
      </x:c>
      <x:c r="M188" s="91" t="str">
        <x:f>IF(OR(I188="",NOT(ISNUMBER(I188)),L188=""),"",I188*L188*(1+J188/100))</x:f>
      </x:c>
      <x:c r="N188" s="80"/>
      <x:c r="O188" s="93" t="str">
        <x:f>IF(AND(B188="",D188="",F188=""),"",IF(A188="تجاهل","تجاهل",IF(OR(B188="",D188="",F188="",G188="",H188=""),"ناقص",IF(NOT(ISNUMBER(I188)),"خطأ وحدة",IF(OR(J188&lt;0,J188&gt;100),"خطأ هدر","صالح")))))</x:f>
      </x:c>
    </x:row>
    <x:row r="189">
      <x:c r="A189" s="79"/>
      <x:c r="B189" s="80"/>
      <x:c r="C189" s="87" t="str">
        <x:f>IFERROR(VLOOKUP(B189,'مراجع الوصفات'!$A$2:$D$79,2,FALSE),"")</x:f>
      </x:c>
      <x:c r="D189" s="80"/>
      <x:c r="E189" s="87" t="str">
        <x:f>IFERROR(VLOOKUP(D189,'مراجع الوصفات'!$F$2:$I$253,2,FALSE),"")</x:f>
      </x:c>
      <x:c r="F189" s="83"/>
      <x:c r="G189" s="80"/>
      <x:c r="H189" s="87" t="str">
        <x:f>IFERROR(VLOOKUP(D189,'مراجع الوصفات'!$F$2:$I$253,3,FALSE),"")</x:f>
      </x:c>
      <x:c r="I189" s="89" t="str">
        <x:f>IF(OR(F189="",G189="",H189=""),"",IF(G189=H189,F189,IF(AND(G189="غ",H189="كغ"),F189/1000,IF(AND(G189="كغ",H189="غ"),F189*1000,IF(AND(G189="مل",H189="لتر"),F189/1000,IF(AND(G189="لتر",H189="مل"),F189*1000,"خطأ وحدة"))))))</x:f>
      </x:c>
      <x:c r="J189" s="85"/>
      <x:c r="K189" s="80"/>
      <x:c r="L189" s="91" t="str">
        <x:f>IFERROR(VLOOKUP(D189,'مراجع الوصفات'!$F$2:$I$253,4,FALSE),"")</x:f>
      </x:c>
      <x:c r="M189" s="91" t="str">
        <x:f>IF(OR(I189="",NOT(ISNUMBER(I189)),L189=""),"",I189*L189*(1+J189/100))</x:f>
      </x:c>
      <x:c r="N189" s="80"/>
      <x:c r="O189" s="93" t="str">
        <x:f>IF(AND(B189="",D189="",F189=""),"",IF(A189="تجاهل","تجاهل",IF(OR(B189="",D189="",F189="",G189="",H189=""),"ناقص",IF(NOT(ISNUMBER(I189)),"خطأ وحدة",IF(OR(J189&lt;0,J189&gt;100),"خطأ هدر","صالح")))))</x:f>
      </x:c>
    </x:row>
    <x:row r="190">
      <x:c r="A190" s="79"/>
      <x:c r="B190" s="80"/>
      <x:c r="C190" s="87" t="str">
        <x:f>IFERROR(VLOOKUP(B190,'مراجع الوصفات'!$A$2:$D$79,2,FALSE),"")</x:f>
      </x:c>
      <x:c r="D190" s="80"/>
      <x:c r="E190" s="87" t="str">
        <x:f>IFERROR(VLOOKUP(D190,'مراجع الوصفات'!$F$2:$I$253,2,FALSE),"")</x:f>
      </x:c>
      <x:c r="F190" s="83"/>
      <x:c r="G190" s="80"/>
      <x:c r="H190" s="87" t="str">
        <x:f>IFERROR(VLOOKUP(D190,'مراجع الوصفات'!$F$2:$I$253,3,FALSE),"")</x:f>
      </x:c>
      <x:c r="I190" s="89" t="str">
        <x:f>IF(OR(F190="",G190="",H190=""),"",IF(G190=H190,F190,IF(AND(G190="غ",H190="كغ"),F190/1000,IF(AND(G190="كغ",H190="غ"),F190*1000,IF(AND(G190="مل",H190="لتر"),F190/1000,IF(AND(G190="لتر",H190="مل"),F190*1000,"خطأ وحدة"))))))</x:f>
      </x:c>
      <x:c r="J190" s="85"/>
      <x:c r="K190" s="80"/>
      <x:c r="L190" s="91" t="str">
        <x:f>IFERROR(VLOOKUP(D190,'مراجع الوصفات'!$F$2:$I$253,4,FALSE),"")</x:f>
      </x:c>
      <x:c r="M190" s="91" t="str">
        <x:f>IF(OR(I190="",NOT(ISNUMBER(I190)),L190=""),"",I190*L190*(1+J190/100))</x:f>
      </x:c>
      <x:c r="N190" s="80"/>
      <x:c r="O190" s="93" t="str">
        <x:f>IF(AND(B190="",D190="",F190=""),"",IF(A190="تجاهل","تجاهل",IF(OR(B190="",D190="",F190="",G190="",H190=""),"ناقص",IF(NOT(ISNUMBER(I190)),"خطأ وحدة",IF(OR(J190&lt;0,J190&gt;100),"خطأ هدر","صالح")))))</x:f>
      </x:c>
    </x:row>
    <x:row r="191">
      <x:c r="A191" s="79"/>
      <x:c r="B191" s="80"/>
      <x:c r="C191" s="87" t="str">
        <x:f>IFERROR(VLOOKUP(B191,'مراجع الوصفات'!$A$2:$D$79,2,FALSE),"")</x:f>
      </x:c>
      <x:c r="D191" s="80"/>
      <x:c r="E191" s="87" t="str">
        <x:f>IFERROR(VLOOKUP(D191,'مراجع الوصفات'!$F$2:$I$253,2,FALSE),"")</x:f>
      </x:c>
      <x:c r="F191" s="83"/>
      <x:c r="G191" s="80"/>
      <x:c r="H191" s="87" t="str">
        <x:f>IFERROR(VLOOKUP(D191,'مراجع الوصفات'!$F$2:$I$253,3,FALSE),"")</x:f>
      </x:c>
      <x:c r="I191" s="89" t="str">
        <x:f>IF(OR(F191="",G191="",H191=""),"",IF(G191=H191,F191,IF(AND(G191="غ",H191="كغ"),F191/1000,IF(AND(G191="كغ",H191="غ"),F191*1000,IF(AND(G191="مل",H191="لتر"),F191/1000,IF(AND(G191="لتر",H191="مل"),F191*1000,"خطأ وحدة"))))))</x:f>
      </x:c>
      <x:c r="J191" s="85"/>
      <x:c r="K191" s="80"/>
      <x:c r="L191" s="91" t="str">
        <x:f>IFERROR(VLOOKUP(D191,'مراجع الوصفات'!$F$2:$I$253,4,FALSE),"")</x:f>
      </x:c>
      <x:c r="M191" s="91" t="str">
        <x:f>IF(OR(I191="",NOT(ISNUMBER(I191)),L191=""),"",I191*L191*(1+J191/100))</x:f>
      </x:c>
      <x:c r="N191" s="80"/>
      <x:c r="O191" s="93" t="str">
        <x:f>IF(AND(B191="",D191="",F191=""),"",IF(A191="تجاهل","تجاهل",IF(OR(B191="",D191="",F191="",G191="",H191=""),"ناقص",IF(NOT(ISNUMBER(I191)),"خطأ وحدة",IF(OR(J191&lt;0,J191&gt;100),"خطأ هدر","صالح")))))</x:f>
      </x:c>
    </x:row>
    <x:row r="192">
      <x:c r="A192" s="79"/>
      <x:c r="B192" s="80"/>
      <x:c r="C192" s="87" t="str">
        <x:f>IFERROR(VLOOKUP(B192,'مراجع الوصفات'!$A$2:$D$79,2,FALSE),"")</x:f>
      </x:c>
      <x:c r="D192" s="80"/>
      <x:c r="E192" s="87" t="str">
        <x:f>IFERROR(VLOOKUP(D192,'مراجع الوصفات'!$F$2:$I$253,2,FALSE),"")</x:f>
      </x:c>
      <x:c r="F192" s="83"/>
      <x:c r="G192" s="80"/>
      <x:c r="H192" s="87" t="str">
        <x:f>IFERROR(VLOOKUP(D192,'مراجع الوصفات'!$F$2:$I$253,3,FALSE),"")</x:f>
      </x:c>
      <x:c r="I192" s="89" t="str">
        <x:f>IF(OR(F192="",G192="",H192=""),"",IF(G192=H192,F192,IF(AND(G192="غ",H192="كغ"),F192/1000,IF(AND(G192="كغ",H192="غ"),F192*1000,IF(AND(G192="مل",H192="لتر"),F192/1000,IF(AND(G192="لتر",H192="مل"),F192*1000,"خطأ وحدة"))))))</x:f>
      </x:c>
      <x:c r="J192" s="85"/>
      <x:c r="K192" s="80"/>
      <x:c r="L192" s="91" t="str">
        <x:f>IFERROR(VLOOKUP(D192,'مراجع الوصفات'!$F$2:$I$253,4,FALSE),"")</x:f>
      </x:c>
      <x:c r="M192" s="91" t="str">
        <x:f>IF(OR(I192="",NOT(ISNUMBER(I192)),L192=""),"",I192*L192*(1+J192/100))</x:f>
      </x:c>
      <x:c r="N192" s="80"/>
      <x:c r="O192" s="93" t="str">
        <x:f>IF(AND(B192="",D192="",F192=""),"",IF(A192="تجاهل","تجاهل",IF(OR(B192="",D192="",F192="",G192="",H192=""),"ناقص",IF(NOT(ISNUMBER(I192)),"خطأ وحدة",IF(OR(J192&lt;0,J192&gt;100),"خطأ هدر","صالح")))))</x:f>
      </x:c>
    </x:row>
    <x:row r="193">
      <x:c r="A193" s="79"/>
      <x:c r="B193" s="80"/>
      <x:c r="C193" s="87" t="str">
        <x:f>IFERROR(VLOOKUP(B193,'مراجع الوصفات'!$A$2:$D$79,2,FALSE),"")</x:f>
      </x:c>
      <x:c r="D193" s="80"/>
      <x:c r="E193" s="87" t="str">
        <x:f>IFERROR(VLOOKUP(D193,'مراجع الوصفات'!$F$2:$I$253,2,FALSE),"")</x:f>
      </x:c>
      <x:c r="F193" s="83"/>
      <x:c r="G193" s="80"/>
      <x:c r="H193" s="87" t="str">
        <x:f>IFERROR(VLOOKUP(D193,'مراجع الوصفات'!$F$2:$I$253,3,FALSE),"")</x:f>
      </x:c>
      <x:c r="I193" s="89" t="str">
        <x:f>IF(OR(F193="",G193="",H193=""),"",IF(G193=H193,F193,IF(AND(G193="غ",H193="كغ"),F193/1000,IF(AND(G193="كغ",H193="غ"),F193*1000,IF(AND(G193="مل",H193="لتر"),F193/1000,IF(AND(G193="لتر",H193="مل"),F193*1000,"خطأ وحدة"))))))</x:f>
      </x:c>
      <x:c r="J193" s="85"/>
      <x:c r="K193" s="80"/>
      <x:c r="L193" s="91" t="str">
        <x:f>IFERROR(VLOOKUP(D193,'مراجع الوصفات'!$F$2:$I$253,4,FALSE),"")</x:f>
      </x:c>
      <x:c r="M193" s="91" t="str">
        <x:f>IF(OR(I193="",NOT(ISNUMBER(I193)),L193=""),"",I193*L193*(1+J193/100))</x:f>
      </x:c>
      <x:c r="N193" s="80"/>
      <x:c r="O193" s="93" t="str">
        <x:f>IF(AND(B193="",D193="",F193=""),"",IF(A193="تجاهل","تجاهل",IF(OR(B193="",D193="",F193="",G193="",H193=""),"ناقص",IF(NOT(ISNUMBER(I193)),"خطأ وحدة",IF(OR(J193&lt;0,J193&gt;100),"خطأ هدر","صالح")))))</x:f>
      </x:c>
    </x:row>
    <x:row r="194">
      <x:c r="A194" s="79"/>
      <x:c r="B194" s="80"/>
      <x:c r="C194" s="87" t="str">
        <x:f>IFERROR(VLOOKUP(B194,'مراجع الوصفات'!$A$2:$D$79,2,FALSE),"")</x:f>
      </x:c>
      <x:c r="D194" s="80"/>
      <x:c r="E194" s="87" t="str">
        <x:f>IFERROR(VLOOKUP(D194,'مراجع الوصفات'!$F$2:$I$253,2,FALSE),"")</x:f>
      </x:c>
      <x:c r="F194" s="83"/>
      <x:c r="G194" s="80"/>
      <x:c r="H194" s="87" t="str">
        <x:f>IFERROR(VLOOKUP(D194,'مراجع الوصفات'!$F$2:$I$253,3,FALSE),"")</x:f>
      </x:c>
      <x:c r="I194" s="89" t="str">
        <x:f>IF(OR(F194="",G194="",H194=""),"",IF(G194=H194,F194,IF(AND(G194="غ",H194="كغ"),F194/1000,IF(AND(G194="كغ",H194="غ"),F194*1000,IF(AND(G194="مل",H194="لتر"),F194/1000,IF(AND(G194="لتر",H194="مل"),F194*1000,"خطأ وحدة"))))))</x:f>
      </x:c>
      <x:c r="J194" s="85"/>
      <x:c r="K194" s="80"/>
      <x:c r="L194" s="91" t="str">
        <x:f>IFERROR(VLOOKUP(D194,'مراجع الوصفات'!$F$2:$I$253,4,FALSE),"")</x:f>
      </x:c>
      <x:c r="M194" s="91" t="str">
        <x:f>IF(OR(I194="",NOT(ISNUMBER(I194)),L194=""),"",I194*L194*(1+J194/100))</x:f>
      </x:c>
      <x:c r="N194" s="80"/>
      <x:c r="O194" s="93" t="str">
        <x:f>IF(AND(B194="",D194="",F194=""),"",IF(A194="تجاهل","تجاهل",IF(OR(B194="",D194="",F194="",G194="",H194=""),"ناقص",IF(NOT(ISNUMBER(I194)),"خطأ وحدة",IF(OR(J194&lt;0,J194&gt;100),"خطأ هدر","صالح")))))</x:f>
      </x:c>
    </x:row>
    <x:row r="195">
      <x:c r="A195" s="79"/>
      <x:c r="B195" s="80"/>
      <x:c r="C195" s="87" t="str">
        <x:f>IFERROR(VLOOKUP(B195,'مراجع الوصفات'!$A$2:$D$79,2,FALSE),"")</x:f>
      </x:c>
      <x:c r="D195" s="80"/>
      <x:c r="E195" s="87" t="str">
        <x:f>IFERROR(VLOOKUP(D195,'مراجع الوصفات'!$F$2:$I$253,2,FALSE),"")</x:f>
      </x:c>
      <x:c r="F195" s="83"/>
      <x:c r="G195" s="80"/>
      <x:c r="H195" s="87" t="str">
        <x:f>IFERROR(VLOOKUP(D195,'مراجع الوصفات'!$F$2:$I$253,3,FALSE),"")</x:f>
      </x:c>
      <x:c r="I195" s="89" t="str">
        <x:f>IF(OR(F195="",G195="",H195=""),"",IF(G195=H195,F195,IF(AND(G195="غ",H195="كغ"),F195/1000,IF(AND(G195="كغ",H195="غ"),F195*1000,IF(AND(G195="مل",H195="لتر"),F195/1000,IF(AND(G195="لتر",H195="مل"),F195*1000,"خطأ وحدة"))))))</x:f>
      </x:c>
      <x:c r="J195" s="85"/>
      <x:c r="K195" s="80"/>
      <x:c r="L195" s="91" t="str">
        <x:f>IFERROR(VLOOKUP(D195,'مراجع الوصفات'!$F$2:$I$253,4,FALSE),"")</x:f>
      </x:c>
      <x:c r="M195" s="91" t="str">
        <x:f>IF(OR(I195="",NOT(ISNUMBER(I195)),L195=""),"",I195*L195*(1+J195/100))</x:f>
      </x:c>
      <x:c r="N195" s="80"/>
      <x:c r="O195" s="93" t="str">
        <x:f>IF(AND(B195="",D195="",F195=""),"",IF(A195="تجاهل","تجاهل",IF(OR(B195="",D195="",F195="",G195="",H195=""),"ناقص",IF(NOT(ISNUMBER(I195)),"خطأ وحدة",IF(OR(J195&lt;0,J195&gt;100),"خطأ هدر","صالح")))))</x:f>
      </x:c>
    </x:row>
    <x:row r="196">
      <x:c r="A196" s="79"/>
      <x:c r="B196" s="80"/>
      <x:c r="C196" s="87" t="str">
        <x:f>IFERROR(VLOOKUP(B196,'مراجع الوصفات'!$A$2:$D$79,2,FALSE),"")</x:f>
      </x:c>
      <x:c r="D196" s="80"/>
      <x:c r="E196" s="87" t="str">
        <x:f>IFERROR(VLOOKUP(D196,'مراجع الوصفات'!$F$2:$I$253,2,FALSE),"")</x:f>
      </x:c>
      <x:c r="F196" s="83"/>
      <x:c r="G196" s="80"/>
      <x:c r="H196" s="87" t="str">
        <x:f>IFERROR(VLOOKUP(D196,'مراجع الوصفات'!$F$2:$I$253,3,FALSE),"")</x:f>
      </x:c>
      <x:c r="I196" s="89" t="str">
        <x:f>IF(OR(F196="",G196="",H196=""),"",IF(G196=H196,F196,IF(AND(G196="غ",H196="كغ"),F196/1000,IF(AND(G196="كغ",H196="غ"),F196*1000,IF(AND(G196="مل",H196="لتر"),F196/1000,IF(AND(G196="لتر",H196="مل"),F196*1000,"خطأ وحدة"))))))</x:f>
      </x:c>
      <x:c r="J196" s="85"/>
      <x:c r="K196" s="80"/>
      <x:c r="L196" s="91" t="str">
        <x:f>IFERROR(VLOOKUP(D196,'مراجع الوصفات'!$F$2:$I$253,4,FALSE),"")</x:f>
      </x:c>
      <x:c r="M196" s="91" t="str">
        <x:f>IF(OR(I196="",NOT(ISNUMBER(I196)),L196=""),"",I196*L196*(1+J196/100))</x:f>
      </x:c>
      <x:c r="N196" s="80"/>
      <x:c r="O196" s="93" t="str">
        <x:f>IF(AND(B196="",D196="",F196=""),"",IF(A196="تجاهل","تجاهل",IF(OR(B196="",D196="",F196="",G196="",H196=""),"ناقص",IF(NOT(ISNUMBER(I196)),"خطأ وحدة",IF(OR(J196&lt;0,J196&gt;100),"خطأ هدر","صالح")))))</x:f>
      </x:c>
    </x:row>
    <x:row r="197">
      <x:c r="A197" s="79"/>
      <x:c r="B197" s="80"/>
      <x:c r="C197" s="87" t="str">
        <x:f>IFERROR(VLOOKUP(B197,'مراجع الوصفات'!$A$2:$D$79,2,FALSE),"")</x:f>
      </x:c>
      <x:c r="D197" s="80"/>
      <x:c r="E197" s="87" t="str">
        <x:f>IFERROR(VLOOKUP(D197,'مراجع الوصفات'!$F$2:$I$253,2,FALSE),"")</x:f>
      </x:c>
      <x:c r="F197" s="83"/>
      <x:c r="G197" s="80"/>
      <x:c r="H197" s="87" t="str">
        <x:f>IFERROR(VLOOKUP(D197,'مراجع الوصفات'!$F$2:$I$253,3,FALSE),"")</x:f>
      </x:c>
      <x:c r="I197" s="89" t="str">
        <x:f>IF(OR(F197="",G197="",H197=""),"",IF(G197=H197,F197,IF(AND(G197="غ",H197="كغ"),F197/1000,IF(AND(G197="كغ",H197="غ"),F197*1000,IF(AND(G197="مل",H197="لتر"),F197/1000,IF(AND(G197="لتر",H197="مل"),F197*1000,"خطأ وحدة"))))))</x:f>
      </x:c>
      <x:c r="J197" s="85"/>
      <x:c r="K197" s="80"/>
      <x:c r="L197" s="91" t="str">
        <x:f>IFERROR(VLOOKUP(D197,'مراجع الوصفات'!$F$2:$I$253,4,FALSE),"")</x:f>
      </x:c>
      <x:c r="M197" s="91" t="str">
        <x:f>IF(OR(I197="",NOT(ISNUMBER(I197)),L197=""),"",I197*L197*(1+J197/100))</x:f>
      </x:c>
      <x:c r="N197" s="80"/>
      <x:c r="O197" s="93" t="str">
        <x:f>IF(AND(B197="",D197="",F197=""),"",IF(A197="تجاهل","تجاهل",IF(OR(B197="",D197="",F197="",G197="",H197=""),"ناقص",IF(NOT(ISNUMBER(I197)),"خطأ وحدة",IF(OR(J197&lt;0,J197&gt;100),"خطأ هدر","صالح")))))</x:f>
      </x:c>
    </x:row>
    <x:row r="198">
      <x:c r="A198" s="79"/>
      <x:c r="B198" s="80"/>
      <x:c r="C198" s="87" t="str">
        <x:f>IFERROR(VLOOKUP(B198,'مراجع الوصفات'!$A$2:$D$79,2,FALSE),"")</x:f>
      </x:c>
      <x:c r="D198" s="80"/>
      <x:c r="E198" s="87" t="str">
        <x:f>IFERROR(VLOOKUP(D198,'مراجع الوصفات'!$F$2:$I$253,2,FALSE),"")</x:f>
      </x:c>
      <x:c r="F198" s="83"/>
      <x:c r="G198" s="80"/>
      <x:c r="H198" s="87" t="str">
        <x:f>IFERROR(VLOOKUP(D198,'مراجع الوصفات'!$F$2:$I$253,3,FALSE),"")</x:f>
      </x:c>
      <x:c r="I198" s="89" t="str">
        <x:f>IF(OR(F198="",G198="",H198=""),"",IF(G198=H198,F198,IF(AND(G198="غ",H198="كغ"),F198/1000,IF(AND(G198="كغ",H198="غ"),F198*1000,IF(AND(G198="مل",H198="لتر"),F198/1000,IF(AND(G198="لتر",H198="مل"),F198*1000,"خطأ وحدة"))))))</x:f>
      </x:c>
      <x:c r="J198" s="85"/>
      <x:c r="K198" s="80"/>
      <x:c r="L198" s="91" t="str">
        <x:f>IFERROR(VLOOKUP(D198,'مراجع الوصفات'!$F$2:$I$253,4,FALSE),"")</x:f>
      </x:c>
      <x:c r="M198" s="91" t="str">
        <x:f>IF(OR(I198="",NOT(ISNUMBER(I198)),L198=""),"",I198*L198*(1+J198/100))</x:f>
      </x:c>
      <x:c r="N198" s="80"/>
      <x:c r="O198" s="93" t="str">
        <x:f>IF(AND(B198="",D198="",F198=""),"",IF(A198="تجاهل","تجاهل",IF(OR(B198="",D198="",F198="",G198="",H198=""),"ناقص",IF(NOT(ISNUMBER(I198)),"خطأ وحدة",IF(OR(J198&lt;0,J198&gt;100),"خطأ هدر","صالح")))))</x:f>
      </x:c>
    </x:row>
    <x:row r="199">
      <x:c r="A199" s="79"/>
      <x:c r="B199" s="80"/>
      <x:c r="C199" s="87" t="str">
        <x:f>IFERROR(VLOOKUP(B199,'مراجع الوصفات'!$A$2:$D$79,2,FALSE),"")</x:f>
      </x:c>
      <x:c r="D199" s="80"/>
      <x:c r="E199" s="87" t="str">
        <x:f>IFERROR(VLOOKUP(D199,'مراجع الوصفات'!$F$2:$I$253,2,FALSE),"")</x:f>
      </x:c>
      <x:c r="F199" s="83"/>
      <x:c r="G199" s="80"/>
      <x:c r="H199" s="87" t="str">
        <x:f>IFERROR(VLOOKUP(D199,'مراجع الوصفات'!$F$2:$I$253,3,FALSE),"")</x:f>
      </x:c>
      <x:c r="I199" s="89" t="str">
        <x:f>IF(OR(F199="",G199="",H199=""),"",IF(G199=H199,F199,IF(AND(G199="غ",H199="كغ"),F199/1000,IF(AND(G199="كغ",H199="غ"),F199*1000,IF(AND(G199="مل",H199="لتر"),F199/1000,IF(AND(G199="لتر",H199="مل"),F199*1000,"خطأ وحدة"))))))</x:f>
      </x:c>
      <x:c r="J199" s="85"/>
      <x:c r="K199" s="80"/>
      <x:c r="L199" s="91" t="str">
        <x:f>IFERROR(VLOOKUP(D199,'مراجع الوصفات'!$F$2:$I$253,4,FALSE),"")</x:f>
      </x:c>
      <x:c r="M199" s="91" t="str">
        <x:f>IF(OR(I199="",NOT(ISNUMBER(I199)),L199=""),"",I199*L199*(1+J199/100))</x:f>
      </x:c>
      <x:c r="N199" s="80"/>
      <x:c r="O199" s="93" t="str">
        <x:f>IF(AND(B199="",D199="",F199=""),"",IF(A199="تجاهل","تجاهل",IF(OR(B199="",D199="",F199="",G199="",H199=""),"ناقص",IF(NOT(ISNUMBER(I199)),"خطأ وحدة",IF(OR(J199&lt;0,J199&gt;100),"خطأ هدر","صالح")))))</x:f>
      </x:c>
    </x:row>
    <x:row r="200">
      <x:c r="A200" s="79"/>
      <x:c r="B200" s="80"/>
      <x:c r="C200" s="87" t="str">
        <x:f>IFERROR(VLOOKUP(B200,'مراجع الوصفات'!$A$2:$D$79,2,FALSE),"")</x:f>
      </x:c>
      <x:c r="D200" s="80"/>
      <x:c r="E200" s="87" t="str">
        <x:f>IFERROR(VLOOKUP(D200,'مراجع الوصفات'!$F$2:$I$253,2,FALSE),"")</x:f>
      </x:c>
      <x:c r="F200" s="83"/>
      <x:c r="G200" s="80"/>
      <x:c r="H200" s="87" t="str">
        <x:f>IFERROR(VLOOKUP(D200,'مراجع الوصفات'!$F$2:$I$253,3,FALSE),"")</x:f>
      </x:c>
      <x:c r="I200" s="89" t="str">
        <x:f>IF(OR(F200="",G200="",H200=""),"",IF(G200=H200,F200,IF(AND(G200="غ",H200="كغ"),F200/1000,IF(AND(G200="كغ",H200="غ"),F200*1000,IF(AND(G200="مل",H200="لتر"),F200/1000,IF(AND(G200="لتر",H200="مل"),F200*1000,"خطأ وحدة"))))))</x:f>
      </x:c>
      <x:c r="J200" s="85"/>
      <x:c r="K200" s="80"/>
      <x:c r="L200" s="91" t="str">
        <x:f>IFERROR(VLOOKUP(D200,'مراجع الوصفات'!$F$2:$I$253,4,FALSE),"")</x:f>
      </x:c>
      <x:c r="M200" s="91" t="str">
        <x:f>IF(OR(I200="",NOT(ISNUMBER(I200)),L200=""),"",I200*L200*(1+J200/100))</x:f>
      </x:c>
      <x:c r="N200" s="80"/>
      <x:c r="O200" s="93" t="str">
        <x:f>IF(AND(B200="",D200="",F200=""),"",IF(A200="تجاهل","تجاهل",IF(OR(B200="",D200="",F200="",G200="",H200=""),"ناقص",IF(NOT(ISNUMBER(I200)),"خطأ وحدة",IF(OR(J200&lt;0,J200&gt;100),"خطأ هدر","صالح")))))</x:f>
      </x:c>
    </x:row>
    <x:row r="201">
      <x:c r="A201" s="79"/>
      <x:c r="B201" s="80"/>
      <x:c r="C201" s="87" t="str">
        <x:f>IFERROR(VLOOKUP(B201,'مراجع الوصفات'!$A$2:$D$79,2,FALSE),"")</x:f>
      </x:c>
      <x:c r="D201" s="80"/>
      <x:c r="E201" s="87" t="str">
        <x:f>IFERROR(VLOOKUP(D201,'مراجع الوصفات'!$F$2:$I$253,2,FALSE),"")</x:f>
      </x:c>
      <x:c r="F201" s="83"/>
      <x:c r="G201" s="80"/>
      <x:c r="H201" s="87" t="str">
        <x:f>IFERROR(VLOOKUP(D201,'مراجع الوصفات'!$F$2:$I$253,3,FALSE),"")</x:f>
      </x:c>
      <x:c r="I201" s="89" t="str">
        <x:f>IF(OR(F201="",G201="",H201=""),"",IF(G201=H201,F201,IF(AND(G201="غ",H201="كغ"),F201/1000,IF(AND(G201="كغ",H201="غ"),F201*1000,IF(AND(G201="مل",H201="لتر"),F201/1000,IF(AND(G201="لتر",H201="مل"),F201*1000,"خطأ وحدة"))))))</x:f>
      </x:c>
      <x:c r="J201" s="85"/>
      <x:c r="K201" s="80"/>
      <x:c r="L201" s="91" t="str">
        <x:f>IFERROR(VLOOKUP(D201,'مراجع الوصفات'!$F$2:$I$253,4,FALSE),"")</x:f>
      </x:c>
      <x:c r="M201" s="91" t="str">
        <x:f>IF(OR(I201="",NOT(ISNUMBER(I201)),L201=""),"",I201*L201*(1+J201/100))</x:f>
      </x:c>
      <x:c r="N201" s="80"/>
      <x:c r="O201" s="93" t="str">
        <x:f>IF(AND(B201="",D201="",F201=""),"",IF(A201="تجاهل","تجاهل",IF(OR(B201="",D201="",F201="",G201="",H201=""),"ناقص",IF(NOT(ISNUMBER(I201)),"خطأ وحدة",IF(OR(J201&lt;0,J201&gt;100),"خطأ هدر","صالح")))))</x:f>
      </x:c>
    </x:row>
    <x:row r="202">
      <x:c r="A202" s="79"/>
      <x:c r="B202" s="80"/>
      <x:c r="C202" s="87" t="str">
        <x:f>IFERROR(VLOOKUP(B202,'مراجع الوصفات'!$A$2:$D$79,2,FALSE),"")</x:f>
      </x:c>
      <x:c r="D202" s="80"/>
      <x:c r="E202" s="87" t="str">
        <x:f>IFERROR(VLOOKUP(D202,'مراجع الوصفات'!$F$2:$I$253,2,FALSE),"")</x:f>
      </x:c>
      <x:c r="F202" s="83"/>
      <x:c r="G202" s="80"/>
      <x:c r="H202" s="87" t="str">
        <x:f>IFERROR(VLOOKUP(D202,'مراجع الوصفات'!$F$2:$I$253,3,FALSE),"")</x:f>
      </x:c>
      <x:c r="I202" s="89" t="str">
        <x:f>IF(OR(F202="",G202="",H202=""),"",IF(G202=H202,F202,IF(AND(G202="غ",H202="كغ"),F202/1000,IF(AND(G202="كغ",H202="غ"),F202*1000,IF(AND(G202="مل",H202="لتر"),F202/1000,IF(AND(G202="لتر",H202="مل"),F202*1000,"خطأ وحدة"))))))</x:f>
      </x:c>
      <x:c r="J202" s="85"/>
      <x:c r="K202" s="80"/>
      <x:c r="L202" s="91" t="str">
        <x:f>IFERROR(VLOOKUP(D202,'مراجع الوصفات'!$F$2:$I$253,4,FALSE),"")</x:f>
      </x:c>
      <x:c r="M202" s="91" t="str">
        <x:f>IF(OR(I202="",NOT(ISNUMBER(I202)),L202=""),"",I202*L202*(1+J202/100))</x:f>
      </x:c>
      <x:c r="N202" s="80"/>
      <x:c r="O202" s="93" t="str">
        <x:f>IF(AND(B202="",D202="",F202=""),"",IF(A202="تجاهل","تجاهل",IF(OR(B202="",D202="",F202="",G202="",H202=""),"ناقص",IF(NOT(ISNUMBER(I202)),"خطأ وحدة",IF(OR(J202&lt;0,J202&gt;100),"خطأ هدر","صالح")))))</x:f>
      </x:c>
    </x:row>
    <x:row r="203">
      <x:c r="A203" s="79"/>
      <x:c r="B203" s="80"/>
      <x:c r="C203" s="87" t="str">
        <x:f>IFERROR(VLOOKUP(B203,'مراجع الوصفات'!$A$2:$D$79,2,FALSE),"")</x:f>
      </x:c>
      <x:c r="D203" s="80"/>
      <x:c r="E203" s="87" t="str">
        <x:f>IFERROR(VLOOKUP(D203,'مراجع الوصفات'!$F$2:$I$253,2,FALSE),"")</x:f>
      </x:c>
      <x:c r="F203" s="83"/>
      <x:c r="G203" s="80"/>
      <x:c r="H203" s="87" t="str">
        <x:f>IFERROR(VLOOKUP(D203,'مراجع الوصفات'!$F$2:$I$253,3,FALSE),"")</x:f>
      </x:c>
      <x:c r="I203" s="89" t="str">
        <x:f>IF(OR(F203="",G203="",H203=""),"",IF(G203=H203,F203,IF(AND(G203="غ",H203="كغ"),F203/1000,IF(AND(G203="كغ",H203="غ"),F203*1000,IF(AND(G203="مل",H203="لتر"),F203/1000,IF(AND(G203="لتر",H203="مل"),F203*1000,"خطأ وحدة"))))))</x:f>
      </x:c>
      <x:c r="J203" s="85"/>
      <x:c r="K203" s="80"/>
      <x:c r="L203" s="91" t="str">
        <x:f>IFERROR(VLOOKUP(D203,'مراجع الوصفات'!$F$2:$I$253,4,FALSE),"")</x:f>
      </x:c>
      <x:c r="M203" s="91" t="str">
        <x:f>IF(OR(I203="",NOT(ISNUMBER(I203)),L203=""),"",I203*L203*(1+J203/100))</x:f>
      </x:c>
      <x:c r="N203" s="80"/>
      <x:c r="O203" s="93" t="str">
        <x:f>IF(AND(B203="",D203="",F203=""),"",IF(A203="تجاهل","تجاهل",IF(OR(B203="",D203="",F203="",G203="",H203=""),"ناقص",IF(NOT(ISNUMBER(I203)),"خطأ وحدة",IF(OR(J203&lt;0,J203&gt;100),"خطأ هدر","صالح")))))</x:f>
      </x:c>
    </x:row>
    <x:row r="204">
      <x:c r="A204" s="79"/>
      <x:c r="B204" s="80"/>
      <x:c r="C204" s="87" t="str">
        <x:f>IFERROR(VLOOKUP(B204,'مراجع الوصفات'!$A$2:$D$79,2,FALSE),"")</x:f>
      </x:c>
      <x:c r="D204" s="80"/>
      <x:c r="E204" s="87" t="str">
        <x:f>IFERROR(VLOOKUP(D204,'مراجع الوصفات'!$F$2:$I$253,2,FALSE),"")</x:f>
      </x:c>
      <x:c r="F204" s="83"/>
      <x:c r="G204" s="80"/>
      <x:c r="H204" s="87" t="str">
        <x:f>IFERROR(VLOOKUP(D204,'مراجع الوصفات'!$F$2:$I$253,3,FALSE),"")</x:f>
      </x:c>
      <x:c r="I204" s="89" t="str">
        <x:f>IF(OR(F204="",G204="",H204=""),"",IF(G204=H204,F204,IF(AND(G204="غ",H204="كغ"),F204/1000,IF(AND(G204="كغ",H204="غ"),F204*1000,IF(AND(G204="مل",H204="لتر"),F204/1000,IF(AND(G204="لتر",H204="مل"),F204*1000,"خطأ وحدة"))))))</x:f>
      </x:c>
      <x:c r="J204" s="85"/>
      <x:c r="K204" s="80"/>
      <x:c r="L204" s="91" t="str">
        <x:f>IFERROR(VLOOKUP(D204,'مراجع الوصفات'!$F$2:$I$253,4,FALSE),"")</x:f>
      </x:c>
      <x:c r="M204" s="91" t="str">
        <x:f>IF(OR(I204="",NOT(ISNUMBER(I204)),L204=""),"",I204*L204*(1+J204/100))</x:f>
      </x:c>
      <x:c r="N204" s="80"/>
      <x:c r="O204" s="93" t="str">
        <x:f>IF(AND(B204="",D204="",F204=""),"",IF(A204="تجاهل","تجاهل",IF(OR(B204="",D204="",F204="",G204="",H204=""),"ناقص",IF(NOT(ISNUMBER(I204)),"خطأ وحدة",IF(OR(J204&lt;0,J204&gt;100),"خطأ هدر","صالح")))))</x:f>
      </x:c>
    </x:row>
    <x:row r="205">
      <x:c r="A205" s="79"/>
      <x:c r="B205" s="80"/>
      <x:c r="C205" s="87" t="str">
        <x:f>IFERROR(VLOOKUP(B205,'مراجع الوصفات'!$A$2:$D$79,2,FALSE),"")</x:f>
      </x:c>
      <x:c r="D205" s="80"/>
      <x:c r="E205" s="87" t="str">
        <x:f>IFERROR(VLOOKUP(D205,'مراجع الوصفات'!$F$2:$I$253,2,FALSE),"")</x:f>
      </x:c>
      <x:c r="F205" s="83"/>
      <x:c r="G205" s="80"/>
      <x:c r="H205" s="87" t="str">
        <x:f>IFERROR(VLOOKUP(D205,'مراجع الوصفات'!$F$2:$I$253,3,FALSE),"")</x:f>
      </x:c>
      <x:c r="I205" s="89" t="str">
        <x:f>IF(OR(F205="",G205="",H205=""),"",IF(G205=H205,F205,IF(AND(G205="غ",H205="كغ"),F205/1000,IF(AND(G205="كغ",H205="غ"),F205*1000,IF(AND(G205="مل",H205="لتر"),F205/1000,IF(AND(G205="لتر",H205="مل"),F205*1000,"خطأ وحدة"))))))</x:f>
      </x:c>
      <x:c r="J205" s="85"/>
      <x:c r="K205" s="80"/>
      <x:c r="L205" s="91" t="str">
        <x:f>IFERROR(VLOOKUP(D205,'مراجع الوصفات'!$F$2:$I$253,4,FALSE),"")</x:f>
      </x:c>
      <x:c r="M205" s="91" t="str">
        <x:f>IF(OR(I205="",NOT(ISNUMBER(I205)),L205=""),"",I205*L205*(1+J205/100))</x:f>
      </x:c>
      <x:c r="N205" s="80"/>
      <x:c r="O205" s="93" t="str">
        <x:f>IF(AND(B205="",D205="",F205=""),"",IF(A205="تجاهل","تجاهل",IF(OR(B205="",D205="",F205="",G205="",H205=""),"ناقص",IF(NOT(ISNUMBER(I205)),"خطأ وحدة",IF(OR(J205&lt;0,J205&gt;100),"خطأ هدر","صالح")))))</x:f>
      </x:c>
    </x:row>
    <x:row r="206">
      <x:c r="A206" s="79"/>
      <x:c r="B206" s="80"/>
      <x:c r="C206" s="87" t="str">
        <x:f>IFERROR(VLOOKUP(B206,'مراجع الوصفات'!$A$2:$D$79,2,FALSE),"")</x:f>
      </x:c>
      <x:c r="D206" s="80"/>
      <x:c r="E206" s="87" t="str">
        <x:f>IFERROR(VLOOKUP(D206,'مراجع الوصفات'!$F$2:$I$253,2,FALSE),"")</x:f>
      </x:c>
      <x:c r="F206" s="83"/>
      <x:c r="G206" s="80"/>
      <x:c r="H206" s="87" t="str">
        <x:f>IFERROR(VLOOKUP(D206,'مراجع الوصفات'!$F$2:$I$253,3,FALSE),"")</x:f>
      </x:c>
      <x:c r="I206" s="89" t="str">
        <x:f>IF(OR(F206="",G206="",H206=""),"",IF(G206=H206,F206,IF(AND(G206="غ",H206="كغ"),F206/1000,IF(AND(G206="كغ",H206="غ"),F206*1000,IF(AND(G206="مل",H206="لتر"),F206/1000,IF(AND(G206="لتر",H206="مل"),F206*1000,"خطأ وحدة"))))))</x:f>
      </x:c>
      <x:c r="J206" s="85"/>
      <x:c r="K206" s="80"/>
      <x:c r="L206" s="91" t="str">
        <x:f>IFERROR(VLOOKUP(D206,'مراجع الوصفات'!$F$2:$I$253,4,FALSE),"")</x:f>
      </x:c>
      <x:c r="M206" s="91" t="str">
        <x:f>IF(OR(I206="",NOT(ISNUMBER(I206)),L206=""),"",I206*L206*(1+J206/100))</x:f>
      </x:c>
      <x:c r="N206" s="80"/>
      <x:c r="O206" s="93" t="str">
        <x:f>IF(AND(B206="",D206="",F206=""),"",IF(A206="تجاهل","تجاهل",IF(OR(B206="",D206="",F206="",G206="",H206=""),"ناقص",IF(NOT(ISNUMBER(I206)),"خطأ وحدة",IF(OR(J206&lt;0,J206&gt;100),"خطأ هدر","صالح")))))</x:f>
      </x:c>
    </x:row>
    <x:row r="207">
      <x:c r="A207" s="79"/>
      <x:c r="B207" s="80"/>
      <x:c r="C207" s="87" t="str">
        <x:f>IFERROR(VLOOKUP(B207,'مراجع الوصفات'!$A$2:$D$79,2,FALSE),"")</x:f>
      </x:c>
      <x:c r="D207" s="80"/>
      <x:c r="E207" s="87" t="str">
        <x:f>IFERROR(VLOOKUP(D207,'مراجع الوصفات'!$F$2:$I$253,2,FALSE),"")</x:f>
      </x:c>
      <x:c r="F207" s="83"/>
      <x:c r="G207" s="80"/>
      <x:c r="H207" s="87" t="str">
        <x:f>IFERROR(VLOOKUP(D207,'مراجع الوصفات'!$F$2:$I$253,3,FALSE),"")</x:f>
      </x:c>
      <x:c r="I207" s="89" t="str">
        <x:f>IF(OR(F207="",G207="",H207=""),"",IF(G207=H207,F207,IF(AND(G207="غ",H207="كغ"),F207/1000,IF(AND(G207="كغ",H207="غ"),F207*1000,IF(AND(G207="مل",H207="لتر"),F207/1000,IF(AND(G207="لتر",H207="مل"),F207*1000,"خطأ وحدة"))))))</x:f>
      </x:c>
      <x:c r="J207" s="85"/>
      <x:c r="K207" s="80"/>
      <x:c r="L207" s="91" t="str">
        <x:f>IFERROR(VLOOKUP(D207,'مراجع الوصفات'!$F$2:$I$253,4,FALSE),"")</x:f>
      </x:c>
      <x:c r="M207" s="91" t="str">
        <x:f>IF(OR(I207="",NOT(ISNUMBER(I207)),L207=""),"",I207*L207*(1+J207/100))</x:f>
      </x:c>
      <x:c r="N207" s="80"/>
      <x:c r="O207" s="93" t="str">
        <x:f>IF(AND(B207="",D207="",F207=""),"",IF(A207="تجاهل","تجاهل",IF(OR(B207="",D207="",F207="",G207="",H207=""),"ناقص",IF(NOT(ISNUMBER(I207)),"خطأ وحدة",IF(OR(J207&lt;0,J207&gt;100),"خطأ هدر","صالح")))))</x:f>
      </x:c>
    </x:row>
    <x:row r="208">
      <x:c r="A208" s="79"/>
      <x:c r="B208" s="80"/>
      <x:c r="C208" s="87" t="str">
        <x:f>IFERROR(VLOOKUP(B208,'مراجع الوصفات'!$A$2:$D$79,2,FALSE),"")</x:f>
      </x:c>
      <x:c r="D208" s="80"/>
      <x:c r="E208" s="87" t="str">
        <x:f>IFERROR(VLOOKUP(D208,'مراجع الوصفات'!$F$2:$I$253,2,FALSE),"")</x:f>
      </x:c>
      <x:c r="F208" s="83"/>
      <x:c r="G208" s="80"/>
      <x:c r="H208" s="87" t="str">
        <x:f>IFERROR(VLOOKUP(D208,'مراجع الوصفات'!$F$2:$I$253,3,FALSE),"")</x:f>
      </x:c>
      <x:c r="I208" s="89" t="str">
        <x:f>IF(OR(F208="",G208="",H208=""),"",IF(G208=H208,F208,IF(AND(G208="غ",H208="كغ"),F208/1000,IF(AND(G208="كغ",H208="غ"),F208*1000,IF(AND(G208="مل",H208="لتر"),F208/1000,IF(AND(G208="لتر",H208="مل"),F208*1000,"خطأ وحدة"))))))</x:f>
      </x:c>
      <x:c r="J208" s="85"/>
      <x:c r="K208" s="80"/>
      <x:c r="L208" s="91" t="str">
        <x:f>IFERROR(VLOOKUP(D208,'مراجع الوصفات'!$F$2:$I$253,4,FALSE),"")</x:f>
      </x:c>
      <x:c r="M208" s="91" t="str">
        <x:f>IF(OR(I208="",NOT(ISNUMBER(I208)),L208=""),"",I208*L208*(1+J208/100))</x:f>
      </x:c>
      <x:c r="N208" s="80"/>
      <x:c r="O208" s="93" t="str">
        <x:f>IF(AND(B208="",D208="",F208=""),"",IF(A208="تجاهل","تجاهل",IF(OR(B208="",D208="",F208="",G208="",H208=""),"ناقص",IF(NOT(ISNUMBER(I208)),"خطأ وحدة",IF(OR(J208&lt;0,J208&gt;100),"خطأ هدر","صالح")))))</x:f>
      </x:c>
    </x:row>
    <x:row r="209">
      <x:c r="A209" s="79"/>
      <x:c r="B209" s="80"/>
      <x:c r="C209" s="87" t="str">
        <x:f>IFERROR(VLOOKUP(B209,'مراجع الوصفات'!$A$2:$D$79,2,FALSE),"")</x:f>
      </x:c>
      <x:c r="D209" s="80"/>
      <x:c r="E209" s="87" t="str">
        <x:f>IFERROR(VLOOKUP(D209,'مراجع الوصفات'!$F$2:$I$253,2,FALSE),"")</x:f>
      </x:c>
      <x:c r="F209" s="83"/>
      <x:c r="G209" s="80"/>
      <x:c r="H209" s="87" t="str">
        <x:f>IFERROR(VLOOKUP(D209,'مراجع الوصفات'!$F$2:$I$253,3,FALSE),"")</x:f>
      </x:c>
      <x:c r="I209" s="89" t="str">
        <x:f>IF(OR(F209="",G209="",H209=""),"",IF(G209=H209,F209,IF(AND(G209="غ",H209="كغ"),F209/1000,IF(AND(G209="كغ",H209="غ"),F209*1000,IF(AND(G209="مل",H209="لتر"),F209/1000,IF(AND(G209="لتر",H209="مل"),F209*1000,"خطأ وحدة"))))))</x:f>
      </x:c>
      <x:c r="J209" s="85"/>
      <x:c r="K209" s="80"/>
      <x:c r="L209" s="91" t="str">
        <x:f>IFERROR(VLOOKUP(D209,'مراجع الوصفات'!$F$2:$I$253,4,FALSE),"")</x:f>
      </x:c>
      <x:c r="M209" s="91" t="str">
        <x:f>IF(OR(I209="",NOT(ISNUMBER(I209)),L209=""),"",I209*L209*(1+J209/100))</x:f>
      </x:c>
      <x:c r="N209" s="80"/>
      <x:c r="O209" s="93" t="str">
        <x:f>IF(AND(B209="",D209="",F209=""),"",IF(A209="تجاهل","تجاهل",IF(OR(B209="",D209="",F209="",G209="",H209=""),"ناقص",IF(NOT(ISNUMBER(I209)),"خطأ وحدة",IF(OR(J209&lt;0,J209&gt;100),"خطأ هدر","صالح")))))</x:f>
      </x:c>
    </x:row>
    <x:row r="210">
      <x:c r="A210" s="79"/>
      <x:c r="B210" s="80"/>
      <x:c r="C210" s="87" t="str">
        <x:f>IFERROR(VLOOKUP(B210,'مراجع الوصفات'!$A$2:$D$79,2,FALSE),"")</x:f>
      </x:c>
      <x:c r="D210" s="80"/>
      <x:c r="E210" s="87" t="str">
        <x:f>IFERROR(VLOOKUP(D210,'مراجع الوصفات'!$F$2:$I$253,2,FALSE),"")</x:f>
      </x:c>
      <x:c r="F210" s="83"/>
      <x:c r="G210" s="80"/>
      <x:c r="H210" s="87" t="str">
        <x:f>IFERROR(VLOOKUP(D210,'مراجع الوصفات'!$F$2:$I$253,3,FALSE),"")</x:f>
      </x:c>
      <x:c r="I210" s="89" t="str">
        <x:f>IF(OR(F210="",G210="",H210=""),"",IF(G210=H210,F210,IF(AND(G210="غ",H210="كغ"),F210/1000,IF(AND(G210="كغ",H210="غ"),F210*1000,IF(AND(G210="مل",H210="لتر"),F210/1000,IF(AND(G210="لتر",H210="مل"),F210*1000,"خطأ وحدة"))))))</x:f>
      </x:c>
      <x:c r="J210" s="85"/>
      <x:c r="K210" s="80"/>
      <x:c r="L210" s="91" t="str">
        <x:f>IFERROR(VLOOKUP(D210,'مراجع الوصفات'!$F$2:$I$253,4,FALSE),"")</x:f>
      </x:c>
      <x:c r="M210" s="91" t="str">
        <x:f>IF(OR(I210="",NOT(ISNUMBER(I210)),L210=""),"",I210*L210*(1+J210/100))</x:f>
      </x:c>
      <x:c r="N210" s="80"/>
      <x:c r="O210" s="93" t="str">
        <x:f>IF(AND(B210="",D210="",F210=""),"",IF(A210="تجاهل","تجاهل",IF(OR(B210="",D210="",F210="",G210="",H210=""),"ناقص",IF(NOT(ISNUMBER(I210)),"خطأ وحدة",IF(OR(J210&lt;0,J210&gt;100),"خطأ هدر","صالح")))))</x:f>
      </x:c>
    </x:row>
    <x:row r="211">
      <x:c r="A211" s="79"/>
      <x:c r="B211" s="80"/>
      <x:c r="C211" s="87" t="str">
        <x:f>IFERROR(VLOOKUP(B211,'مراجع الوصفات'!$A$2:$D$79,2,FALSE),"")</x:f>
      </x:c>
      <x:c r="D211" s="80"/>
      <x:c r="E211" s="87" t="str">
        <x:f>IFERROR(VLOOKUP(D211,'مراجع الوصفات'!$F$2:$I$253,2,FALSE),"")</x:f>
      </x:c>
      <x:c r="F211" s="83"/>
      <x:c r="G211" s="80"/>
      <x:c r="H211" s="87" t="str">
        <x:f>IFERROR(VLOOKUP(D211,'مراجع الوصفات'!$F$2:$I$253,3,FALSE),"")</x:f>
      </x:c>
      <x:c r="I211" s="89" t="str">
        <x:f>IF(OR(F211="",G211="",H211=""),"",IF(G211=H211,F211,IF(AND(G211="غ",H211="كغ"),F211/1000,IF(AND(G211="كغ",H211="غ"),F211*1000,IF(AND(G211="مل",H211="لتر"),F211/1000,IF(AND(G211="لتر",H211="مل"),F211*1000,"خطأ وحدة"))))))</x:f>
      </x:c>
      <x:c r="J211" s="85"/>
      <x:c r="K211" s="80"/>
      <x:c r="L211" s="91" t="str">
        <x:f>IFERROR(VLOOKUP(D211,'مراجع الوصفات'!$F$2:$I$253,4,FALSE),"")</x:f>
      </x:c>
      <x:c r="M211" s="91" t="str">
        <x:f>IF(OR(I211="",NOT(ISNUMBER(I211)),L211=""),"",I211*L211*(1+J211/100))</x:f>
      </x:c>
      <x:c r="N211" s="80"/>
      <x:c r="O211" s="93" t="str">
        <x:f>IF(AND(B211="",D211="",F211=""),"",IF(A211="تجاهل","تجاهل",IF(OR(B211="",D211="",F211="",G211="",H211=""),"ناقص",IF(NOT(ISNUMBER(I211)),"خطأ وحدة",IF(OR(J211&lt;0,J211&gt;100),"خطأ هدر","صالح")))))</x:f>
      </x:c>
    </x:row>
    <x:row r="212">
      <x:c r="A212" s="79"/>
      <x:c r="B212" s="80"/>
      <x:c r="C212" s="87" t="str">
        <x:f>IFERROR(VLOOKUP(B212,'مراجع الوصفات'!$A$2:$D$79,2,FALSE),"")</x:f>
      </x:c>
      <x:c r="D212" s="80"/>
      <x:c r="E212" s="87" t="str">
        <x:f>IFERROR(VLOOKUP(D212,'مراجع الوصفات'!$F$2:$I$253,2,FALSE),"")</x:f>
      </x:c>
      <x:c r="F212" s="83"/>
      <x:c r="G212" s="80"/>
      <x:c r="H212" s="87" t="str">
        <x:f>IFERROR(VLOOKUP(D212,'مراجع الوصفات'!$F$2:$I$253,3,FALSE),"")</x:f>
      </x:c>
      <x:c r="I212" s="89" t="str">
        <x:f>IF(OR(F212="",G212="",H212=""),"",IF(G212=H212,F212,IF(AND(G212="غ",H212="كغ"),F212/1000,IF(AND(G212="كغ",H212="غ"),F212*1000,IF(AND(G212="مل",H212="لتر"),F212/1000,IF(AND(G212="لتر",H212="مل"),F212*1000,"خطأ وحدة"))))))</x:f>
      </x:c>
      <x:c r="J212" s="85"/>
      <x:c r="K212" s="80"/>
      <x:c r="L212" s="91" t="str">
        <x:f>IFERROR(VLOOKUP(D212,'مراجع الوصفات'!$F$2:$I$253,4,FALSE),"")</x:f>
      </x:c>
      <x:c r="M212" s="91" t="str">
        <x:f>IF(OR(I212="",NOT(ISNUMBER(I212)),L212=""),"",I212*L212*(1+J212/100))</x:f>
      </x:c>
      <x:c r="N212" s="80"/>
      <x:c r="O212" s="93" t="str">
        <x:f>IF(AND(B212="",D212="",F212=""),"",IF(A212="تجاهل","تجاهل",IF(OR(B212="",D212="",F212="",G212="",H212=""),"ناقص",IF(NOT(ISNUMBER(I212)),"خطأ وحدة",IF(OR(J212&lt;0,J212&gt;100),"خطأ هدر","صالح")))))</x:f>
      </x:c>
    </x:row>
    <x:row r="213">
      <x:c r="A213" s="79"/>
      <x:c r="B213" s="80"/>
      <x:c r="C213" s="87" t="str">
        <x:f>IFERROR(VLOOKUP(B213,'مراجع الوصفات'!$A$2:$D$79,2,FALSE),"")</x:f>
      </x:c>
      <x:c r="D213" s="80"/>
      <x:c r="E213" s="87" t="str">
        <x:f>IFERROR(VLOOKUP(D213,'مراجع الوصفات'!$F$2:$I$253,2,FALSE),"")</x:f>
      </x:c>
      <x:c r="F213" s="83"/>
      <x:c r="G213" s="80"/>
      <x:c r="H213" s="87" t="str">
        <x:f>IFERROR(VLOOKUP(D213,'مراجع الوصفات'!$F$2:$I$253,3,FALSE),"")</x:f>
      </x:c>
      <x:c r="I213" s="89" t="str">
        <x:f>IF(OR(F213="",G213="",H213=""),"",IF(G213=H213,F213,IF(AND(G213="غ",H213="كغ"),F213/1000,IF(AND(G213="كغ",H213="غ"),F213*1000,IF(AND(G213="مل",H213="لتر"),F213/1000,IF(AND(G213="لتر",H213="مل"),F213*1000,"خطأ وحدة"))))))</x:f>
      </x:c>
      <x:c r="J213" s="85"/>
      <x:c r="K213" s="80"/>
      <x:c r="L213" s="91" t="str">
        <x:f>IFERROR(VLOOKUP(D213,'مراجع الوصفات'!$F$2:$I$253,4,FALSE),"")</x:f>
      </x:c>
      <x:c r="M213" s="91" t="str">
        <x:f>IF(OR(I213="",NOT(ISNUMBER(I213)),L213=""),"",I213*L213*(1+J213/100))</x:f>
      </x:c>
      <x:c r="N213" s="80"/>
      <x:c r="O213" s="93" t="str">
        <x:f>IF(AND(B213="",D213="",F213=""),"",IF(A213="تجاهل","تجاهل",IF(OR(B213="",D213="",F213="",G213="",H213=""),"ناقص",IF(NOT(ISNUMBER(I213)),"خطأ وحدة",IF(OR(J213&lt;0,J213&gt;100),"خطأ هدر","صالح")))))</x:f>
      </x:c>
    </x:row>
    <x:row r="214">
      <x:c r="A214" s="79"/>
      <x:c r="B214" s="80"/>
      <x:c r="C214" s="87" t="str">
        <x:f>IFERROR(VLOOKUP(B214,'مراجع الوصفات'!$A$2:$D$79,2,FALSE),"")</x:f>
      </x:c>
      <x:c r="D214" s="80"/>
      <x:c r="E214" s="87" t="str">
        <x:f>IFERROR(VLOOKUP(D214,'مراجع الوصفات'!$F$2:$I$253,2,FALSE),"")</x:f>
      </x:c>
      <x:c r="F214" s="83"/>
      <x:c r="G214" s="80"/>
      <x:c r="H214" s="87" t="str">
        <x:f>IFERROR(VLOOKUP(D214,'مراجع الوصفات'!$F$2:$I$253,3,FALSE),"")</x:f>
      </x:c>
      <x:c r="I214" s="89" t="str">
        <x:f>IF(OR(F214="",G214="",H214=""),"",IF(G214=H214,F214,IF(AND(G214="غ",H214="كغ"),F214/1000,IF(AND(G214="كغ",H214="غ"),F214*1000,IF(AND(G214="مل",H214="لتر"),F214/1000,IF(AND(G214="لتر",H214="مل"),F214*1000,"خطأ وحدة"))))))</x:f>
      </x:c>
      <x:c r="J214" s="85"/>
      <x:c r="K214" s="80"/>
      <x:c r="L214" s="91" t="str">
        <x:f>IFERROR(VLOOKUP(D214,'مراجع الوصفات'!$F$2:$I$253,4,FALSE),"")</x:f>
      </x:c>
      <x:c r="M214" s="91" t="str">
        <x:f>IF(OR(I214="",NOT(ISNUMBER(I214)),L214=""),"",I214*L214*(1+J214/100))</x:f>
      </x:c>
      <x:c r="N214" s="80"/>
      <x:c r="O214" s="93" t="str">
        <x:f>IF(AND(B214="",D214="",F214=""),"",IF(A214="تجاهل","تجاهل",IF(OR(B214="",D214="",F214="",G214="",H214=""),"ناقص",IF(NOT(ISNUMBER(I214)),"خطأ وحدة",IF(OR(J214&lt;0,J214&gt;100),"خطأ هدر","صالح")))))</x:f>
      </x:c>
    </x:row>
    <x:row r="215">
      <x:c r="A215" s="79"/>
      <x:c r="B215" s="80"/>
      <x:c r="C215" s="87" t="str">
        <x:f>IFERROR(VLOOKUP(B215,'مراجع الوصفات'!$A$2:$D$79,2,FALSE),"")</x:f>
      </x:c>
      <x:c r="D215" s="80"/>
      <x:c r="E215" s="87" t="str">
        <x:f>IFERROR(VLOOKUP(D215,'مراجع الوصفات'!$F$2:$I$253,2,FALSE),"")</x:f>
      </x:c>
      <x:c r="F215" s="83"/>
      <x:c r="G215" s="80"/>
      <x:c r="H215" s="87" t="str">
        <x:f>IFERROR(VLOOKUP(D215,'مراجع الوصفات'!$F$2:$I$253,3,FALSE),"")</x:f>
      </x:c>
      <x:c r="I215" s="89" t="str">
        <x:f>IF(OR(F215="",G215="",H215=""),"",IF(G215=H215,F215,IF(AND(G215="غ",H215="كغ"),F215/1000,IF(AND(G215="كغ",H215="غ"),F215*1000,IF(AND(G215="مل",H215="لتر"),F215/1000,IF(AND(G215="لتر",H215="مل"),F215*1000,"خطأ وحدة"))))))</x:f>
      </x:c>
      <x:c r="J215" s="85"/>
      <x:c r="K215" s="80"/>
      <x:c r="L215" s="91" t="str">
        <x:f>IFERROR(VLOOKUP(D215,'مراجع الوصفات'!$F$2:$I$253,4,FALSE),"")</x:f>
      </x:c>
      <x:c r="M215" s="91" t="str">
        <x:f>IF(OR(I215="",NOT(ISNUMBER(I215)),L215=""),"",I215*L215*(1+J215/100))</x:f>
      </x:c>
      <x:c r="N215" s="80"/>
      <x:c r="O215" s="93" t="str">
        <x:f>IF(AND(B215="",D215="",F215=""),"",IF(A215="تجاهل","تجاهل",IF(OR(B215="",D215="",F215="",G215="",H215=""),"ناقص",IF(NOT(ISNUMBER(I215)),"خطأ وحدة",IF(OR(J215&lt;0,J215&gt;100),"خطأ هدر","صالح")))))</x:f>
      </x:c>
    </x:row>
    <x:row r="216">
      <x:c r="A216" s="79"/>
      <x:c r="B216" s="80"/>
      <x:c r="C216" s="87" t="str">
        <x:f>IFERROR(VLOOKUP(B216,'مراجع الوصفات'!$A$2:$D$79,2,FALSE),"")</x:f>
      </x:c>
      <x:c r="D216" s="80"/>
      <x:c r="E216" s="87" t="str">
        <x:f>IFERROR(VLOOKUP(D216,'مراجع الوصفات'!$F$2:$I$253,2,FALSE),"")</x:f>
      </x:c>
      <x:c r="F216" s="83"/>
      <x:c r="G216" s="80"/>
      <x:c r="H216" s="87" t="str">
        <x:f>IFERROR(VLOOKUP(D216,'مراجع الوصفات'!$F$2:$I$253,3,FALSE),"")</x:f>
      </x:c>
      <x:c r="I216" s="89" t="str">
        <x:f>IF(OR(F216="",G216="",H216=""),"",IF(G216=H216,F216,IF(AND(G216="غ",H216="كغ"),F216/1000,IF(AND(G216="كغ",H216="غ"),F216*1000,IF(AND(G216="مل",H216="لتر"),F216/1000,IF(AND(G216="لتر",H216="مل"),F216*1000,"خطأ وحدة"))))))</x:f>
      </x:c>
      <x:c r="J216" s="85"/>
      <x:c r="K216" s="80"/>
      <x:c r="L216" s="91" t="str">
        <x:f>IFERROR(VLOOKUP(D216,'مراجع الوصفات'!$F$2:$I$253,4,FALSE),"")</x:f>
      </x:c>
      <x:c r="M216" s="91" t="str">
        <x:f>IF(OR(I216="",NOT(ISNUMBER(I216)),L216=""),"",I216*L216*(1+J216/100))</x:f>
      </x:c>
      <x:c r="N216" s="80"/>
      <x:c r="O216" s="93" t="str">
        <x:f>IF(AND(B216="",D216="",F216=""),"",IF(A216="تجاهل","تجاهل",IF(OR(B216="",D216="",F216="",G216="",H216=""),"ناقص",IF(NOT(ISNUMBER(I216)),"خطأ وحدة",IF(OR(J216&lt;0,J216&gt;100),"خطأ هدر","صالح")))))</x:f>
      </x:c>
    </x:row>
    <x:row r="217">
      <x:c r="A217" s="79"/>
      <x:c r="B217" s="80"/>
      <x:c r="C217" s="87" t="str">
        <x:f>IFERROR(VLOOKUP(B217,'مراجع الوصفات'!$A$2:$D$79,2,FALSE),"")</x:f>
      </x:c>
      <x:c r="D217" s="80"/>
      <x:c r="E217" s="87" t="str">
        <x:f>IFERROR(VLOOKUP(D217,'مراجع الوصفات'!$F$2:$I$253,2,FALSE),"")</x:f>
      </x:c>
      <x:c r="F217" s="83"/>
      <x:c r="G217" s="80"/>
      <x:c r="H217" s="87" t="str">
        <x:f>IFERROR(VLOOKUP(D217,'مراجع الوصفات'!$F$2:$I$253,3,FALSE),"")</x:f>
      </x:c>
      <x:c r="I217" s="89" t="str">
        <x:f>IF(OR(F217="",G217="",H217=""),"",IF(G217=H217,F217,IF(AND(G217="غ",H217="كغ"),F217/1000,IF(AND(G217="كغ",H217="غ"),F217*1000,IF(AND(G217="مل",H217="لتر"),F217/1000,IF(AND(G217="لتر",H217="مل"),F217*1000,"خطأ وحدة"))))))</x:f>
      </x:c>
      <x:c r="J217" s="85"/>
      <x:c r="K217" s="80"/>
      <x:c r="L217" s="91" t="str">
        <x:f>IFERROR(VLOOKUP(D217,'مراجع الوصفات'!$F$2:$I$253,4,FALSE),"")</x:f>
      </x:c>
      <x:c r="M217" s="91" t="str">
        <x:f>IF(OR(I217="",NOT(ISNUMBER(I217)),L217=""),"",I217*L217*(1+J217/100))</x:f>
      </x:c>
      <x:c r="N217" s="80"/>
      <x:c r="O217" s="93" t="str">
        <x:f>IF(AND(B217="",D217="",F217=""),"",IF(A217="تجاهل","تجاهل",IF(OR(B217="",D217="",F217="",G217="",H217=""),"ناقص",IF(NOT(ISNUMBER(I217)),"خطأ وحدة",IF(OR(J217&lt;0,J217&gt;100),"خطأ هدر","صالح")))))</x:f>
      </x:c>
    </x:row>
    <x:row r="218">
      <x:c r="A218" s="79"/>
      <x:c r="B218" s="80"/>
      <x:c r="C218" s="87" t="str">
        <x:f>IFERROR(VLOOKUP(B218,'مراجع الوصفات'!$A$2:$D$79,2,FALSE),"")</x:f>
      </x:c>
      <x:c r="D218" s="80"/>
      <x:c r="E218" s="87" t="str">
        <x:f>IFERROR(VLOOKUP(D218,'مراجع الوصفات'!$F$2:$I$253,2,FALSE),"")</x:f>
      </x:c>
      <x:c r="F218" s="83"/>
      <x:c r="G218" s="80"/>
      <x:c r="H218" s="87" t="str">
        <x:f>IFERROR(VLOOKUP(D218,'مراجع الوصفات'!$F$2:$I$253,3,FALSE),"")</x:f>
      </x:c>
      <x:c r="I218" s="89" t="str">
        <x:f>IF(OR(F218="",G218="",H218=""),"",IF(G218=H218,F218,IF(AND(G218="غ",H218="كغ"),F218/1000,IF(AND(G218="كغ",H218="غ"),F218*1000,IF(AND(G218="مل",H218="لتر"),F218/1000,IF(AND(G218="لتر",H218="مل"),F218*1000,"خطأ وحدة"))))))</x:f>
      </x:c>
      <x:c r="J218" s="85"/>
      <x:c r="K218" s="80"/>
      <x:c r="L218" s="91" t="str">
        <x:f>IFERROR(VLOOKUP(D218,'مراجع الوصفات'!$F$2:$I$253,4,FALSE),"")</x:f>
      </x:c>
      <x:c r="M218" s="91" t="str">
        <x:f>IF(OR(I218="",NOT(ISNUMBER(I218)),L218=""),"",I218*L218*(1+J218/100))</x:f>
      </x:c>
      <x:c r="N218" s="80"/>
      <x:c r="O218" s="93" t="str">
        <x:f>IF(AND(B218="",D218="",F218=""),"",IF(A218="تجاهل","تجاهل",IF(OR(B218="",D218="",F218="",G218="",H218=""),"ناقص",IF(NOT(ISNUMBER(I218)),"خطأ وحدة",IF(OR(J218&lt;0,J218&gt;100),"خطأ هدر","صالح")))))</x:f>
      </x:c>
    </x:row>
    <x:row r="219">
      <x:c r="A219" s="79"/>
      <x:c r="B219" s="80"/>
      <x:c r="C219" s="87" t="str">
        <x:f>IFERROR(VLOOKUP(B219,'مراجع الوصفات'!$A$2:$D$79,2,FALSE),"")</x:f>
      </x:c>
      <x:c r="D219" s="80"/>
      <x:c r="E219" s="87" t="str">
        <x:f>IFERROR(VLOOKUP(D219,'مراجع الوصفات'!$F$2:$I$253,2,FALSE),"")</x:f>
      </x:c>
      <x:c r="F219" s="83"/>
      <x:c r="G219" s="80"/>
      <x:c r="H219" s="87" t="str">
        <x:f>IFERROR(VLOOKUP(D219,'مراجع الوصفات'!$F$2:$I$253,3,FALSE),"")</x:f>
      </x:c>
      <x:c r="I219" s="89" t="str">
        <x:f>IF(OR(F219="",G219="",H219=""),"",IF(G219=H219,F219,IF(AND(G219="غ",H219="كغ"),F219/1000,IF(AND(G219="كغ",H219="غ"),F219*1000,IF(AND(G219="مل",H219="لتر"),F219/1000,IF(AND(G219="لتر",H219="مل"),F219*1000,"خطأ وحدة"))))))</x:f>
      </x:c>
      <x:c r="J219" s="85"/>
      <x:c r="K219" s="80"/>
      <x:c r="L219" s="91" t="str">
        <x:f>IFERROR(VLOOKUP(D219,'مراجع الوصفات'!$F$2:$I$253,4,FALSE),"")</x:f>
      </x:c>
      <x:c r="M219" s="91" t="str">
        <x:f>IF(OR(I219="",NOT(ISNUMBER(I219)),L219=""),"",I219*L219*(1+J219/100))</x:f>
      </x:c>
      <x:c r="N219" s="80"/>
      <x:c r="O219" s="93" t="str">
        <x:f>IF(AND(B219="",D219="",F219=""),"",IF(A219="تجاهل","تجاهل",IF(OR(B219="",D219="",F219="",G219="",H219=""),"ناقص",IF(NOT(ISNUMBER(I219)),"خطأ وحدة",IF(OR(J219&lt;0,J219&gt;100),"خطأ هدر","صالح")))))</x:f>
      </x:c>
    </x:row>
    <x:row r="220">
      <x:c r="A220" s="79"/>
      <x:c r="B220" s="80"/>
      <x:c r="C220" s="87" t="str">
        <x:f>IFERROR(VLOOKUP(B220,'مراجع الوصفات'!$A$2:$D$79,2,FALSE),"")</x:f>
      </x:c>
      <x:c r="D220" s="80"/>
      <x:c r="E220" s="87" t="str">
        <x:f>IFERROR(VLOOKUP(D220,'مراجع الوصفات'!$F$2:$I$253,2,FALSE),"")</x:f>
      </x:c>
      <x:c r="F220" s="83"/>
      <x:c r="G220" s="80"/>
      <x:c r="H220" s="87" t="str">
        <x:f>IFERROR(VLOOKUP(D220,'مراجع الوصفات'!$F$2:$I$253,3,FALSE),"")</x:f>
      </x:c>
      <x:c r="I220" s="89" t="str">
        <x:f>IF(OR(F220="",G220="",H220=""),"",IF(G220=H220,F220,IF(AND(G220="غ",H220="كغ"),F220/1000,IF(AND(G220="كغ",H220="غ"),F220*1000,IF(AND(G220="مل",H220="لتر"),F220/1000,IF(AND(G220="لتر",H220="مل"),F220*1000,"خطأ وحدة"))))))</x:f>
      </x:c>
      <x:c r="J220" s="85"/>
      <x:c r="K220" s="80"/>
      <x:c r="L220" s="91" t="str">
        <x:f>IFERROR(VLOOKUP(D220,'مراجع الوصفات'!$F$2:$I$253,4,FALSE),"")</x:f>
      </x:c>
      <x:c r="M220" s="91" t="str">
        <x:f>IF(OR(I220="",NOT(ISNUMBER(I220)),L220=""),"",I220*L220*(1+J220/100))</x:f>
      </x:c>
      <x:c r="N220" s="80"/>
      <x:c r="O220" s="93" t="str">
        <x:f>IF(AND(B220="",D220="",F220=""),"",IF(A220="تجاهل","تجاهل",IF(OR(B220="",D220="",F220="",G220="",H220=""),"ناقص",IF(NOT(ISNUMBER(I220)),"خطأ وحدة",IF(OR(J220&lt;0,J220&gt;100),"خطأ هدر","صالح")))))</x:f>
      </x:c>
    </x:row>
    <x:row r="221">
      <x:c r="A221" s="79"/>
      <x:c r="B221" s="80"/>
      <x:c r="C221" s="87" t="str">
        <x:f>IFERROR(VLOOKUP(B221,'مراجع الوصفات'!$A$2:$D$79,2,FALSE),"")</x:f>
      </x:c>
      <x:c r="D221" s="80"/>
      <x:c r="E221" s="87" t="str">
        <x:f>IFERROR(VLOOKUP(D221,'مراجع الوصفات'!$F$2:$I$253,2,FALSE),"")</x:f>
      </x:c>
      <x:c r="F221" s="83"/>
      <x:c r="G221" s="80"/>
      <x:c r="H221" s="87" t="str">
        <x:f>IFERROR(VLOOKUP(D221,'مراجع الوصفات'!$F$2:$I$253,3,FALSE),"")</x:f>
      </x:c>
      <x:c r="I221" s="89" t="str">
        <x:f>IF(OR(F221="",G221="",H221=""),"",IF(G221=H221,F221,IF(AND(G221="غ",H221="كغ"),F221/1000,IF(AND(G221="كغ",H221="غ"),F221*1000,IF(AND(G221="مل",H221="لتر"),F221/1000,IF(AND(G221="لتر",H221="مل"),F221*1000,"خطأ وحدة"))))))</x:f>
      </x:c>
      <x:c r="J221" s="85"/>
      <x:c r="K221" s="80"/>
      <x:c r="L221" s="91" t="str">
        <x:f>IFERROR(VLOOKUP(D221,'مراجع الوصفات'!$F$2:$I$253,4,FALSE),"")</x:f>
      </x:c>
      <x:c r="M221" s="91" t="str">
        <x:f>IF(OR(I221="",NOT(ISNUMBER(I221)),L221=""),"",I221*L221*(1+J221/100))</x:f>
      </x:c>
      <x:c r="N221" s="80"/>
      <x:c r="O221" s="93" t="str">
        <x:f>IF(AND(B221="",D221="",F221=""),"",IF(A221="تجاهل","تجاهل",IF(OR(B221="",D221="",F221="",G221="",H221=""),"ناقص",IF(NOT(ISNUMBER(I221)),"خطأ وحدة",IF(OR(J221&lt;0,J221&gt;100),"خطأ هدر","صالح")))))</x:f>
      </x:c>
    </x:row>
    <x:row r="222">
      <x:c r="A222" s="79"/>
      <x:c r="B222" s="80"/>
      <x:c r="C222" s="87" t="str">
        <x:f>IFERROR(VLOOKUP(B222,'مراجع الوصفات'!$A$2:$D$79,2,FALSE),"")</x:f>
      </x:c>
      <x:c r="D222" s="80"/>
      <x:c r="E222" s="87" t="str">
        <x:f>IFERROR(VLOOKUP(D222,'مراجع الوصفات'!$F$2:$I$253,2,FALSE),"")</x:f>
      </x:c>
      <x:c r="F222" s="83"/>
      <x:c r="G222" s="80"/>
      <x:c r="H222" s="87" t="str">
        <x:f>IFERROR(VLOOKUP(D222,'مراجع الوصفات'!$F$2:$I$253,3,FALSE),"")</x:f>
      </x:c>
      <x:c r="I222" s="89" t="str">
        <x:f>IF(OR(F222="",G222="",H222=""),"",IF(G222=H222,F222,IF(AND(G222="غ",H222="كغ"),F222/1000,IF(AND(G222="كغ",H222="غ"),F222*1000,IF(AND(G222="مل",H222="لتر"),F222/1000,IF(AND(G222="لتر",H222="مل"),F222*1000,"خطأ وحدة"))))))</x:f>
      </x:c>
      <x:c r="J222" s="85"/>
      <x:c r="K222" s="80"/>
      <x:c r="L222" s="91" t="str">
        <x:f>IFERROR(VLOOKUP(D222,'مراجع الوصفات'!$F$2:$I$253,4,FALSE),"")</x:f>
      </x:c>
      <x:c r="M222" s="91" t="str">
        <x:f>IF(OR(I222="",NOT(ISNUMBER(I222)),L222=""),"",I222*L222*(1+J222/100))</x:f>
      </x:c>
      <x:c r="N222" s="80"/>
      <x:c r="O222" s="93" t="str">
        <x:f>IF(AND(B222="",D222="",F222=""),"",IF(A222="تجاهل","تجاهل",IF(OR(B222="",D222="",F222="",G222="",H222=""),"ناقص",IF(NOT(ISNUMBER(I222)),"خطأ وحدة",IF(OR(J222&lt;0,J222&gt;100),"خطأ هدر","صالح")))))</x:f>
      </x:c>
    </x:row>
    <x:row r="223">
      <x:c r="A223" s="79"/>
      <x:c r="B223" s="80"/>
      <x:c r="C223" s="87" t="str">
        <x:f>IFERROR(VLOOKUP(B223,'مراجع الوصفات'!$A$2:$D$79,2,FALSE),"")</x:f>
      </x:c>
      <x:c r="D223" s="80"/>
      <x:c r="E223" s="87" t="str">
        <x:f>IFERROR(VLOOKUP(D223,'مراجع الوصفات'!$F$2:$I$253,2,FALSE),"")</x:f>
      </x:c>
      <x:c r="F223" s="83"/>
      <x:c r="G223" s="80"/>
      <x:c r="H223" s="87" t="str">
        <x:f>IFERROR(VLOOKUP(D223,'مراجع الوصفات'!$F$2:$I$253,3,FALSE),"")</x:f>
      </x:c>
      <x:c r="I223" s="89" t="str">
        <x:f>IF(OR(F223="",G223="",H223=""),"",IF(G223=H223,F223,IF(AND(G223="غ",H223="كغ"),F223/1000,IF(AND(G223="كغ",H223="غ"),F223*1000,IF(AND(G223="مل",H223="لتر"),F223/1000,IF(AND(G223="لتر",H223="مل"),F223*1000,"خطأ وحدة"))))))</x:f>
      </x:c>
      <x:c r="J223" s="85"/>
      <x:c r="K223" s="80"/>
      <x:c r="L223" s="91" t="str">
        <x:f>IFERROR(VLOOKUP(D223,'مراجع الوصفات'!$F$2:$I$253,4,FALSE),"")</x:f>
      </x:c>
      <x:c r="M223" s="91" t="str">
        <x:f>IF(OR(I223="",NOT(ISNUMBER(I223)),L223=""),"",I223*L223*(1+J223/100))</x:f>
      </x:c>
      <x:c r="N223" s="80"/>
      <x:c r="O223" s="93" t="str">
        <x:f>IF(AND(B223="",D223="",F223=""),"",IF(A223="تجاهل","تجاهل",IF(OR(B223="",D223="",F223="",G223="",H223=""),"ناقص",IF(NOT(ISNUMBER(I223)),"خطأ وحدة",IF(OR(J223&lt;0,J223&gt;100),"خطأ هدر","صالح")))))</x:f>
      </x:c>
    </x:row>
    <x:row r="224">
      <x:c r="A224" s="79"/>
      <x:c r="B224" s="80"/>
      <x:c r="C224" s="87" t="str">
        <x:f>IFERROR(VLOOKUP(B224,'مراجع الوصفات'!$A$2:$D$79,2,FALSE),"")</x:f>
      </x:c>
      <x:c r="D224" s="80"/>
      <x:c r="E224" s="87" t="str">
        <x:f>IFERROR(VLOOKUP(D224,'مراجع الوصفات'!$F$2:$I$253,2,FALSE),"")</x:f>
      </x:c>
      <x:c r="F224" s="83"/>
      <x:c r="G224" s="80"/>
      <x:c r="H224" s="87" t="str">
        <x:f>IFERROR(VLOOKUP(D224,'مراجع الوصفات'!$F$2:$I$253,3,FALSE),"")</x:f>
      </x:c>
      <x:c r="I224" s="89" t="str">
        <x:f>IF(OR(F224="",G224="",H224=""),"",IF(G224=H224,F224,IF(AND(G224="غ",H224="كغ"),F224/1000,IF(AND(G224="كغ",H224="غ"),F224*1000,IF(AND(G224="مل",H224="لتر"),F224/1000,IF(AND(G224="لتر",H224="مل"),F224*1000,"خطأ وحدة"))))))</x:f>
      </x:c>
      <x:c r="J224" s="85"/>
      <x:c r="K224" s="80"/>
      <x:c r="L224" s="91" t="str">
        <x:f>IFERROR(VLOOKUP(D224,'مراجع الوصفات'!$F$2:$I$253,4,FALSE),"")</x:f>
      </x:c>
      <x:c r="M224" s="91" t="str">
        <x:f>IF(OR(I224="",NOT(ISNUMBER(I224)),L224=""),"",I224*L224*(1+J224/100))</x:f>
      </x:c>
      <x:c r="N224" s="80"/>
      <x:c r="O224" s="93" t="str">
        <x:f>IF(AND(B224="",D224="",F224=""),"",IF(A224="تجاهل","تجاهل",IF(OR(B224="",D224="",F224="",G224="",H224=""),"ناقص",IF(NOT(ISNUMBER(I224)),"خطأ وحدة",IF(OR(J224&lt;0,J224&gt;100),"خطأ هدر","صالح")))))</x:f>
      </x:c>
    </x:row>
    <x:row r="225">
      <x:c r="A225" s="79"/>
      <x:c r="B225" s="80"/>
      <x:c r="C225" s="87" t="str">
        <x:f>IFERROR(VLOOKUP(B225,'مراجع الوصفات'!$A$2:$D$79,2,FALSE),"")</x:f>
      </x:c>
      <x:c r="D225" s="80"/>
      <x:c r="E225" s="87" t="str">
        <x:f>IFERROR(VLOOKUP(D225,'مراجع الوصفات'!$F$2:$I$253,2,FALSE),"")</x:f>
      </x:c>
      <x:c r="F225" s="83"/>
      <x:c r="G225" s="80"/>
      <x:c r="H225" s="87" t="str">
        <x:f>IFERROR(VLOOKUP(D225,'مراجع الوصفات'!$F$2:$I$253,3,FALSE),"")</x:f>
      </x:c>
      <x:c r="I225" s="89" t="str">
        <x:f>IF(OR(F225="",G225="",H225=""),"",IF(G225=H225,F225,IF(AND(G225="غ",H225="كغ"),F225/1000,IF(AND(G225="كغ",H225="غ"),F225*1000,IF(AND(G225="مل",H225="لتر"),F225/1000,IF(AND(G225="لتر",H225="مل"),F225*1000,"خطأ وحدة"))))))</x:f>
      </x:c>
      <x:c r="J225" s="85"/>
      <x:c r="K225" s="80"/>
      <x:c r="L225" s="91" t="str">
        <x:f>IFERROR(VLOOKUP(D225,'مراجع الوصفات'!$F$2:$I$253,4,FALSE),"")</x:f>
      </x:c>
      <x:c r="M225" s="91" t="str">
        <x:f>IF(OR(I225="",NOT(ISNUMBER(I225)),L225=""),"",I225*L225*(1+J225/100))</x:f>
      </x:c>
      <x:c r="N225" s="80"/>
      <x:c r="O225" s="93" t="str">
        <x:f>IF(AND(B225="",D225="",F225=""),"",IF(A225="تجاهل","تجاهل",IF(OR(B225="",D225="",F225="",G225="",H225=""),"ناقص",IF(NOT(ISNUMBER(I225)),"خطأ وحدة",IF(OR(J225&lt;0,J225&gt;100),"خطأ هدر","صالح")))))</x:f>
      </x:c>
    </x:row>
    <x:row r="226">
      <x:c r="A226" s="79"/>
      <x:c r="B226" s="80"/>
      <x:c r="C226" s="87" t="str">
        <x:f>IFERROR(VLOOKUP(B226,'مراجع الوصفات'!$A$2:$D$79,2,FALSE),"")</x:f>
      </x:c>
      <x:c r="D226" s="80"/>
      <x:c r="E226" s="87" t="str">
        <x:f>IFERROR(VLOOKUP(D226,'مراجع الوصفات'!$F$2:$I$253,2,FALSE),"")</x:f>
      </x:c>
      <x:c r="F226" s="83"/>
      <x:c r="G226" s="80"/>
      <x:c r="H226" s="87" t="str">
        <x:f>IFERROR(VLOOKUP(D226,'مراجع الوصفات'!$F$2:$I$253,3,FALSE),"")</x:f>
      </x:c>
      <x:c r="I226" s="89" t="str">
        <x:f>IF(OR(F226="",G226="",H226=""),"",IF(G226=H226,F226,IF(AND(G226="غ",H226="كغ"),F226/1000,IF(AND(G226="كغ",H226="غ"),F226*1000,IF(AND(G226="مل",H226="لتر"),F226/1000,IF(AND(G226="لتر",H226="مل"),F226*1000,"خطأ وحدة"))))))</x:f>
      </x:c>
      <x:c r="J226" s="85"/>
      <x:c r="K226" s="80"/>
      <x:c r="L226" s="91" t="str">
        <x:f>IFERROR(VLOOKUP(D226,'مراجع الوصفات'!$F$2:$I$253,4,FALSE),"")</x:f>
      </x:c>
      <x:c r="M226" s="91" t="str">
        <x:f>IF(OR(I226="",NOT(ISNUMBER(I226)),L226=""),"",I226*L226*(1+J226/100))</x:f>
      </x:c>
      <x:c r="N226" s="80"/>
      <x:c r="O226" s="93" t="str">
        <x:f>IF(AND(B226="",D226="",F226=""),"",IF(A226="تجاهل","تجاهل",IF(OR(B226="",D226="",F226="",G226="",H226=""),"ناقص",IF(NOT(ISNUMBER(I226)),"خطأ وحدة",IF(OR(J226&lt;0,J226&gt;100),"خطأ هدر","صالح")))))</x:f>
      </x:c>
    </x:row>
    <x:row r="227">
      <x:c r="A227" s="79"/>
      <x:c r="B227" s="80"/>
      <x:c r="C227" s="87" t="str">
        <x:f>IFERROR(VLOOKUP(B227,'مراجع الوصفات'!$A$2:$D$79,2,FALSE),"")</x:f>
      </x:c>
      <x:c r="D227" s="80"/>
      <x:c r="E227" s="87" t="str">
        <x:f>IFERROR(VLOOKUP(D227,'مراجع الوصفات'!$F$2:$I$253,2,FALSE),"")</x:f>
      </x:c>
      <x:c r="F227" s="83"/>
      <x:c r="G227" s="80"/>
      <x:c r="H227" s="87" t="str">
        <x:f>IFERROR(VLOOKUP(D227,'مراجع الوصفات'!$F$2:$I$253,3,FALSE),"")</x:f>
      </x:c>
      <x:c r="I227" s="89" t="str">
        <x:f>IF(OR(F227="",G227="",H227=""),"",IF(G227=H227,F227,IF(AND(G227="غ",H227="كغ"),F227/1000,IF(AND(G227="كغ",H227="غ"),F227*1000,IF(AND(G227="مل",H227="لتر"),F227/1000,IF(AND(G227="لتر",H227="مل"),F227*1000,"خطأ وحدة"))))))</x:f>
      </x:c>
      <x:c r="J227" s="85"/>
      <x:c r="K227" s="80"/>
      <x:c r="L227" s="91" t="str">
        <x:f>IFERROR(VLOOKUP(D227,'مراجع الوصفات'!$F$2:$I$253,4,FALSE),"")</x:f>
      </x:c>
      <x:c r="M227" s="91" t="str">
        <x:f>IF(OR(I227="",NOT(ISNUMBER(I227)),L227=""),"",I227*L227*(1+J227/100))</x:f>
      </x:c>
      <x:c r="N227" s="80"/>
      <x:c r="O227" s="93" t="str">
        <x:f>IF(AND(B227="",D227="",F227=""),"",IF(A227="تجاهل","تجاهل",IF(OR(B227="",D227="",F227="",G227="",H227=""),"ناقص",IF(NOT(ISNUMBER(I227)),"خطأ وحدة",IF(OR(J227&lt;0,J227&gt;100),"خطأ هدر","صالح")))))</x:f>
      </x:c>
    </x:row>
    <x:row r="228">
      <x:c r="A228" s="79"/>
      <x:c r="B228" s="80"/>
      <x:c r="C228" s="87" t="str">
        <x:f>IFERROR(VLOOKUP(B228,'مراجع الوصفات'!$A$2:$D$79,2,FALSE),"")</x:f>
      </x:c>
      <x:c r="D228" s="80"/>
      <x:c r="E228" s="87" t="str">
        <x:f>IFERROR(VLOOKUP(D228,'مراجع الوصفات'!$F$2:$I$253,2,FALSE),"")</x:f>
      </x:c>
      <x:c r="F228" s="83"/>
      <x:c r="G228" s="80"/>
      <x:c r="H228" s="87" t="str">
        <x:f>IFERROR(VLOOKUP(D228,'مراجع الوصفات'!$F$2:$I$253,3,FALSE),"")</x:f>
      </x:c>
      <x:c r="I228" s="89" t="str">
        <x:f>IF(OR(F228="",G228="",H228=""),"",IF(G228=H228,F228,IF(AND(G228="غ",H228="كغ"),F228/1000,IF(AND(G228="كغ",H228="غ"),F228*1000,IF(AND(G228="مل",H228="لتر"),F228/1000,IF(AND(G228="لتر",H228="مل"),F228*1000,"خطأ وحدة"))))))</x:f>
      </x:c>
      <x:c r="J228" s="85"/>
      <x:c r="K228" s="80"/>
      <x:c r="L228" s="91" t="str">
        <x:f>IFERROR(VLOOKUP(D228,'مراجع الوصفات'!$F$2:$I$253,4,FALSE),"")</x:f>
      </x:c>
      <x:c r="M228" s="91" t="str">
        <x:f>IF(OR(I228="",NOT(ISNUMBER(I228)),L228=""),"",I228*L228*(1+J228/100))</x:f>
      </x:c>
      <x:c r="N228" s="80"/>
      <x:c r="O228" s="93" t="str">
        <x:f>IF(AND(B228="",D228="",F228=""),"",IF(A228="تجاهل","تجاهل",IF(OR(B228="",D228="",F228="",G228="",H228=""),"ناقص",IF(NOT(ISNUMBER(I228)),"خطأ وحدة",IF(OR(J228&lt;0,J228&gt;100),"خطأ هدر","صالح")))))</x:f>
      </x:c>
    </x:row>
    <x:row r="229">
      <x:c r="A229" s="79"/>
      <x:c r="B229" s="80"/>
      <x:c r="C229" s="87" t="str">
        <x:f>IFERROR(VLOOKUP(B229,'مراجع الوصفات'!$A$2:$D$79,2,FALSE),"")</x:f>
      </x:c>
      <x:c r="D229" s="80"/>
      <x:c r="E229" s="87" t="str">
        <x:f>IFERROR(VLOOKUP(D229,'مراجع الوصفات'!$F$2:$I$253,2,FALSE),"")</x:f>
      </x:c>
      <x:c r="F229" s="83"/>
      <x:c r="G229" s="80"/>
      <x:c r="H229" s="87" t="str">
        <x:f>IFERROR(VLOOKUP(D229,'مراجع الوصفات'!$F$2:$I$253,3,FALSE),"")</x:f>
      </x:c>
      <x:c r="I229" s="89" t="str">
        <x:f>IF(OR(F229="",G229="",H229=""),"",IF(G229=H229,F229,IF(AND(G229="غ",H229="كغ"),F229/1000,IF(AND(G229="كغ",H229="غ"),F229*1000,IF(AND(G229="مل",H229="لتر"),F229/1000,IF(AND(G229="لتر",H229="مل"),F229*1000,"خطأ وحدة"))))))</x:f>
      </x:c>
      <x:c r="J229" s="85"/>
      <x:c r="K229" s="80"/>
      <x:c r="L229" s="91" t="str">
        <x:f>IFERROR(VLOOKUP(D229,'مراجع الوصفات'!$F$2:$I$253,4,FALSE),"")</x:f>
      </x:c>
      <x:c r="M229" s="91" t="str">
        <x:f>IF(OR(I229="",NOT(ISNUMBER(I229)),L229=""),"",I229*L229*(1+J229/100))</x:f>
      </x:c>
      <x:c r="N229" s="80"/>
      <x:c r="O229" s="93" t="str">
        <x:f>IF(AND(B229="",D229="",F229=""),"",IF(A229="تجاهل","تجاهل",IF(OR(B229="",D229="",F229="",G229="",H229=""),"ناقص",IF(NOT(ISNUMBER(I229)),"خطأ وحدة",IF(OR(J229&lt;0,J229&gt;100),"خطأ هدر","صالح")))))</x:f>
      </x:c>
    </x:row>
    <x:row r="230">
      <x:c r="A230" s="79"/>
      <x:c r="B230" s="80"/>
      <x:c r="C230" s="87" t="str">
        <x:f>IFERROR(VLOOKUP(B230,'مراجع الوصفات'!$A$2:$D$79,2,FALSE),"")</x:f>
      </x:c>
      <x:c r="D230" s="80"/>
      <x:c r="E230" s="87" t="str">
        <x:f>IFERROR(VLOOKUP(D230,'مراجع الوصفات'!$F$2:$I$253,2,FALSE),"")</x:f>
      </x:c>
      <x:c r="F230" s="83"/>
      <x:c r="G230" s="80"/>
      <x:c r="H230" s="87" t="str">
        <x:f>IFERROR(VLOOKUP(D230,'مراجع الوصفات'!$F$2:$I$253,3,FALSE),"")</x:f>
      </x:c>
      <x:c r="I230" s="89" t="str">
        <x:f>IF(OR(F230="",G230="",H230=""),"",IF(G230=H230,F230,IF(AND(G230="غ",H230="كغ"),F230/1000,IF(AND(G230="كغ",H230="غ"),F230*1000,IF(AND(G230="مل",H230="لتر"),F230/1000,IF(AND(G230="لتر",H230="مل"),F230*1000,"خطأ وحدة"))))))</x:f>
      </x:c>
      <x:c r="J230" s="85"/>
      <x:c r="K230" s="80"/>
      <x:c r="L230" s="91" t="str">
        <x:f>IFERROR(VLOOKUP(D230,'مراجع الوصفات'!$F$2:$I$253,4,FALSE),"")</x:f>
      </x:c>
      <x:c r="M230" s="91" t="str">
        <x:f>IF(OR(I230="",NOT(ISNUMBER(I230)),L230=""),"",I230*L230*(1+J230/100))</x:f>
      </x:c>
      <x:c r="N230" s="80"/>
      <x:c r="O230" s="93" t="str">
        <x:f>IF(AND(B230="",D230="",F230=""),"",IF(A230="تجاهل","تجاهل",IF(OR(B230="",D230="",F230="",G230="",H230=""),"ناقص",IF(NOT(ISNUMBER(I230)),"خطأ وحدة",IF(OR(J230&lt;0,J230&gt;100),"خطأ هدر","صالح")))))</x:f>
      </x:c>
    </x:row>
    <x:row r="231">
      <x:c r="A231" s="79"/>
      <x:c r="B231" s="80"/>
      <x:c r="C231" s="87" t="str">
        <x:f>IFERROR(VLOOKUP(B231,'مراجع الوصفات'!$A$2:$D$79,2,FALSE),"")</x:f>
      </x:c>
      <x:c r="D231" s="80"/>
      <x:c r="E231" s="87" t="str">
        <x:f>IFERROR(VLOOKUP(D231,'مراجع الوصفات'!$F$2:$I$253,2,FALSE),"")</x:f>
      </x:c>
      <x:c r="F231" s="83"/>
      <x:c r="G231" s="80"/>
      <x:c r="H231" s="87" t="str">
        <x:f>IFERROR(VLOOKUP(D231,'مراجع الوصفات'!$F$2:$I$253,3,FALSE),"")</x:f>
      </x:c>
      <x:c r="I231" s="89" t="str">
        <x:f>IF(OR(F231="",G231="",H231=""),"",IF(G231=H231,F231,IF(AND(G231="غ",H231="كغ"),F231/1000,IF(AND(G231="كغ",H231="غ"),F231*1000,IF(AND(G231="مل",H231="لتر"),F231/1000,IF(AND(G231="لتر",H231="مل"),F231*1000,"خطأ وحدة"))))))</x:f>
      </x:c>
      <x:c r="J231" s="85"/>
      <x:c r="K231" s="80"/>
      <x:c r="L231" s="91" t="str">
        <x:f>IFERROR(VLOOKUP(D231,'مراجع الوصفات'!$F$2:$I$253,4,FALSE),"")</x:f>
      </x:c>
      <x:c r="M231" s="91" t="str">
        <x:f>IF(OR(I231="",NOT(ISNUMBER(I231)),L231=""),"",I231*L231*(1+J231/100))</x:f>
      </x:c>
      <x:c r="N231" s="80"/>
      <x:c r="O231" s="93" t="str">
        <x:f>IF(AND(B231="",D231="",F231=""),"",IF(A231="تجاهل","تجاهل",IF(OR(B231="",D231="",F231="",G231="",H231=""),"ناقص",IF(NOT(ISNUMBER(I231)),"خطأ وحدة",IF(OR(J231&lt;0,J231&gt;100),"خطأ هدر","صالح")))))</x:f>
      </x:c>
    </x:row>
    <x:row r="232">
      <x:c r="A232" s="79"/>
      <x:c r="B232" s="80"/>
      <x:c r="C232" s="87" t="str">
        <x:f>IFERROR(VLOOKUP(B232,'مراجع الوصفات'!$A$2:$D$79,2,FALSE),"")</x:f>
      </x:c>
      <x:c r="D232" s="80"/>
      <x:c r="E232" s="87" t="str">
        <x:f>IFERROR(VLOOKUP(D232,'مراجع الوصفات'!$F$2:$I$253,2,FALSE),"")</x:f>
      </x:c>
      <x:c r="F232" s="83"/>
      <x:c r="G232" s="80"/>
      <x:c r="H232" s="87" t="str">
        <x:f>IFERROR(VLOOKUP(D232,'مراجع الوصفات'!$F$2:$I$253,3,FALSE),"")</x:f>
      </x:c>
      <x:c r="I232" s="89" t="str">
        <x:f>IF(OR(F232="",G232="",H232=""),"",IF(G232=H232,F232,IF(AND(G232="غ",H232="كغ"),F232/1000,IF(AND(G232="كغ",H232="غ"),F232*1000,IF(AND(G232="مل",H232="لتر"),F232/1000,IF(AND(G232="لتر",H232="مل"),F232*1000,"خطأ وحدة"))))))</x:f>
      </x:c>
      <x:c r="J232" s="85"/>
      <x:c r="K232" s="80"/>
      <x:c r="L232" s="91" t="str">
        <x:f>IFERROR(VLOOKUP(D232,'مراجع الوصفات'!$F$2:$I$253,4,FALSE),"")</x:f>
      </x:c>
      <x:c r="M232" s="91" t="str">
        <x:f>IF(OR(I232="",NOT(ISNUMBER(I232)),L232=""),"",I232*L232*(1+J232/100))</x:f>
      </x:c>
      <x:c r="N232" s="80"/>
      <x:c r="O232" s="93" t="str">
        <x:f>IF(AND(B232="",D232="",F232=""),"",IF(A232="تجاهل","تجاهل",IF(OR(B232="",D232="",F232="",G232="",H232=""),"ناقص",IF(NOT(ISNUMBER(I232)),"خطأ وحدة",IF(OR(J232&lt;0,J232&gt;100),"خطأ هدر","صالح")))))</x:f>
      </x:c>
    </x:row>
    <x:row r="233">
      <x:c r="A233" s="79"/>
      <x:c r="B233" s="80"/>
      <x:c r="C233" s="87" t="str">
        <x:f>IFERROR(VLOOKUP(B233,'مراجع الوصفات'!$A$2:$D$79,2,FALSE),"")</x:f>
      </x:c>
      <x:c r="D233" s="80"/>
      <x:c r="E233" s="87" t="str">
        <x:f>IFERROR(VLOOKUP(D233,'مراجع الوصفات'!$F$2:$I$253,2,FALSE),"")</x:f>
      </x:c>
      <x:c r="F233" s="83"/>
      <x:c r="G233" s="80"/>
      <x:c r="H233" s="87" t="str">
        <x:f>IFERROR(VLOOKUP(D233,'مراجع الوصفات'!$F$2:$I$253,3,FALSE),"")</x:f>
      </x:c>
      <x:c r="I233" s="89" t="str">
        <x:f>IF(OR(F233="",G233="",H233=""),"",IF(G233=H233,F233,IF(AND(G233="غ",H233="كغ"),F233/1000,IF(AND(G233="كغ",H233="غ"),F233*1000,IF(AND(G233="مل",H233="لتر"),F233/1000,IF(AND(G233="لتر",H233="مل"),F233*1000,"خطأ وحدة"))))))</x:f>
      </x:c>
      <x:c r="J233" s="85"/>
      <x:c r="K233" s="80"/>
      <x:c r="L233" s="91" t="str">
        <x:f>IFERROR(VLOOKUP(D233,'مراجع الوصفات'!$F$2:$I$253,4,FALSE),"")</x:f>
      </x:c>
      <x:c r="M233" s="91" t="str">
        <x:f>IF(OR(I233="",NOT(ISNUMBER(I233)),L233=""),"",I233*L233*(1+J233/100))</x:f>
      </x:c>
      <x:c r="N233" s="80"/>
      <x:c r="O233" s="93" t="str">
        <x:f>IF(AND(B233="",D233="",F233=""),"",IF(A233="تجاهل","تجاهل",IF(OR(B233="",D233="",F233="",G233="",H233=""),"ناقص",IF(NOT(ISNUMBER(I233)),"خطأ وحدة",IF(OR(J233&lt;0,J233&gt;100),"خطأ هدر","صالح")))))</x:f>
      </x:c>
    </x:row>
    <x:row r="234">
      <x:c r="A234" s="79"/>
      <x:c r="B234" s="80"/>
      <x:c r="C234" s="87" t="str">
        <x:f>IFERROR(VLOOKUP(B234,'مراجع الوصفات'!$A$2:$D$79,2,FALSE),"")</x:f>
      </x:c>
      <x:c r="D234" s="80"/>
      <x:c r="E234" s="87" t="str">
        <x:f>IFERROR(VLOOKUP(D234,'مراجع الوصفات'!$F$2:$I$253,2,FALSE),"")</x:f>
      </x:c>
      <x:c r="F234" s="83"/>
      <x:c r="G234" s="80"/>
      <x:c r="H234" s="87" t="str">
        <x:f>IFERROR(VLOOKUP(D234,'مراجع الوصفات'!$F$2:$I$253,3,FALSE),"")</x:f>
      </x:c>
      <x:c r="I234" s="89" t="str">
        <x:f>IF(OR(F234="",G234="",H234=""),"",IF(G234=H234,F234,IF(AND(G234="غ",H234="كغ"),F234/1000,IF(AND(G234="كغ",H234="غ"),F234*1000,IF(AND(G234="مل",H234="لتر"),F234/1000,IF(AND(G234="لتر",H234="مل"),F234*1000,"خطأ وحدة"))))))</x:f>
      </x:c>
      <x:c r="J234" s="85"/>
      <x:c r="K234" s="80"/>
      <x:c r="L234" s="91" t="str">
        <x:f>IFERROR(VLOOKUP(D234,'مراجع الوصفات'!$F$2:$I$253,4,FALSE),"")</x:f>
      </x:c>
      <x:c r="M234" s="91" t="str">
        <x:f>IF(OR(I234="",NOT(ISNUMBER(I234)),L234=""),"",I234*L234*(1+J234/100))</x:f>
      </x:c>
      <x:c r="N234" s="80"/>
      <x:c r="O234" s="93" t="str">
        <x:f>IF(AND(B234="",D234="",F234=""),"",IF(A234="تجاهل","تجاهل",IF(OR(B234="",D234="",F234="",G234="",H234=""),"ناقص",IF(NOT(ISNUMBER(I234)),"خطأ وحدة",IF(OR(J234&lt;0,J234&gt;100),"خطأ هدر","صالح")))))</x:f>
      </x:c>
    </x:row>
    <x:row r="235">
      <x:c r="A235" s="79"/>
      <x:c r="B235" s="80"/>
      <x:c r="C235" s="87" t="str">
        <x:f>IFERROR(VLOOKUP(B235,'مراجع الوصفات'!$A$2:$D$79,2,FALSE),"")</x:f>
      </x:c>
      <x:c r="D235" s="80"/>
      <x:c r="E235" s="87" t="str">
        <x:f>IFERROR(VLOOKUP(D235,'مراجع الوصفات'!$F$2:$I$253,2,FALSE),"")</x:f>
      </x:c>
      <x:c r="F235" s="83"/>
      <x:c r="G235" s="80"/>
      <x:c r="H235" s="87" t="str">
        <x:f>IFERROR(VLOOKUP(D235,'مراجع الوصفات'!$F$2:$I$253,3,FALSE),"")</x:f>
      </x:c>
      <x:c r="I235" s="89" t="str">
        <x:f>IF(OR(F235="",G235="",H235=""),"",IF(G235=H235,F235,IF(AND(G235="غ",H235="كغ"),F235/1000,IF(AND(G235="كغ",H235="غ"),F235*1000,IF(AND(G235="مل",H235="لتر"),F235/1000,IF(AND(G235="لتر",H235="مل"),F235*1000,"خطأ وحدة"))))))</x:f>
      </x:c>
      <x:c r="J235" s="85"/>
      <x:c r="K235" s="80"/>
      <x:c r="L235" s="91" t="str">
        <x:f>IFERROR(VLOOKUP(D235,'مراجع الوصفات'!$F$2:$I$253,4,FALSE),"")</x:f>
      </x:c>
      <x:c r="M235" s="91" t="str">
        <x:f>IF(OR(I235="",NOT(ISNUMBER(I235)),L235=""),"",I235*L235*(1+J235/100))</x:f>
      </x:c>
      <x:c r="N235" s="80"/>
      <x:c r="O235" s="93" t="str">
        <x:f>IF(AND(B235="",D235="",F235=""),"",IF(A235="تجاهل","تجاهل",IF(OR(B235="",D235="",F235="",G235="",H235=""),"ناقص",IF(NOT(ISNUMBER(I235)),"خطأ وحدة",IF(OR(J235&lt;0,J235&gt;100),"خطأ هدر","صالح")))))</x:f>
      </x:c>
    </x:row>
    <x:row r="236">
      <x:c r="A236" s="79"/>
      <x:c r="B236" s="80"/>
      <x:c r="C236" s="87" t="str">
        <x:f>IFERROR(VLOOKUP(B236,'مراجع الوصفات'!$A$2:$D$79,2,FALSE),"")</x:f>
      </x:c>
      <x:c r="D236" s="80"/>
      <x:c r="E236" s="87" t="str">
        <x:f>IFERROR(VLOOKUP(D236,'مراجع الوصفات'!$F$2:$I$253,2,FALSE),"")</x:f>
      </x:c>
      <x:c r="F236" s="83"/>
      <x:c r="G236" s="80"/>
      <x:c r="H236" s="87" t="str">
        <x:f>IFERROR(VLOOKUP(D236,'مراجع الوصفات'!$F$2:$I$253,3,FALSE),"")</x:f>
      </x:c>
      <x:c r="I236" s="89" t="str">
        <x:f>IF(OR(F236="",G236="",H236=""),"",IF(G236=H236,F236,IF(AND(G236="غ",H236="كغ"),F236/1000,IF(AND(G236="كغ",H236="غ"),F236*1000,IF(AND(G236="مل",H236="لتر"),F236/1000,IF(AND(G236="لتر",H236="مل"),F236*1000,"خطأ وحدة"))))))</x:f>
      </x:c>
      <x:c r="J236" s="85"/>
      <x:c r="K236" s="80"/>
      <x:c r="L236" s="91" t="str">
        <x:f>IFERROR(VLOOKUP(D236,'مراجع الوصفات'!$F$2:$I$253,4,FALSE),"")</x:f>
      </x:c>
      <x:c r="M236" s="91" t="str">
        <x:f>IF(OR(I236="",NOT(ISNUMBER(I236)),L236=""),"",I236*L236*(1+J236/100))</x:f>
      </x:c>
      <x:c r="N236" s="80"/>
      <x:c r="O236" s="93" t="str">
        <x:f>IF(AND(B236="",D236="",F236=""),"",IF(A236="تجاهل","تجاهل",IF(OR(B236="",D236="",F236="",G236="",H236=""),"ناقص",IF(NOT(ISNUMBER(I236)),"خطأ وحدة",IF(OR(J236&lt;0,J236&gt;100),"خطأ هدر","صالح")))))</x:f>
      </x:c>
    </x:row>
    <x:row r="237">
      <x:c r="A237" s="79"/>
      <x:c r="B237" s="80"/>
      <x:c r="C237" s="87" t="str">
        <x:f>IFERROR(VLOOKUP(B237,'مراجع الوصفات'!$A$2:$D$79,2,FALSE),"")</x:f>
      </x:c>
      <x:c r="D237" s="80"/>
      <x:c r="E237" s="87" t="str">
        <x:f>IFERROR(VLOOKUP(D237,'مراجع الوصفات'!$F$2:$I$253,2,FALSE),"")</x:f>
      </x:c>
      <x:c r="F237" s="83"/>
      <x:c r="G237" s="80"/>
      <x:c r="H237" s="87" t="str">
        <x:f>IFERROR(VLOOKUP(D237,'مراجع الوصفات'!$F$2:$I$253,3,FALSE),"")</x:f>
      </x:c>
      <x:c r="I237" s="89" t="str">
        <x:f>IF(OR(F237="",G237="",H237=""),"",IF(G237=H237,F237,IF(AND(G237="غ",H237="كغ"),F237/1000,IF(AND(G237="كغ",H237="غ"),F237*1000,IF(AND(G237="مل",H237="لتر"),F237/1000,IF(AND(G237="لتر",H237="مل"),F237*1000,"خطأ وحدة"))))))</x:f>
      </x:c>
      <x:c r="J237" s="85"/>
      <x:c r="K237" s="80"/>
      <x:c r="L237" s="91" t="str">
        <x:f>IFERROR(VLOOKUP(D237,'مراجع الوصفات'!$F$2:$I$253,4,FALSE),"")</x:f>
      </x:c>
      <x:c r="M237" s="91" t="str">
        <x:f>IF(OR(I237="",NOT(ISNUMBER(I237)),L237=""),"",I237*L237*(1+J237/100))</x:f>
      </x:c>
      <x:c r="N237" s="80"/>
      <x:c r="O237" s="93" t="str">
        <x:f>IF(AND(B237="",D237="",F237=""),"",IF(A237="تجاهل","تجاهل",IF(OR(B237="",D237="",F237="",G237="",H237=""),"ناقص",IF(NOT(ISNUMBER(I237)),"خطأ وحدة",IF(OR(J237&lt;0,J237&gt;100),"خطأ هدر","صالح")))))</x:f>
      </x:c>
    </x:row>
    <x:row r="238">
      <x:c r="A238" s="79"/>
      <x:c r="B238" s="80"/>
      <x:c r="C238" s="87" t="str">
        <x:f>IFERROR(VLOOKUP(B238,'مراجع الوصفات'!$A$2:$D$79,2,FALSE),"")</x:f>
      </x:c>
      <x:c r="D238" s="80"/>
      <x:c r="E238" s="87" t="str">
        <x:f>IFERROR(VLOOKUP(D238,'مراجع الوصفات'!$F$2:$I$253,2,FALSE),"")</x:f>
      </x:c>
      <x:c r="F238" s="83"/>
      <x:c r="G238" s="80"/>
      <x:c r="H238" s="87" t="str">
        <x:f>IFERROR(VLOOKUP(D238,'مراجع الوصفات'!$F$2:$I$253,3,FALSE),"")</x:f>
      </x:c>
      <x:c r="I238" s="89" t="str">
        <x:f>IF(OR(F238="",G238="",H238=""),"",IF(G238=H238,F238,IF(AND(G238="غ",H238="كغ"),F238/1000,IF(AND(G238="كغ",H238="غ"),F238*1000,IF(AND(G238="مل",H238="لتر"),F238/1000,IF(AND(G238="لتر",H238="مل"),F238*1000,"خطأ وحدة"))))))</x:f>
      </x:c>
      <x:c r="J238" s="85"/>
      <x:c r="K238" s="80"/>
      <x:c r="L238" s="91" t="str">
        <x:f>IFERROR(VLOOKUP(D238,'مراجع الوصفات'!$F$2:$I$253,4,FALSE),"")</x:f>
      </x:c>
      <x:c r="M238" s="91" t="str">
        <x:f>IF(OR(I238="",NOT(ISNUMBER(I238)),L238=""),"",I238*L238*(1+J238/100))</x:f>
      </x:c>
      <x:c r="N238" s="80"/>
      <x:c r="O238" s="93" t="str">
        <x:f>IF(AND(B238="",D238="",F238=""),"",IF(A238="تجاهل","تجاهل",IF(OR(B238="",D238="",F238="",G238="",H238=""),"ناقص",IF(NOT(ISNUMBER(I238)),"خطأ وحدة",IF(OR(J238&lt;0,J238&gt;100),"خطأ هدر","صالح")))))</x:f>
      </x:c>
    </x:row>
    <x:row r="239">
      <x:c r="A239" s="79"/>
      <x:c r="B239" s="80"/>
      <x:c r="C239" s="87" t="str">
        <x:f>IFERROR(VLOOKUP(B239,'مراجع الوصفات'!$A$2:$D$79,2,FALSE),"")</x:f>
      </x:c>
      <x:c r="D239" s="80"/>
      <x:c r="E239" s="87" t="str">
        <x:f>IFERROR(VLOOKUP(D239,'مراجع الوصفات'!$F$2:$I$253,2,FALSE),"")</x:f>
      </x:c>
      <x:c r="F239" s="83"/>
      <x:c r="G239" s="80"/>
      <x:c r="H239" s="87" t="str">
        <x:f>IFERROR(VLOOKUP(D239,'مراجع الوصفات'!$F$2:$I$253,3,FALSE),"")</x:f>
      </x:c>
      <x:c r="I239" s="89" t="str">
        <x:f>IF(OR(F239="",G239="",H239=""),"",IF(G239=H239,F239,IF(AND(G239="غ",H239="كغ"),F239/1000,IF(AND(G239="كغ",H239="غ"),F239*1000,IF(AND(G239="مل",H239="لتر"),F239/1000,IF(AND(G239="لتر",H239="مل"),F239*1000,"خطأ وحدة"))))))</x:f>
      </x:c>
      <x:c r="J239" s="85"/>
      <x:c r="K239" s="80"/>
      <x:c r="L239" s="91" t="str">
        <x:f>IFERROR(VLOOKUP(D239,'مراجع الوصفات'!$F$2:$I$253,4,FALSE),"")</x:f>
      </x:c>
      <x:c r="M239" s="91" t="str">
        <x:f>IF(OR(I239="",NOT(ISNUMBER(I239)),L239=""),"",I239*L239*(1+J239/100))</x:f>
      </x:c>
      <x:c r="N239" s="80"/>
      <x:c r="O239" s="93" t="str">
        <x:f>IF(AND(B239="",D239="",F239=""),"",IF(A239="تجاهل","تجاهل",IF(OR(B239="",D239="",F239="",G239="",H239=""),"ناقص",IF(NOT(ISNUMBER(I239)),"خطأ وحدة",IF(OR(J239&lt;0,J239&gt;100),"خطأ هدر","صالح")))))</x:f>
      </x:c>
    </x:row>
    <x:row r="240">
      <x:c r="A240" s="79"/>
      <x:c r="B240" s="80"/>
      <x:c r="C240" s="87" t="str">
        <x:f>IFERROR(VLOOKUP(B240,'مراجع الوصفات'!$A$2:$D$79,2,FALSE),"")</x:f>
      </x:c>
      <x:c r="D240" s="80"/>
      <x:c r="E240" s="87" t="str">
        <x:f>IFERROR(VLOOKUP(D240,'مراجع الوصفات'!$F$2:$I$253,2,FALSE),"")</x:f>
      </x:c>
      <x:c r="F240" s="83"/>
      <x:c r="G240" s="80"/>
      <x:c r="H240" s="87" t="str">
        <x:f>IFERROR(VLOOKUP(D240,'مراجع الوصفات'!$F$2:$I$253,3,FALSE),"")</x:f>
      </x:c>
      <x:c r="I240" s="89" t="str">
        <x:f>IF(OR(F240="",G240="",H240=""),"",IF(G240=H240,F240,IF(AND(G240="غ",H240="كغ"),F240/1000,IF(AND(G240="كغ",H240="غ"),F240*1000,IF(AND(G240="مل",H240="لتر"),F240/1000,IF(AND(G240="لتر",H240="مل"),F240*1000,"خطأ وحدة"))))))</x:f>
      </x:c>
      <x:c r="J240" s="85"/>
      <x:c r="K240" s="80"/>
      <x:c r="L240" s="91" t="str">
        <x:f>IFERROR(VLOOKUP(D240,'مراجع الوصفات'!$F$2:$I$253,4,FALSE),"")</x:f>
      </x:c>
      <x:c r="M240" s="91" t="str">
        <x:f>IF(OR(I240="",NOT(ISNUMBER(I240)),L240=""),"",I240*L240*(1+J240/100))</x:f>
      </x:c>
      <x:c r="N240" s="80"/>
      <x:c r="O240" s="93" t="str">
        <x:f>IF(AND(B240="",D240="",F240=""),"",IF(A240="تجاهل","تجاهل",IF(OR(B240="",D240="",F240="",G240="",H240=""),"ناقص",IF(NOT(ISNUMBER(I240)),"خطأ وحدة",IF(OR(J240&lt;0,J240&gt;100),"خطأ هدر","صالح")))))</x:f>
      </x:c>
    </x:row>
    <x:row r="241">
      <x:c r="A241" s="79"/>
      <x:c r="B241" s="80"/>
      <x:c r="C241" s="87" t="str">
        <x:f>IFERROR(VLOOKUP(B241,'مراجع الوصفات'!$A$2:$D$79,2,FALSE),"")</x:f>
      </x:c>
      <x:c r="D241" s="80"/>
      <x:c r="E241" s="87" t="str">
        <x:f>IFERROR(VLOOKUP(D241,'مراجع الوصفات'!$F$2:$I$253,2,FALSE),"")</x:f>
      </x:c>
      <x:c r="F241" s="83"/>
      <x:c r="G241" s="80"/>
      <x:c r="H241" s="87" t="str">
        <x:f>IFERROR(VLOOKUP(D241,'مراجع الوصفات'!$F$2:$I$253,3,FALSE),"")</x:f>
      </x:c>
      <x:c r="I241" s="89" t="str">
        <x:f>IF(OR(F241="",G241="",H241=""),"",IF(G241=H241,F241,IF(AND(G241="غ",H241="كغ"),F241/1000,IF(AND(G241="كغ",H241="غ"),F241*1000,IF(AND(G241="مل",H241="لتر"),F241/1000,IF(AND(G241="لتر",H241="مل"),F241*1000,"خطأ وحدة"))))))</x:f>
      </x:c>
      <x:c r="J241" s="85"/>
      <x:c r="K241" s="80"/>
      <x:c r="L241" s="91" t="str">
        <x:f>IFERROR(VLOOKUP(D241,'مراجع الوصفات'!$F$2:$I$253,4,FALSE),"")</x:f>
      </x:c>
      <x:c r="M241" s="91" t="str">
        <x:f>IF(OR(I241="",NOT(ISNUMBER(I241)),L241=""),"",I241*L241*(1+J241/100))</x:f>
      </x:c>
      <x:c r="N241" s="80"/>
      <x:c r="O241" s="93" t="str">
        <x:f>IF(AND(B241="",D241="",F241=""),"",IF(A241="تجاهل","تجاهل",IF(OR(B241="",D241="",F241="",G241="",H241=""),"ناقص",IF(NOT(ISNUMBER(I241)),"خطأ وحدة",IF(OR(J241&lt;0,J241&gt;100),"خطأ هدر","صالح")))))</x:f>
      </x:c>
    </x:row>
    <x:row r="242">
      <x:c r="A242" s="79"/>
      <x:c r="B242" s="80"/>
      <x:c r="C242" s="87" t="str">
        <x:f>IFERROR(VLOOKUP(B242,'مراجع الوصفات'!$A$2:$D$79,2,FALSE),"")</x:f>
      </x:c>
      <x:c r="D242" s="80"/>
      <x:c r="E242" s="87" t="str">
        <x:f>IFERROR(VLOOKUP(D242,'مراجع الوصفات'!$F$2:$I$253,2,FALSE),"")</x:f>
      </x:c>
      <x:c r="F242" s="83"/>
      <x:c r="G242" s="80"/>
      <x:c r="H242" s="87" t="str">
        <x:f>IFERROR(VLOOKUP(D242,'مراجع الوصفات'!$F$2:$I$253,3,FALSE),"")</x:f>
      </x:c>
      <x:c r="I242" s="89" t="str">
        <x:f>IF(OR(F242="",G242="",H242=""),"",IF(G242=H242,F242,IF(AND(G242="غ",H242="كغ"),F242/1000,IF(AND(G242="كغ",H242="غ"),F242*1000,IF(AND(G242="مل",H242="لتر"),F242/1000,IF(AND(G242="لتر",H242="مل"),F242*1000,"خطأ وحدة"))))))</x:f>
      </x:c>
      <x:c r="J242" s="85"/>
      <x:c r="K242" s="80"/>
      <x:c r="L242" s="91" t="str">
        <x:f>IFERROR(VLOOKUP(D242,'مراجع الوصفات'!$F$2:$I$253,4,FALSE),"")</x:f>
      </x:c>
      <x:c r="M242" s="91" t="str">
        <x:f>IF(OR(I242="",NOT(ISNUMBER(I242)),L242=""),"",I242*L242*(1+J242/100))</x:f>
      </x:c>
      <x:c r="N242" s="80"/>
      <x:c r="O242" s="93" t="str">
        <x:f>IF(AND(B242="",D242="",F242=""),"",IF(A242="تجاهل","تجاهل",IF(OR(B242="",D242="",F242="",G242="",H242=""),"ناقص",IF(NOT(ISNUMBER(I242)),"خطأ وحدة",IF(OR(J242&lt;0,J242&gt;100),"خطأ هدر","صالح")))))</x:f>
      </x:c>
    </x:row>
    <x:row r="243">
      <x:c r="A243" s="79"/>
      <x:c r="B243" s="80"/>
      <x:c r="C243" s="87" t="str">
        <x:f>IFERROR(VLOOKUP(B243,'مراجع الوصفات'!$A$2:$D$79,2,FALSE),"")</x:f>
      </x:c>
      <x:c r="D243" s="80"/>
      <x:c r="E243" s="87" t="str">
        <x:f>IFERROR(VLOOKUP(D243,'مراجع الوصفات'!$F$2:$I$253,2,FALSE),"")</x:f>
      </x:c>
      <x:c r="F243" s="83"/>
      <x:c r="G243" s="80"/>
      <x:c r="H243" s="87" t="str">
        <x:f>IFERROR(VLOOKUP(D243,'مراجع الوصفات'!$F$2:$I$253,3,FALSE),"")</x:f>
      </x:c>
      <x:c r="I243" s="89" t="str">
        <x:f>IF(OR(F243="",G243="",H243=""),"",IF(G243=H243,F243,IF(AND(G243="غ",H243="كغ"),F243/1000,IF(AND(G243="كغ",H243="غ"),F243*1000,IF(AND(G243="مل",H243="لتر"),F243/1000,IF(AND(G243="لتر",H243="مل"),F243*1000,"خطأ وحدة"))))))</x:f>
      </x:c>
      <x:c r="J243" s="85"/>
      <x:c r="K243" s="80"/>
      <x:c r="L243" s="91" t="str">
        <x:f>IFERROR(VLOOKUP(D243,'مراجع الوصفات'!$F$2:$I$253,4,FALSE),"")</x:f>
      </x:c>
      <x:c r="M243" s="91" t="str">
        <x:f>IF(OR(I243="",NOT(ISNUMBER(I243)),L243=""),"",I243*L243*(1+J243/100))</x:f>
      </x:c>
      <x:c r="N243" s="80"/>
      <x:c r="O243" s="93" t="str">
        <x:f>IF(AND(B243="",D243="",F243=""),"",IF(A243="تجاهل","تجاهل",IF(OR(B243="",D243="",F243="",G243="",H243=""),"ناقص",IF(NOT(ISNUMBER(I243)),"خطأ وحدة",IF(OR(J243&lt;0,J243&gt;100),"خطأ هدر","صالح")))))</x:f>
      </x:c>
    </x:row>
    <x:row r="244">
      <x:c r="A244" s="79"/>
      <x:c r="B244" s="80"/>
      <x:c r="C244" s="87" t="str">
        <x:f>IFERROR(VLOOKUP(B244,'مراجع الوصفات'!$A$2:$D$79,2,FALSE),"")</x:f>
      </x:c>
      <x:c r="D244" s="80"/>
      <x:c r="E244" s="87" t="str">
        <x:f>IFERROR(VLOOKUP(D244,'مراجع الوصفات'!$F$2:$I$253,2,FALSE),"")</x:f>
      </x:c>
      <x:c r="F244" s="83"/>
      <x:c r="G244" s="80"/>
      <x:c r="H244" s="87" t="str">
        <x:f>IFERROR(VLOOKUP(D244,'مراجع الوصفات'!$F$2:$I$253,3,FALSE),"")</x:f>
      </x:c>
      <x:c r="I244" s="89" t="str">
        <x:f>IF(OR(F244="",G244="",H244=""),"",IF(G244=H244,F244,IF(AND(G244="غ",H244="كغ"),F244/1000,IF(AND(G244="كغ",H244="غ"),F244*1000,IF(AND(G244="مل",H244="لتر"),F244/1000,IF(AND(G244="لتر",H244="مل"),F244*1000,"خطأ وحدة"))))))</x:f>
      </x:c>
      <x:c r="J244" s="85"/>
      <x:c r="K244" s="80"/>
      <x:c r="L244" s="91" t="str">
        <x:f>IFERROR(VLOOKUP(D244,'مراجع الوصفات'!$F$2:$I$253,4,FALSE),"")</x:f>
      </x:c>
      <x:c r="M244" s="91" t="str">
        <x:f>IF(OR(I244="",NOT(ISNUMBER(I244)),L244=""),"",I244*L244*(1+J244/100))</x:f>
      </x:c>
      <x:c r="N244" s="80"/>
      <x:c r="O244" s="93" t="str">
        <x:f>IF(AND(B244="",D244="",F244=""),"",IF(A244="تجاهل","تجاهل",IF(OR(B244="",D244="",F244="",G244="",H244=""),"ناقص",IF(NOT(ISNUMBER(I244)),"خطأ وحدة",IF(OR(J244&lt;0,J244&gt;100),"خطأ هدر","صالح")))))</x:f>
      </x:c>
    </x:row>
    <x:row r="245">
      <x:c r="A245" s="79"/>
      <x:c r="B245" s="80"/>
      <x:c r="C245" s="87" t="str">
        <x:f>IFERROR(VLOOKUP(B245,'مراجع الوصفات'!$A$2:$D$79,2,FALSE),"")</x:f>
      </x:c>
      <x:c r="D245" s="80"/>
      <x:c r="E245" s="87" t="str">
        <x:f>IFERROR(VLOOKUP(D245,'مراجع الوصفات'!$F$2:$I$253,2,FALSE),"")</x:f>
      </x:c>
      <x:c r="F245" s="83"/>
      <x:c r="G245" s="80"/>
      <x:c r="H245" s="87" t="str">
        <x:f>IFERROR(VLOOKUP(D245,'مراجع الوصفات'!$F$2:$I$253,3,FALSE),"")</x:f>
      </x:c>
      <x:c r="I245" s="89" t="str">
        <x:f>IF(OR(F245="",G245="",H245=""),"",IF(G245=H245,F245,IF(AND(G245="غ",H245="كغ"),F245/1000,IF(AND(G245="كغ",H245="غ"),F245*1000,IF(AND(G245="مل",H245="لتر"),F245/1000,IF(AND(G245="لتر",H245="مل"),F245*1000,"خطأ وحدة"))))))</x:f>
      </x:c>
      <x:c r="J245" s="85"/>
      <x:c r="K245" s="80"/>
      <x:c r="L245" s="91" t="str">
        <x:f>IFERROR(VLOOKUP(D245,'مراجع الوصفات'!$F$2:$I$253,4,FALSE),"")</x:f>
      </x:c>
      <x:c r="M245" s="91" t="str">
        <x:f>IF(OR(I245="",NOT(ISNUMBER(I245)),L245=""),"",I245*L245*(1+J245/100))</x:f>
      </x:c>
      <x:c r="N245" s="80"/>
      <x:c r="O245" s="93" t="str">
        <x:f>IF(AND(B245="",D245="",F245=""),"",IF(A245="تجاهل","تجاهل",IF(OR(B245="",D245="",F245="",G245="",H245=""),"ناقص",IF(NOT(ISNUMBER(I245)),"خطأ وحدة",IF(OR(J245&lt;0,J245&gt;100),"خطأ هدر","صالح")))))</x:f>
      </x:c>
    </x:row>
    <x:row r="246">
      <x:c r="A246" s="79"/>
      <x:c r="B246" s="80"/>
      <x:c r="C246" s="87" t="str">
        <x:f>IFERROR(VLOOKUP(B246,'مراجع الوصفات'!$A$2:$D$79,2,FALSE),"")</x:f>
      </x:c>
      <x:c r="D246" s="80"/>
      <x:c r="E246" s="87" t="str">
        <x:f>IFERROR(VLOOKUP(D246,'مراجع الوصفات'!$F$2:$I$253,2,FALSE),"")</x:f>
      </x:c>
      <x:c r="F246" s="83"/>
      <x:c r="G246" s="80"/>
      <x:c r="H246" s="87" t="str">
        <x:f>IFERROR(VLOOKUP(D246,'مراجع الوصفات'!$F$2:$I$253,3,FALSE),"")</x:f>
      </x:c>
      <x:c r="I246" s="89" t="str">
        <x:f>IF(OR(F246="",G246="",H246=""),"",IF(G246=H246,F246,IF(AND(G246="غ",H246="كغ"),F246/1000,IF(AND(G246="كغ",H246="غ"),F246*1000,IF(AND(G246="مل",H246="لتر"),F246/1000,IF(AND(G246="لتر",H246="مل"),F246*1000,"خطأ وحدة"))))))</x:f>
      </x:c>
      <x:c r="J246" s="85"/>
      <x:c r="K246" s="80"/>
      <x:c r="L246" s="91" t="str">
        <x:f>IFERROR(VLOOKUP(D246,'مراجع الوصفات'!$F$2:$I$253,4,FALSE),"")</x:f>
      </x:c>
      <x:c r="M246" s="91" t="str">
        <x:f>IF(OR(I246="",NOT(ISNUMBER(I246)),L246=""),"",I246*L246*(1+J246/100))</x:f>
      </x:c>
      <x:c r="N246" s="80"/>
      <x:c r="O246" s="93" t="str">
        <x:f>IF(AND(B246="",D246="",F246=""),"",IF(A246="تجاهل","تجاهل",IF(OR(B246="",D246="",F246="",G246="",H246=""),"ناقص",IF(NOT(ISNUMBER(I246)),"خطأ وحدة",IF(OR(J246&lt;0,J246&gt;100),"خطأ هدر","صالح")))))</x:f>
      </x:c>
    </x:row>
    <x:row r="247">
      <x:c r="A247" s="79"/>
      <x:c r="B247" s="80"/>
      <x:c r="C247" s="87" t="str">
        <x:f>IFERROR(VLOOKUP(B247,'مراجع الوصفات'!$A$2:$D$79,2,FALSE),"")</x:f>
      </x:c>
      <x:c r="D247" s="80"/>
      <x:c r="E247" s="87" t="str">
        <x:f>IFERROR(VLOOKUP(D247,'مراجع الوصفات'!$F$2:$I$253,2,FALSE),"")</x:f>
      </x:c>
      <x:c r="F247" s="83"/>
      <x:c r="G247" s="80"/>
      <x:c r="H247" s="87" t="str">
        <x:f>IFERROR(VLOOKUP(D247,'مراجع الوصفات'!$F$2:$I$253,3,FALSE),"")</x:f>
      </x:c>
      <x:c r="I247" s="89" t="str">
        <x:f>IF(OR(F247="",G247="",H247=""),"",IF(G247=H247,F247,IF(AND(G247="غ",H247="كغ"),F247/1000,IF(AND(G247="كغ",H247="غ"),F247*1000,IF(AND(G247="مل",H247="لتر"),F247/1000,IF(AND(G247="لتر",H247="مل"),F247*1000,"خطأ وحدة"))))))</x:f>
      </x:c>
      <x:c r="J247" s="85"/>
      <x:c r="K247" s="80"/>
      <x:c r="L247" s="91" t="str">
        <x:f>IFERROR(VLOOKUP(D247,'مراجع الوصفات'!$F$2:$I$253,4,FALSE),"")</x:f>
      </x:c>
      <x:c r="M247" s="91" t="str">
        <x:f>IF(OR(I247="",NOT(ISNUMBER(I247)),L247=""),"",I247*L247*(1+J247/100))</x:f>
      </x:c>
      <x:c r="N247" s="80"/>
      <x:c r="O247" s="93" t="str">
        <x:f>IF(AND(B247="",D247="",F247=""),"",IF(A247="تجاهل","تجاهل",IF(OR(B247="",D247="",F247="",G247="",H247=""),"ناقص",IF(NOT(ISNUMBER(I247)),"خطأ وحدة",IF(OR(J247&lt;0,J247&gt;100),"خطأ هدر","صالح")))))</x:f>
      </x:c>
    </x:row>
    <x:row r="248">
      <x:c r="A248" s="79"/>
      <x:c r="B248" s="80"/>
      <x:c r="C248" s="87" t="str">
        <x:f>IFERROR(VLOOKUP(B248,'مراجع الوصفات'!$A$2:$D$79,2,FALSE),"")</x:f>
      </x:c>
      <x:c r="D248" s="80"/>
      <x:c r="E248" s="87" t="str">
        <x:f>IFERROR(VLOOKUP(D248,'مراجع الوصفات'!$F$2:$I$253,2,FALSE),"")</x:f>
      </x:c>
      <x:c r="F248" s="83"/>
      <x:c r="G248" s="80"/>
      <x:c r="H248" s="87" t="str">
        <x:f>IFERROR(VLOOKUP(D248,'مراجع الوصفات'!$F$2:$I$253,3,FALSE),"")</x:f>
      </x:c>
      <x:c r="I248" s="89" t="str">
        <x:f>IF(OR(F248="",G248="",H248=""),"",IF(G248=H248,F248,IF(AND(G248="غ",H248="كغ"),F248/1000,IF(AND(G248="كغ",H248="غ"),F248*1000,IF(AND(G248="مل",H248="لتر"),F248/1000,IF(AND(G248="لتر",H248="مل"),F248*1000,"خطأ وحدة"))))))</x:f>
      </x:c>
      <x:c r="J248" s="85"/>
      <x:c r="K248" s="80"/>
      <x:c r="L248" s="91" t="str">
        <x:f>IFERROR(VLOOKUP(D248,'مراجع الوصفات'!$F$2:$I$253,4,FALSE),"")</x:f>
      </x:c>
      <x:c r="M248" s="91" t="str">
        <x:f>IF(OR(I248="",NOT(ISNUMBER(I248)),L248=""),"",I248*L248*(1+J248/100))</x:f>
      </x:c>
      <x:c r="N248" s="80"/>
      <x:c r="O248" s="93" t="str">
        <x:f>IF(AND(B248="",D248="",F248=""),"",IF(A248="تجاهل","تجاهل",IF(OR(B248="",D248="",F248="",G248="",H248=""),"ناقص",IF(NOT(ISNUMBER(I248)),"خطأ وحدة",IF(OR(J248&lt;0,J248&gt;100),"خطأ هدر","صالح")))))</x:f>
      </x:c>
    </x:row>
    <x:row r="249">
      <x:c r="A249" s="79"/>
      <x:c r="B249" s="80"/>
      <x:c r="C249" s="87" t="str">
        <x:f>IFERROR(VLOOKUP(B249,'مراجع الوصفات'!$A$2:$D$79,2,FALSE),"")</x:f>
      </x:c>
      <x:c r="D249" s="80"/>
      <x:c r="E249" s="87" t="str">
        <x:f>IFERROR(VLOOKUP(D249,'مراجع الوصفات'!$F$2:$I$253,2,FALSE),"")</x:f>
      </x:c>
      <x:c r="F249" s="83"/>
      <x:c r="G249" s="80"/>
      <x:c r="H249" s="87" t="str">
        <x:f>IFERROR(VLOOKUP(D249,'مراجع الوصفات'!$F$2:$I$253,3,FALSE),"")</x:f>
      </x:c>
      <x:c r="I249" s="89" t="str">
        <x:f>IF(OR(F249="",G249="",H249=""),"",IF(G249=H249,F249,IF(AND(G249="غ",H249="كغ"),F249/1000,IF(AND(G249="كغ",H249="غ"),F249*1000,IF(AND(G249="مل",H249="لتر"),F249/1000,IF(AND(G249="لتر",H249="مل"),F249*1000,"خطأ وحدة"))))))</x:f>
      </x:c>
      <x:c r="J249" s="85"/>
      <x:c r="K249" s="80"/>
      <x:c r="L249" s="91" t="str">
        <x:f>IFERROR(VLOOKUP(D249,'مراجع الوصفات'!$F$2:$I$253,4,FALSE),"")</x:f>
      </x:c>
      <x:c r="M249" s="91" t="str">
        <x:f>IF(OR(I249="",NOT(ISNUMBER(I249)),L249=""),"",I249*L249*(1+J249/100))</x:f>
      </x:c>
      <x:c r="N249" s="80"/>
      <x:c r="O249" s="93" t="str">
        <x:f>IF(AND(B249="",D249="",F249=""),"",IF(A249="تجاهل","تجاهل",IF(OR(B249="",D249="",F249="",G249="",H249=""),"ناقص",IF(NOT(ISNUMBER(I249)),"خطأ وحدة",IF(OR(J249&lt;0,J249&gt;100),"خطأ هدر","صالح")))))</x:f>
      </x:c>
    </x:row>
    <x:row r="250">
      <x:c r="A250" s="79"/>
      <x:c r="B250" s="80"/>
      <x:c r="C250" s="87" t="str">
        <x:f>IFERROR(VLOOKUP(B250,'مراجع الوصفات'!$A$2:$D$79,2,FALSE),"")</x:f>
      </x:c>
      <x:c r="D250" s="80"/>
      <x:c r="E250" s="87" t="str">
        <x:f>IFERROR(VLOOKUP(D250,'مراجع الوصفات'!$F$2:$I$253,2,FALSE),"")</x:f>
      </x:c>
      <x:c r="F250" s="83"/>
      <x:c r="G250" s="80"/>
      <x:c r="H250" s="87" t="str">
        <x:f>IFERROR(VLOOKUP(D250,'مراجع الوصفات'!$F$2:$I$253,3,FALSE),"")</x:f>
      </x:c>
      <x:c r="I250" s="89" t="str">
        <x:f>IF(OR(F250="",G250="",H250=""),"",IF(G250=H250,F250,IF(AND(G250="غ",H250="كغ"),F250/1000,IF(AND(G250="كغ",H250="غ"),F250*1000,IF(AND(G250="مل",H250="لتر"),F250/1000,IF(AND(G250="لتر",H250="مل"),F250*1000,"خطأ وحدة"))))))</x:f>
      </x:c>
      <x:c r="J250" s="85"/>
      <x:c r="K250" s="80"/>
      <x:c r="L250" s="91" t="str">
        <x:f>IFERROR(VLOOKUP(D250,'مراجع الوصفات'!$F$2:$I$253,4,FALSE),"")</x:f>
      </x:c>
      <x:c r="M250" s="91" t="str">
        <x:f>IF(OR(I250="",NOT(ISNUMBER(I250)),L250=""),"",I250*L250*(1+J250/100))</x:f>
      </x:c>
      <x:c r="N250" s="80"/>
      <x:c r="O250" s="93" t="str">
        <x:f>IF(AND(B250="",D250="",F250=""),"",IF(A250="تجاهل","تجاهل",IF(OR(B250="",D250="",F250="",G250="",H250=""),"ناقص",IF(NOT(ISNUMBER(I250)),"خطأ وحدة",IF(OR(J250&lt;0,J250&gt;100),"خطأ هدر","صالح")))))</x:f>
      </x:c>
    </x:row>
    <x:row r="251">
      <x:c r="A251" s="79"/>
      <x:c r="B251" s="80"/>
      <x:c r="C251" s="87" t="str">
        <x:f>IFERROR(VLOOKUP(B251,'مراجع الوصفات'!$A$2:$D$79,2,FALSE),"")</x:f>
      </x:c>
      <x:c r="D251" s="80"/>
      <x:c r="E251" s="87" t="str">
        <x:f>IFERROR(VLOOKUP(D251,'مراجع الوصفات'!$F$2:$I$253,2,FALSE),"")</x:f>
      </x:c>
      <x:c r="F251" s="83"/>
      <x:c r="G251" s="80"/>
      <x:c r="H251" s="87" t="str">
        <x:f>IFERROR(VLOOKUP(D251,'مراجع الوصفات'!$F$2:$I$253,3,FALSE),"")</x:f>
      </x:c>
      <x:c r="I251" s="89" t="str">
        <x:f>IF(OR(F251="",G251="",H251=""),"",IF(G251=H251,F251,IF(AND(G251="غ",H251="كغ"),F251/1000,IF(AND(G251="كغ",H251="غ"),F251*1000,IF(AND(G251="مل",H251="لتر"),F251/1000,IF(AND(G251="لتر",H251="مل"),F251*1000,"خطأ وحدة"))))))</x:f>
      </x:c>
      <x:c r="J251" s="85"/>
      <x:c r="K251" s="80"/>
      <x:c r="L251" s="91" t="str">
        <x:f>IFERROR(VLOOKUP(D251,'مراجع الوصفات'!$F$2:$I$253,4,FALSE),"")</x:f>
      </x:c>
      <x:c r="M251" s="91" t="str">
        <x:f>IF(OR(I251="",NOT(ISNUMBER(I251)),L251=""),"",I251*L251*(1+J251/100))</x:f>
      </x:c>
      <x:c r="N251" s="80"/>
      <x:c r="O251" s="93" t="str">
        <x:f>IF(AND(B251="",D251="",F251=""),"",IF(A251="تجاهل","تجاهل",IF(OR(B251="",D251="",F251="",G251="",H251=""),"ناقص",IF(NOT(ISNUMBER(I251)),"خطأ وحدة",IF(OR(J251&lt;0,J251&gt;100),"خطأ هدر","صالح")))))</x:f>
      </x:c>
    </x:row>
    <x:row r="252">
      <x:c r="A252" s="79"/>
      <x:c r="B252" s="80"/>
      <x:c r="C252" s="87" t="str">
        <x:f>IFERROR(VLOOKUP(B252,'مراجع الوصفات'!$A$2:$D$79,2,FALSE),"")</x:f>
      </x:c>
      <x:c r="D252" s="80"/>
      <x:c r="E252" s="87" t="str">
        <x:f>IFERROR(VLOOKUP(D252,'مراجع الوصفات'!$F$2:$I$253,2,FALSE),"")</x:f>
      </x:c>
      <x:c r="F252" s="83"/>
      <x:c r="G252" s="80"/>
      <x:c r="H252" s="87" t="str">
        <x:f>IFERROR(VLOOKUP(D252,'مراجع الوصفات'!$F$2:$I$253,3,FALSE),"")</x:f>
      </x:c>
      <x:c r="I252" s="89" t="str">
        <x:f>IF(OR(F252="",G252="",H252=""),"",IF(G252=H252,F252,IF(AND(G252="غ",H252="كغ"),F252/1000,IF(AND(G252="كغ",H252="غ"),F252*1000,IF(AND(G252="مل",H252="لتر"),F252/1000,IF(AND(G252="لتر",H252="مل"),F252*1000,"خطأ وحدة"))))))</x:f>
      </x:c>
      <x:c r="J252" s="85"/>
      <x:c r="K252" s="80"/>
      <x:c r="L252" s="91" t="str">
        <x:f>IFERROR(VLOOKUP(D252,'مراجع الوصفات'!$F$2:$I$253,4,FALSE),"")</x:f>
      </x:c>
      <x:c r="M252" s="91" t="str">
        <x:f>IF(OR(I252="",NOT(ISNUMBER(I252)),L252=""),"",I252*L252*(1+J252/100))</x:f>
      </x:c>
      <x:c r="N252" s="80"/>
      <x:c r="O252" s="93" t="str">
        <x:f>IF(AND(B252="",D252="",F252=""),"",IF(A252="تجاهل","تجاهل",IF(OR(B252="",D252="",F252="",G252="",H252=""),"ناقص",IF(NOT(ISNUMBER(I252)),"خطأ وحدة",IF(OR(J252&lt;0,J252&gt;100),"خطأ هدر","صالح")))))</x:f>
      </x:c>
    </x:row>
    <x:row r="253">
      <x:c r="A253" s="79"/>
      <x:c r="B253" s="80"/>
      <x:c r="C253" s="87" t="str">
        <x:f>IFERROR(VLOOKUP(B253,'مراجع الوصفات'!$A$2:$D$79,2,FALSE),"")</x:f>
      </x:c>
      <x:c r="D253" s="80"/>
      <x:c r="E253" s="87" t="str">
        <x:f>IFERROR(VLOOKUP(D253,'مراجع الوصفات'!$F$2:$I$253,2,FALSE),"")</x:f>
      </x:c>
      <x:c r="F253" s="83"/>
      <x:c r="G253" s="80"/>
      <x:c r="H253" s="87" t="str">
        <x:f>IFERROR(VLOOKUP(D253,'مراجع الوصفات'!$F$2:$I$253,3,FALSE),"")</x:f>
      </x:c>
      <x:c r="I253" s="89" t="str">
        <x:f>IF(OR(F253="",G253="",H253=""),"",IF(G253=H253,F253,IF(AND(G253="غ",H253="كغ"),F253/1000,IF(AND(G253="كغ",H253="غ"),F253*1000,IF(AND(G253="مل",H253="لتر"),F253/1000,IF(AND(G253="لتر",H253="مل"),F253*1000,"خطأ وحدة"))))))</x:f>
      </x:c>
      <x:c r="J253" s="85"/>
      <x:c r="K253" s="80"/>
      <x:c r="L253" s="91" t="str">
        <x:f>IFERROR(VLOOKUP(D253,'مراجع الوصفات'!$F$2:$I$253,4,FALSE),"")</x:f>
      </x:c>
      <x:c r="M253" s="91" t="str">
        <x:f>IF(OR(I253="",NOT(ISNUMBER(I253)),L253=""),"",I253*L253*(1+J253/100))</x:f>
      </x:c>
      <x:c r="N253" s="80"/>
      <x:c r="O253" s="93" t="str">
        <x:f>IF(AND(B253="",D253="",F253=""),"",IF(A253="تجاهل","تجاهل",IF(OR(B253="",D253="",F253="",G253="",H253=""),"ناقص",IF(NOT(ISNUMBER(I253)),"خطأ وحدة",IF(OR(J253&lt;0,J253&gt;100),"خطأ هدر","صالح")))))</x:f>
      </x:c>
    </x:row>
    <x:row r="254">
      <x:c r="A254" s="79"/>
      <x:c r="B254" s="80"/>
      <x:c r="C254" s="87" t="str">
        <x:f>IFERROR(VLOOKUP(B254,'مراجع الوصفات'!$A$2:$D$79,2,FALSE),"")</x:f>
      </x:c>
      <x:c r="D254" s="80"/>
      <x:c r="E254" s="87" t="str">
        <x:f>IFERROR(VLOOKUP(D254,'مراجع الوصفات'!$F$2:$I$253,2,FALSE),"")</x:f>
      </x:c>
      <x:c r="F254" s="83"/>
      <x:c r="G254" s="80"/>
      <x:c r="H254" s="87" t="str">
        <x:f>IFERROR(VLOOKUP(D254,'مراجع الوصفات'!$F$2:$I$253,3,FALSE),"")</x:f>
      </x:c>
      <x:c r="I254" s="89" t="str">
        <x:f>IF(OR(F254="",G254="",H254=""),"",IF(G254=H254,F254,IF(AND(G254="غ",H254="كغ"),F254/1000,IF(AND(G254="كغ",H254="غ"),F254*1000,IF(AND(G254="مل",H254="لتر"),F254/1000,IF(AND(G254="لتر",H254="مل"),F254*1000,"خطأ وحدة"))))))</x:f>
      </x:c>
      <x:c r="J254" s="85"/>
      <x:c r="K254" s="80"/>
      <x:c r="L254" s="91" t="str">
        <x:f>IFERROR(VLOOKUP(D254,'مراجع الوصفات'!$F$2:$I$253,4,FALSE),"")</x:f>
      </x:c>
      <x:c r="M254" s="91" t="str">
        <x:f>IF(OR(I254="",NOT(ISNUMBER(I254)),L254=""),"",I254*L254*(1+J254/100))</x:f>
      </x:c>
      <x:c r="N254" s="80"/>
      <x:c r="O254" s="93" t="str">
        <x:f>IF(AND(B254="",D254="",F254=""),"",IF(A254="تجاهل","تجاهل",IF(OR(B254="",D254="",F254="",G254="",H254=""),"ناقص",IF(NOT(ISNUMBER(I254)),"خطأ وحدة",IF(OR(J254&lt;0,J254&gt;100),"خطأ هدر","صالح")))))</x:f>
      </x:c>
    </x:row>
    <x:row r="255">
      <x:c r="A255" s="79"/>
      <x:c r="B255" s="80"/>
      <x:c r="C255" s="87" t="str">
        <x:f>IFERROR(VLOOKUP(B255,'مراجع الوصفات'!$A$2:$D$79,2,FALSE),"")</x:f>
      </x:c>
      <x:c r="D255" s="80"/>
      <x:c r="E255" s="87" t="str">
        <x:f>IFERROR(VLOOKUP(D255,'مراجع الوصفات'!$F$2:$I$253,2,FALSE),"")</x:f>
      </x:c>
      <x:c r="F255" s="83"/>
      <x:c r="G255" s="80"/>
      <x:c r="H255" s="87" t="str">
        <x:f>IFERROR(VLOOKUP(D255,'مراجع الوصفات'!$F$2:$I$253,3,FALSE),"")</x:f>
      </x:c>
      <x:c r="I255" s="89" t="str">
        <x:f>IF(OR(F255="",G255="",H255=""),"",IF(G255=H255,F255,IF(AND(G255="غ",H255="كغ"),F255/1000,IF(AND(G255="كغ",H255="غ"),F255*1000,IF(AND(G255="مل",H255="لتر"),F255/1000,IF(AND(G255="لتر",H255="مل"),F255*1000,"خطأ وحدة"))))))</x:f>
      </x:c>
      <x:c r="J255" s="85"/>
      <x:c r="K255" s="80"/>
      <x:c r="L255" s="91" t="str">
        <x:f>IFERROR(VLOOKUP(D255,'مراجع الوصفات'!$F$2:$I$253,4,FALSE),"")</x:f>
      </x:c>
      <x:c r="M255" s="91" t="str">
        <x:f>IF(OR(I255="",NOT(ISNUMBER(I255)),L255=""),"",I255*L255*(1+J255/100))</x:f>
      </x:c>
      <x:c r="N255" s="80"/>
      <x:c r="O255" s="93" t="str">
        <x:f>IF(AND(B255="",D255="",F255=""),"",IF(A255="تجاهل","تجاهل",IF(OR(B255="",D255="",F255="",G255="",H255=""),"ناقص",IF(NOT(ISNUMBER(I255)),"خطأ وحدة",IF(OR(J255&lt;0,J255&gt;100),"خطأ هدر","صالح")))))</x:f>
      </x:c>
    </x:row>
    <x:row r="256">
      <x:c r="A256" s="79"/>
      <x:c r="B256" s="80"/>
      <x:c r="C256" s="87" t="str">
        <x:f>IFERROR(VLOOKUP(B256,'مراجع الوصفات'!$A$2:$D$79,2,FALSE),"")</x:f>
      </x:c>
      <x:c r="D256" s="80"/>
      <x:c r="E256" s="87" t="str">
        <x:f>IFERROR(VLOOKUP(D256,'مراجع الوصفات'!$F$2:$I$253,2,FALSE),"")</x:f>
      </x:c>
      <x:c r="F256" s="83"/>
      <x:c r="G256" s="80"/>
      <x:c r="H256" s="87" t="str">
        <x:f>IFERROR(VLOOKUP(D256,'مراجع الوصفات'!$F$2:$I$253,3,FALSE),"")</x:f>
      </x:c>
      <x:c r="I256" s="89" t="str">
        <x:f>IF(OR(F256="",G256="",H256=""),"",IF(G256=H256,F256,IF(AND(G256="غ",H256="كغ"),F256/1000,IF(AND(G256="كغ",H256="غ"),F256*1000,IF(AND(G256="مل",H256="لتر"),F256/1000,IF(AND(G256="لتر",H256="مل"),F256*1000,"خطأ وحدة"))))))</x:f>
      </x:c>
      <x:c r="J256" s="85"/>
      <x:c r="K256" s="80"/>
      <x:c r="L256" s="91" t="str">
        <x:f>IFERROR(VLOOKUP(D256,'مراجع الوصفات'!$F$2:$I$253,4,FALSE),"")</x:f>
      </x:c>
      <x:c r="M256" s="91" t="str">
        <x:f>IF(OR(I256="",NOT(ISNUMBER(I256)),L256=""),"",I256*L256*(1+J256/100))</x:f>
      </x:c>
      <x:c r="N256" s="80"/>
      <x:c r="O256" s="93" t="str">
        <x:f>IF(AND(B256="",D256="",F256=""),"",IF(A256="تجاهل","تجاهل",IF(OR(B256="",D256="",F256="",G256="",H256=""),"ناقص",IF(NOT(ISNUMBER(I256)),"خطأ وحدة",IF(OR(J256&lt;0,J256&gt;100),"خطأ هدر","صالح")))))</x:f>
      </x:c>
    </x:row>
    <x:row r="257">
      <x:c r="A257" s="79"/>
      <x:c r="B257" s="80"/>
      <x:c r="C257" s="87" t="str">
        <x:f>IFERROR(VLOOKUP(B257,'مراجع الوصفات'!$A$2:$D$79,2,FALSE),"")</x:f>
      </x:c>
      <x:c r="D257" s="80"/>
      <x:c r="E257" s="87" t="str">
        <x:f>IFERROR(VLOOKUP(D257,'مراجع الوصفات'!$F$2:$I$253,2,FALSE),"")</x:f>
      </x:c>
      <x:c r="F257" s="83"/>
      <x:c r="G257" s="80"/>
      <x:c r="H257" s="87" t="str">
        <x:f>IFERROR(VLOOKUP(D257,'مراجع الوصفات'!$F$2:$I$253,3,FALSE),"")</x:f>
      </x:c>
      <x:c r="I257" s="89" t="str">
        <x:f>IF(OR(F257="",G257="",H257=""),"",IF(G257=H257,F257,IF(AND(G257="غ",H257="كغ"),F257/1000,IF(AND(G257="كغ",H257="غ"),F257*1000,IF(AND(G257="مل",H257="لتر"),F257/1000,IF(AND(G257="لتر",H257="مل"),F257*1000,"خطأ وحدة"))))))</x:f>
      </x:c>
      <x:c r="J257" s="85"/>
      <x:c r="K257" s="80"/>
      <x:c r="L257" s="91" t="str">
        <x:f>IFERROR(VLOOKUP(D257,'مراجع الوصفات'!$F$2:$I$253,4,FALSE),"")</x:f>
      </x:c>
      <x:c r="M257" s="91" t="str">
        <x:f>IF(OR(I257="",NOT(ISNUMBER(I257)),L257=""),"",I257*L257*(1+J257/100))</x:f>
      </x:c>
      <x:c r="N257" s="80"/>
      <x:c r="O257" s="93" t="str">
        <x:f>IF(AND(B257="",D257="",F257=""),"",IF(A257="تجاهل","تجاهل",IF(OR(B257="",D257="",F257="",G257="",H257=""),"ناقص",IF(NOT(ISNUMBER(I257)),"خطأ وحدة",IF(OR(J257&lt;0,J257&gt;100),"خطأ هدر","صالح")))))</x:f>
      </x:c>
    </x:row>
    <x:row r="258">
      <x:c r="A258" s="79"/>
      <x:c r="B258" s="80"/>
      <x:c r="C258" s="87" t="str">
        <x:f>IFERROR(VLOOKUP(B258,'مراجع الوصفات'!$A$2:$D$79,2,FALSE),"")</x:f>
      </x:c>
      <x:c r="D258" s="80"/>
      <x:c r="E258" s="87" t="str">
        <x:f>IFERROR(VLOOKUP(D258,'مراجع الوصفات'!$F$2:$I$253,2,FALSE),"")</x:f>
      </x:c>
      <x:c r="F258" s="83"/>
      <x:c r="G258" s="80"/>
      <x:c r="H258" s="87" t="str">
        <x:f>IFERROR(VLOOKUP(D258,'مراجع الوصفات'!$F$2:$I$253,3,FALSE),"")</x:f>
      </x:c>
      <x:c r="I258" s="89" t="str">
        <x:f>IF(OR(F258="",G258="",H258=""),"",IF(G258=H258,F258,IF(AND(G258="غ",H258="كغ"),F258/1000,IF(AND(G258="كغ",H258="غ"),F258*1000,IF(AND(G258="مل",H258="لتر"),F258/1000,IF(AND(G258="لتر",H258="مل"),F258*1000,"خطأ وحدة"))))))</x:f>
      </x:c>
      <x:c r="J258" s="85"/>
      <x:c r="K258" s="80"/>
      <x:c r="L258" s="91" t="str">
        <x:f>IFERROR(VLOOKUP(D258,'مراجع الوصفات'!$F$2:$I$253,4,FALSE),"")</x:f>
      </x:c>
      <x:c r="M258" s="91" t="str">
        <x:f>IF(OR(I258="",NOT(ISNUMBER(I258)),L258=""),"",I258*L258*(1+J258/100))</x:f>
      </x:c>
      <x:c r="N258" s="80"/>
      <x:c r="O258" s="93" t="str">
        <x:f>IF(AND(B258="",D258="",F258=""),"",IF(A258="تجاهل","تجاهل",IF(OR(B258="",D258="",F258="",G258="",H258=""),"ناقص",IF(NOT(ISNUMBER(I258)),"خطأ وحدة",IF(OR(J258&lt;0,J258&gt;100),"خطأ هدر","صالح")))))</x:f>
      </x:c>
    </x:row>
    <x:row r="259">
      <x:c r="A259" s="79"/>
      <x:c r="B259" s="80"/>
      <x:c r="C259" s="87" t="str">
        <x:f>IFERROR(VLOOKUP(B259,'مراجع الوصفات'!$A$2:$D$79,2,FALSE),"")</x:f>
      </x:c>
      <x:c r="D259" s="80"/>
      <x:c r="E259" s="87" t="str">
        <x:f>IFERROR(VLOOKUP(D259,'مراجع الوصفات'!$F$2:$I$253,2,FALSE),"")</x:f>
      </x:c>
      <x:c r="F259" s="83"/>
      <x:c r="G259" s="80"/>
      <x:c r="H259" s="87" t="str">
        <x:f>IFERROR(VLOOKUP(D259,'مراجع الوصفات'!$F$2:$I$253,3,FALSE),"")</x:f>
      </x:c>
      <x:c r="I259" s="89" t="str">
        <x:f>IF(OR(F259="",G259="",H259=""),"",IF(G259=H259,F259,IF(AND(G259="غ",H259="كغ"),F259/1000,IF(AND(G259="كغ",H259="غ"),F259*1000,IF(AND(G259="مل",H259="لتر"),F259/1000,IF(AND(G259="لتر",H259="مل"),F259*1000,"خطأ وحدة"))))))</x:f>
      </x:c>
      <x:c r="J259" s="85"/>
      <x:c r="K259" s="80"/>
      <x:c r="L259" s="91" t="str">
        <x:f>IFERROR(VLOOKUP(D259,'مراجع الوصفات'!$F$2:$I$253,4,FALSE),"")</x:f>
      </x:c>
      <x:c r="M259" s="91" t="str">
        <x:f>IF(OR(I259="",NOT(ISNUMBER(I259)),L259=""),"",I259*L259*(1+J259/100))</x:f>
      </x:c>
      <x:c r="N259" s="80"/>
      <x:c r="O259" s="93" t="str">
        <x:f>IF(AND(B259="",D259="",F259=""),"",IF(A259="تجاهل","تجاهل",IF(OR(B259="",D259="",F259="",G259="",H259=""),"ناقص",IF(NOT(ISNUMBER(I259)),"خطأ وحدة",IF(OR(J259&lt;0,J259&gt;100),"خطأ هدر","صالح")))))</x:f>
      </x:c>
    </x:row>
    <x:row r="260">
      <x:c r="A260" s="79"/>
      <x:c r="B260" s="80"/>
      <x:c r="C260" s="87" t="str">
        <x:f>IFERROR(VLOOKUP(B260,'مراجع الوصفات'!$A$2:$D$79,2,FALSE),"")</x:f>
      </x:c>
      <x:c r="D260" s="80"/>
      <x:c r="E260" s="87" t="str">
        <x:f>IFERROR(VLOOKUP(D260,'مراجع الوصفات'!$F$2:$I$253,2,FALSE),"")</x:f>
      </x:c>
      <x:c r="F260" s="83"/>
      <x:c r="G260" s="80"/>
      <x:c r="H260" s="87" t="str">
        <x:f>IFERROR(VLOOKUP(D260,'مراجع الوصفات'!$F$2:$I$253,3,FALSE),"")</x:f>
      </x:c>
      <x:c r="I260" s="89" t="str">
        <x:f>IF(OR(F260="",G260="",H260=""),"",IF(G260=H260,F260,IF(AND(G260="غ",H260="كغ"),F260/1000,IF(AND(G260="كغ",H260="غ"),F260*1000,IF(AND(G260="مل",H260="لتر"),F260/1000,IF(AND(G260="لتر",H260="مل"),F260*1000,"خطأ وحدة"))))))</x:f>
      </x:c>
      <x:c r="J260" s="85"/>
      <x:c r="K260" s="80"/>
      <x:c r="L260" s="91" t="str">
        <x:f>IFERROR(VLOOKUP(D260,'مراجع الوصفات'!$F$2:$I$253,4,FALSE),"")</x:f>
      </x:c>
      <x:c r="M260" s="91" t="str">
        <x:f>IF(OR(I260="",NOT(ISNUMBER(I260)),L260=""),"",I260*L260*(1+J260/100))</x:f>
      </x:c>
      <x:c r="N260" s="80"/>
      <x:c r="O260" s="93" t="str">
        <x:f>IF(AND(B260="",D260="",F260=""),"",IF(A260="تجاهل","تجاهل",IF(OR(B260="",D260="",F260="",G260="",H260=""),"ناقص",IF(NOT(ISNUMBER(I260)),"خطأ وحدة",IF(OR(J260&lt;0,J260&gt;100),"خطأ هدر","صالح")))))</x:f>
      </x:c>
    </x:row>
    <x:row r="261">
      <x:c r="A261" s="79"/>
      <x:c r="B261" s="80"/>
      <x:c r="C261" s="87" t="str">
        <x:f>IFERROR(VLOOKUP(B261,'مراجع الوصفات'!$A$2:$D$79,2,FALSE),"")</x:f>
      </x:c>
      <x:c r="D261" s="80"/>
      <x:c r="E261" s="87" t="str">
        <x:f>IFERROR(VLOOKUP(D261,'مراجع الوصفات'!$F$2:$I$253,2,FALSE),"")</x:f>
      </x:c>
      <x:c r="F261" s="83"/>
      <x:c r="G261" s="80"/>
      <x:c r="H261" s="87" t="str">
        <x:f>IFERROR(VLOOKUP(D261,'مراجع الوصفات'!$F$2:$I$253,3,FALSE),"")</x:f>
      </x:c>
      <x:c r="I261" s="89" t="str">
        <x:f>IF(OR(F261="",G261="",H261=""),"",IF(G261=H261,F261,IF(AND(G261="غ",H261="كغ"),F261/1000,IF(AND(G261="كغ",H261="غ"),F261*1000,IF(AND(G261="مل",H261="لتر"),F261/1000,IF(AND(G261="لتر",H261="مل"),F261*1000,"خطأ وحدة"))))))</x:f>
      </x:c>
      <x:c r="J261" s="85"/>
      <x:c r="K261" s="80"/>
      <x:c r="L261" s="91" t="str">
        <x:f>IFERROR(VLOOKUP(D261,'مراجع الوصفات'!$F$2:$I$253,4,FALSE),"")</x:f>
      </x:c>
      <x:c r="M261" s="91" t="str">
        <x:f>IF(OR(I261="",NOT(ISNUMBER(I261)),L261=""),"",I261*L261*(1+J261/100))</x:f>
      </x:c>
      <x:c r="N261" s="80"/>
      <x:c r="O261" s="93" t="str">
        <x:f>IF(AND(B261="",D261="",F261=""),"",IF(A261="تجاهل","تجاهل",IF(OR(B261="",D261="",F261="",G261="",H261=""),"ناقص",IF(NOT(ISNUMBER(I261)),"خطأ وحدة",IF(OR(J261&lt;0,J261&gt;100),"خطأ هدر","صالح")))))</x:f>
      </x:c>
    </x:row>
    <x:row r="262">
      <x:c r="A262" s="79"/>
      <x:c r="B262" s="80"/>
      <x:c r="C262" s="87" t="str">
        <x:f>IFERROR(VLOOKUP(B262,'مراجع الوصفات'!$A$2:$D$79,2,FALSE),"")</x:f>
      </x:c>
      <x:c r="D262" s="80"/>
      <x:c r="E262" s="87" t="str">
        <x:f>IFERROR(VLOOKUP(D262,'مراجع الوصفات'!$F$2:$I$253,2,FALSE),"")</x:f>
      </x:c>
      <x:c r="F262" s="83"/>
      <x:c r="G262" s="80"/>
      <x:c r="H262" s="87" t="str">
        <x:f>IFERROR(VLOOKUP(D262,'مراجع الوصفات'!$F$2:$I$253,3,FALSE),"")</x:f>
      </x:c>
      <x:c r="I262" s="89" t="str">
        <x:f>IF(OR(F262="",G262="",H262=""),"",IF(G262=H262,F262,IF(AND(G262="غ",H262="كغ"),F262/1000,IF(AND(G262="كغ",H262="غ"),F262*1000,IF(AND(G262="مل",H262="لتر"),F262/1000,IF(AND(G262="لتر",H262="مل"),F262*1000,"خطأ وحدة"))))))</x:f>
      </x:c>
      <x:c r="J262" s="85"/>
      <x:c r="K262" s="80"/>
      <x:c r="L262" s="91" t="str">
        <x:f>IFERROR(VLOOKUP(D262,'مراجع الوصفات'!$F$2:$I$253,4,FALSE),"")</x:f>
      </x:c>
      <x:c r="M262" s="91" t="str">
        <x:f>IF(OR(I262="",NOT(ISNUMBER(I262)),L262=""),"",I262*L262*(1+J262/100))</x:f>
      </x:c>
      <x:c r="N262" s="80"/>
      <x:c r="O262" s="93" t="str">
        <x:f>IF(AND(B262="",D262="",F262=""),"",IF(A262="تجاهل","تجاهل",IF(OR(B262="",D262="",F262="",G262="",H262=""),"ناقص",IF(NOT(ISNUMBER(I262)),"خطأ وحدة",IF(OR(J262&lt;0,J262&gt;100),"خطأ هدر","صالح")))))</x:f>
      </x:c>
    </x:row>
    <x:row r="263">
      <x:c r="A263" s="79"/>
      <x:c r="B263" s="80"/>
      <x:c r="C263" s="87" t="str">
        <x:f>IFERROR(VLOOKUP(B263,'مراجع الوصفات'!$A$2:$D$79,2,FALSE),"")</x:f>
      </x:c>
      <x:c r="D263" s="80"/>
      <x:c r="E263" s="87" t="str">
        <x:f>IFERROR(VLOOKUP(D263,'مراجع الوصفات'!$F$2:$I$253,2,FALSE),"")</x:f>
      </x:c>
      <x:c r="F263" s="83"/>
      <x:c r="G263" s="80"/>
      <x:c r="H263" s="87" t="str">
        <x:f>IFERROR(VLOOKUP(D263,'مراجع الوصفات'!$F$2:$I$253,3,FALSE),"")</x:f>
      </x:c>
      <x:c r="I263" s="89" t="str">
        <x:f>IF(OR(F263="",G263="",H263=""),"",IF(G263=H263,F263,IF(AND(G263="غ",H263="كغ"),F263/1000,IF(AND(G263="كغ",H263="غ"),F263*1000,IF(AND(G263="مل",H263="لتر"),F263/1000,IF(AND(G263="لتر",H263="مل"),F263*1000,"خطأ وحدة"))))))</x:f>
      </x:c>
      <x:c r="J263" s="85"/>
      <x:c r="K263" s="80"/>
      <x:c r="L263" s="91" t="str">
        <x:f>IFERROR(VLOOKUP(D263,'مراجع الوصفات'!$F$2:$I$253,4,FALSE),"")</x:f>
      </x:c>
      <x:c r="M263" s="91" t="str">
        <x:f>IF(OR(I263="",NOT(ISNUMBER(I263)),L263=""),"",I263*L263*(1+J263/100))</x:f>
      </x:c>
      <x:c r="N263" s="80"/>
      <x:c r="O263" s="93" t="str">
        <x:f>IF(AND(B263="",D263="",F263=""),"",IF(A263="تجاهل","تجاهل",IF(OR(B263="",D263="",F263="",G263="",H263=""),"ناقص",IF(NOT(ISNUMBER(I263)),"خطأ وحدة",IF(OR(J263&lt;0,J263&gt;100),"خطأ هدر","صالح")))))</x:f>
      </x:c>
    </x:row>
    <x:row r="264">
      <x:c r="A264" s="79"/>
      <x:c r="B264" s="80"/>
      <x:c r="C264" s="87" t="str">
        <x:f>IFERROR(VLOOKUP(B264,'مراجع الوصفات'!$A$2:$D$79,2,FALSE),"")</x:f>
      </x:c>
      <x:c r="D264" s="80"/>
      <x:c r="E264" s="87" t="str">
        <x:f>IFERROR(VLOOKUP(D264,'مراجع الوصفات'!$F$2:$I$253,2,FALSE),"")</x:f>
      </x:c>
      <x:c r="F264" s="83"/>
      <x:c r="G264" s="80"/>
      <x:c r="H264" s="87" t="str">
        <x:f>IFERROR(VLOOKUP(D264,'مراجع الوصفات'!$F$2:$I$253,3,FALSE),"")</x:f>
      </x:c>
      <x:c r="I264" s="89" t="str">
        <x:f>IF(OR(F264="",G264="",H264=""),"",IF(G264=H264,F264,IF(AND(G264="غ",H264="كغ"),F264/1000,IF(AND(G264="كغ",H264="غ"),F264*1000,IF(AND(G264="مل",H264="لتر"),F264/1000,IF(AND(G264="لتر",H264="مل"),F264*1000,"خطأ وحدة"))))))</x:f>
      </x:c>
      <x:c r="J264" s="85"/>
      <x:c r="K264" s="80"/>
      <x:c r="L264" s="91" t="str">
        <x:f>IFERROR(VLOOKUP(D264,'مراجع الوصفات'!$F$2:$I$253,4,FALSE),"")</x:f>
      </x:c>
      <x:c r="M264" s="91" t="str">
        <x:f>IF(OR(I264="",NOT(ISNUMBER(I264)),L264=""),"",I264*L264*(1+J264/100))</x:f>
      </x:c>
      <x:c r="N264" s="80"/>
      <x:c r="O264" s="93" t="str">
        <x:f>IF(AND(B264="",D264="",F264=""),"",IF(A264="تجاهل","تجاهل",IF(OR(B264="",D264="",F264="",G264="",H264=""),"ناقص",IF(NOT(ISNUMBER(I264)),"خطأ وحدة",IF(OR(J264&lt;0,J264&gt;100),"خطأ هدر","صالح")))))</x:f>
      </x:c>
    </x:row>
    <x:row r="265">
      <x:c r="A265" s="79"/>
      <x:c r="B265" s="80"/>
      <x:c r="C265" s="87" t="str">
        <x:f>IFERROR(VLOOKUP(B265,'مراجع الوصفات'!$A$2:$D$79,2,FALSE),"")</x:f>
      </x:c>
      <x:c r="D265" s="80"/>
      <x:c r="E265" s="87" t="str">
        <x:f>IFERROR(VLOOKUP(D265,'مراجع الوصفات'!$F$2:$I$253,2,FALSE),"")</x:f>
      </x:c>
      <x:c r="F265" s="83"/>
      <x:c r="G265" s="80"/>
      <x:c r="H265" s="87" t="str">
        <x:f>IFERROR(VLOOKUP(D265,'مراجع الوصفات'!$F$2:$I$253,3,FALSE),"")</x:f>
      </x:c>
      <x:c r="I265" s="89" t="str">
        <x:f>IF(OR(F265="",G265="",H265=""),"",IF(G265=H265,F265,IF(AND(G265="غ",H265="كغ"),F265/1000,IF(AND(G265="كغ",H265="غ"),F265*1000,IF(AND(G265="مل",H265="لتر"),F265/1000,IF(AND(G265="لتر",H265="مل"),F265*1000,"خطأ وحدة"))))))</x:f>
      </x:c>
      <x:c r="J265" s="85"/>
      <x:c r="K265" s="80"/>
      <x:c r="L265" s="91" t="str">
        <x:f>IFERROR(VLOOKUP(D265,'مراجع الوصفات'!$F$2:$I$253,4,FALSE),"")</x:f>
      </x:c>
      <x:c r="M265" s="91" t="str">
        <x:f>IF(OR(I265="",NOT(ISNUMBER(I265)),L265=""),"",I265*L265*(1+J265/100))</x:f>
      </x:c>
      <x:c r="N265" s="80"/>
      <x:c r="O265" s="93" t="str">
        <x:f>IF(AND(B265="",D265="",F265=""),"",IF(A265="تجاهل","تجاهل",IF(OR(B265="",D265="",F265="",G265="",H265=""),"ناقص",IF(NOT(ISNUMBER(I265)),"خطأ وحدة",IF(OR(J265&lt;0,J265&gt;100),"خطأ هدر","صالح")))))</x:f>
      </x:c>
    </x:row>
    <x:row r="266">
      <x:c r="A266" s="79"/>
      <x:c r="B266" s="80"/>
      <x:c r="C266" s="87" t="str">
        <x:f>IFERROR(VLOOKUP(B266,'مراجع الوصفات'!$A$2:$D$79,2,FALSE),"")</x:f>
      </x:c>
      <x:c r="D266" s="80"/>
      <x:c r="E266" s="87" t="str">
        <x:f>IFERROR(VLOOKUP(D266,'مراجع الوصفات'!$F$2:$I$253,2,FALSE),"")</x:f>
      </x:c>
      <x:c r="F266" s="83"/>
      <x:c r="G266" s="80"/>
      <x:c r="H266" s="87" t="str">
        <x:f>IFERROR(VLOOKUP(D266,'مراجع الوصفات'!$F$2:$I$253,3,FALSE),"")</x:f>
      </x:c>
      <x:c r="I266" s="89" t="str">
        <x:f>IF(OR(F266="",G266="",H266=""),"",IF(G266=H266,F266,IF(AND(G266="غ",H266="كغ"),F266/1000,IF(AND(G266="كغ",H266="غ"),F266*1000,IF(AND(G266="مل",H266="لتر"),F266/1000,IF(AND(G266="لتر",H266="مل"),F266*1000,"خطأ وحدة"))))))</x:f>
      </x:c>
      <x:c r="J266" s="85"/>
      <x:c r="K266" s="80"/>
      <x:c r="L266" s="91" t="str">
        <x:f>IFERROR(VLOOKUP(D266,'مراجع الوصفات'!$F$2:$I$253,4,FALSE),"")</x:f>
      </x:c>
      <x:c r="M266" s="91" t="str">
        <x:f>IF(OR(I266="",NOT(ISNUMBER(I266)),L266=""),"",I266*L266*(1+J266/100))</x:f>
      </x:c>
      <x:c r="N266" s="80"/>
      <x:c r="O266" s="93" t="str">
        <x:f>IF(AND(B266="",D266="",F266=""),"",IF(A266="تجاهل","تجاهل",IF(OR(B266="",D266="",F266="",G266="",H266=""),"ناقص",IF(NOT(ISNUMBER(I266)),"خطأ وحدة",IF(OR(J266&lt;0,J266&gt;100),"خطأ هدر","صالح")))))</x:f>
      </x:c>
    </x:row>
    <x:row r="267">
      <x:c r="A267" s="79"/>
      <x:c r="B267" s="80"/>
      <x:c r="C267" s="87" t="str">
        <x:f>IFERROR(VLOOKUP(B267,'مراجع الوصفات'!$A$2:$D$79,2,FALSE),"")</x:f>
      </x:c>
      <x:c r="D267" s="80"/>
      <x:c r="E267" s="87" t="str">
        <x:f>IFERROR(VLOOKUP(D267,'مراجع الوصفات'!$F$2:$I$253,2,FALSE),"")</x:f>
      </x:c>
      <x:c r="F267" s="83"/>
      <x:c r="G267" s="80"/>
      <x:c r="H267" s="87" t="str">
        <x:f>IFERROR(VLOOKUP(D267,'مراجع الوصفات'!$F$2:$I$253,3,FALSE),"")</x:f>
      </x:c>
      <x:c r="I267" s="89" t="str">
        <x:f>IF(OR(F267="",G267="",H267=""),"",IF(G267=H267,F267,IF(AND(G267="غ",H267="كغ"),F267/1000,IF(AND(G267="كغ",H267="غ"),F267*1000,IF(AND(G267="مل",H267="لتر"),F267/1000,IF(AND(G267="لتر",H267="مل"),F267*1000,"خطأ وحدة"))))))</x:f>
      </x:c>
      <x:c r="J267" s="85"/>
      <x:c r="K267" s="80"/>
      <x:c r="L267" s="91" t="str">
        <x:f>IFERROR(VLOOKUP(D267,'مراجع الوصفات'!$F$2:$I$253,4,FALSE),"")</x:f>
      </x:c>
      <x:c r="M267" s="91" t="str">
        <x:f>IF(OR(I267="",NOT(ISNUMBER(I267)),L267=""),"",I267*L267*(1+J267/100))</x:f>
      </x:c>
      <x:c r="N267" s="80"/>
      <x:c r="O267" s="93" t="str">
        <x:f>IF(AND(B267="",D267="",F267=""),"",IF(A267="تجاهل","تجاهل",IF(OR(B267="",D267="",F267="",G267="",H267=""),"ناقص",IF(NOT(ISNUMBER(I267)),"خطأ وحدة",IF(OR(J267&lt;0,J267&gt;100),"خطأ هدر","صالح")))))</x:f>
      </x:c>
    </x:row>
    <x:row r="268">
      <x:c r="A268" s="79"/>
      <x:c r="B268" s="80"/>
      <x:c r="C268" s="87" t="str">
        <x:f>IFERROR(VLOOKUP(B268,'مراجع الوصفات'!$A$2:$D$79,2,FALSE),"")</x:f>
      </x:c>
      <x:c r="D268" s="80"/>
      <x:c r="E268" s="87" t="str">
        <x:f>IFERROR(VLOOKUP(D268,'مراجع الوصفات'!$F$2:$I$253,2,FALSE),"")</x:f>
      </x:c>
      <x:c r="F268" s="83"/>
      <x:c r="G268" s="80"/>
      <x:c r="H268" s="87" t="str">
        <x:f>IFERROR(VLOOKUP(D268,'مراجع الوصفات'!$F$2:$I$253,3,FALSE),"")</x:f>
      </x:c>
      <x:c r="I268" s="89" t="str">
        <x:f>IF(OR(F268="",G268="",H268=""),"",IF(G268=H268,F268,IF(AND(G268="غ",H268="كغ"),F268/1000,IF(AND(G268="كغ",H268="غ"),F268*1000,IF(AND(G268="مل",H268="لتر"),F268/1000,IF(AND(G268="لتر",H268="مل"),F268*1000,"خطأ وحدة"))))))</x:f>
      </x:c>
      <x:c r="J268" s="85"/>
      <x:c r="K268" s="80"/>
      <x:c r="L268" s="91" t="str">
        <x:f>IFERROR(VLOOKUP(D268,'مراجع الوصفات'!$F$2:$I$253,4,FALSE),"")</x:f>
      </x:c>
      <x:c r="M268" s="91" t="str">
        <x:f>IF(OR(I268="",NOT(ISNUMBER(I268)),L268=""),"",I268*L268*(1+J268/100))</x:f>
      </x:c>
      <x:c r="N268" s="80"/>
      <x:c r="O268" s="93" t="str">
        <x:f>IF(AND(B268="",D268="",F268=""),"",IF(A268="تجاهل","تجاهل",IF(OR(B268="",D268="",F268="",G268="",H268=""),"ناقص",IF(NOT(ISNUMBER(I268)),"خطأ وحدة",IF(OR(J268&lt;0,J268&gt;100),"خطأ هدر","صالح")))))</x:f>
      </x:c>
    </x:row>
    <x:row r="269">
      <x:c r="A269" s="79"/>
      <x:c r="B269" s="80"/>
      <x:c r="C269" s="87" t="str">
        <x:f>IFERROR(VLOOKUP(B269,'مراجع الوصفات'!$A$2:$D$79,2,FALSE),"")</x:f>
      </x:c>
      <x:c r="D269" s="80"/>
      <x:c r="E269" s="87" t="str">
        <x:f>IFERROR(VLOOKUP(D269,'مراجع الوصفات'!$F$2:$I$253,2,FALSE),"")</x:f>
      </x:c>
      <x:c r="F269" s="83"/>
      <x:c r="G269" s="80"/>
      <x:c r="H269" s="87" t="str">
        <x:f>IFERROR(VLOOKUP(D269,'مراجع الوصفات'!$F$2:$I$253,3,FALSE),"")</x:f>
      </x:c>
      <x:c r="I269" s="89" t="str">
        <x:f>IF(OR(F269="",G269="",H269=""),"",IF(G269=H269,F269,IF(AND(G269="غ",H269="كغ"),F269/1000,IF(AND(G269="كغ",H269="غ"),F269*1000,IF(AND(G269="مل",H269="لتر"),F269/1000,IF(AND(G269="لتر",H269="مل"),F269*1000,"خطأ وحدة"))))))</x:f>
      </x:c>
      <x:c r="J269" s="85"/>
      <x:c r="K269" s="80"/>
      <x:c r="L269" s="91" t="str">
        <x:f>IFERROR(VLOOKUP(D269,'مراجع الوصفات'!$F$2:$I$253,4,FALSE),"")</x:f>
      </x:c>
      <x:c r="M269" s="91" t="str">
        <x:f>IF(OR(I269="",NOT(ISNUMBER(I269)),L269=""),"",I269*L269*(1+J269/100))</x:f>
      </x:c>
      <x:c r="N269" s="80"/>
      <x:c r="O269" s="93" t="str">
        <x:f>IF(AND(B269="",D269="",F269=""),"",IF(A269="تجاهل","تجاهل",IF(OR(B269="",D269="",F269="",G269="",H269=""),"ناقص",IF(NOT(ISNUMBER(I269)),"خطأ وحدة",IF(OR(J269&lt;0,J269&gt;100),"خطأ هدر","صالح")))))</x:f>
      </x:c>
    </x:row>
    <x:row r="270">
      <x:c r="A270" s="79"/>
      <x:c r="B270" s="80"/>
      <x:c r="C270" s="87" t="str">
        <x:f>IFERROR(VLOOKUP(B270,'مراجع الوصفات'!$A$2:$D$79,2,FALSE),"")</x:f>
      </x:c>
      <x:c r="D270" s="80"/>
      <x:c r="E270" s="87" t="str">
        <x:f>IFERROR(VLOOKUP(D270,'مراجع الوصفات'!$F$2:$I$253,2,FALSE),"")</x:f>
      </x:c>
      <x:c r="F270" s="83"/>
      <x:c r="G270" s="80"/>
      <x:c r="H270" s="87" t="str">
        <x:f>IFERROR(VLOOKUP(D270,'مراجع الوصفات'!$F$2:$I$253,3,FALSE),"")</x:f>
      </x:c>
      <x:c r="I270" s="89" t="str">
        <x:f>IF(OR(F270="",G270="",H270=""),"",IF(G270=H270,F270,IF(AND(G270="غ",H270="كغ"),F270/1000,IF(AND(G270="كغ",H270="غ"),F270*1000,IF(AND(G270="مل",H270="لتر"),F270/1000,IF(AND(G270="لتر",H270="مل"),F270*1000,"خطأ وحدة"))))))</x:f>
      </x:c>
      <x:c r="J270" s="85"/>
      <x:c r="K270" s="80"/>
      <x:c r="L270" s="91" t="str">
        <x:f>IFERROR(VLOOKUP(D270,'مراجع الوصفات'!$F$2:$I$253,4,FALSE),"")</x:f>
      </x:c>
      <x:c r="M270" s="91" t="str">
        <x:f>IF(OR(I270="",NOT(ISNUMBER(I270)),L270=""),"",I270*L270*(1+J270/100))</x:f>
      </x:c>
      <x:c r="N270" s="80"/>
      <x:c r="O270" s="93" t="str">
        <x:f>IF(AND(B270="",D270="",F270=""),"",IF(A270="تجاهل","تجاهل",IF(OR(B270="",D270="",F270="",G270="",H270=""),"ناقص",IF(NOT(ISNUMBER(I270)),"خطأ وحدة",IF(OR(J270&lt;0,J270&gt;100),"خطأ هدر","صالح")))))</x:f>
      </x:c>
    </x:row>
    <x:row r="271">
      <x:c r="A271" s="79"/>
      <x:c r="B271" s="80"/>
      <x:c r="C271" s="87" t="str">
        <x:f>IFERROR(VLOOKUP(B271,'مراجع الوصفات'!$A$2:$D$79,2,FALSE),"")</x:f>
      </x:c>
      <x:c r="D271" s="80"/>
      <x:c r="E271" s="87" t="str">
        <x:f>IFERROR(VLOOKUP(D271,'مراجع الوصفات'!$F$2:$I$253,2,FALSE),"")</x:f>
      </x:c>
      <x:c r="F271" s="83"/>
      <x:c r="G271" s="80"/>
      <x:c r="H271" s="87" t="str">
        <x:f>IFERROR(VLOOKUP(D271,'مراجع الوصفات'!$F$2:$I$253,3,FALSE),"")</x:f>
      </x:c>
      <x:c r="I271" s="89" t="str">
        <x:f>IF(OR(F271="",G271="",H271=""),"",IF(G271=H271,F271,IF(AND(G271="غ",H271="كغ"),F271/1000,IF(AND(G271="كغ",H271="غ"),F271*1000,IF(AND(G271="مل",H271="لتر"),F271/1000,IF(AND(G271="لتر",H271="مل"),F271*1000,"خطأ وحدة"))))))</x:f>
      </x:c>
      <x:c r="J271" s="85"/>
      <x:c r="K271" s="80"/>
      <x:c r="L271" s="91" t="str">
        <x:f>IFERROR(VLOOKUP(D271,'مراجع الوصفات'!$F$2:$I$253,4,FALSE),"")</x:f>
      </x:c>
      <x:c r="M271" s="91" t="str">
        <x:f>IF(OR(I271="",NOT(ISNUMBER(I271)),L271=""),"",I271*L271*(1+J271/100))</x:f>
      </x:c>
      <x:c r="N271" s="80"/>
      <x:c r="O271" s="93" t="str">
        <x:f>IF(AND(B271="",D271="",F271=""),"",IF(A271="تجاهل","تجاهل",IF(OR(B271="",D271="",F271="",G271="",H271=""),"ناقص",IF(NOT(ISNUMBER(I271)),"خطأ وحدة",IF(OR(J271&lt;0,J271&gt;100),"خطأ هدر","صالح")))))</x:f>
      </x:c>
    </x:row>
    <x:row r="272">
      <x:c r="A272" s="79"/>
      <x:c r="B272" s="80"/>
      <x:c r="C272" s="87" t="str">
        <x:f>IFERROR(VLOOKUP(B272,'مراجع الوصفات'!$A$2:$D$79,2,FALSE),"")</x:f>
      </x:c>
      <x:c r="D272" s="80"/>
      <x:c r="E272" s="87" t="str">
        <x:f>IFERROR(VLOOKUP(D272,'مراجع الوصفات'!$F$2:$I$253,2,FALSE),"")</x:f>
      </x:c>
      <x:c r="F272" s="83"/>
      <x:c r="G272" s="80"/>
      <x:c r="H272" s="87" t="str">
        <x:f>IFERROR(VLOOKUP(D272,'مراجع الوصفات'!$F$2:$I$253,3,FALSE),"")</x:f>
      </x:c>
      <x:c r="I272" s="89" t="str">
        <x:f>IF(OR(F272="",G272="",H272=""),"",IF(G272=H272,F272,IF(AND(G272="غ",H272="كغ"),F272/1000,IF(AND(G272="كغ",H272="غ"),F272*1000,IF(AND(G272="مل",H272="لتر"),F272/1000,IF(AND(G272="لتر",H272="مل"),F272*1000,"خطأ وحدة"))))))</x:f>
      </x:c>
      <x:c r="J272" s="85"/>
      <x:c r="K272" s="80"/>
      <x:c r="L272" s="91" t="str">
        <x:f>IFERROR(VLOOKUP(D272,'مراجع الوصفات'!$F$2:$I$253,4,FALSE),"")</x:f>
      </x:c>
      <x:c r="M272" s="91" t="str">
        <x:f>IF(OR(I272="",NOT(ISNUMBER(I272)),L272=""),"",I272*L272*(1+J272/100))</x:f>
      </x:c>
      <x:c r="N272" s="80"/>
      <x:c r="O272" s="93" t="str">
        <x:f>IF(AND(B272="",D272="",F272=""),"",IF(A272="تجاهل","تجاهل",IF(OR(B272="",D272="",F272="",G272="",H272=""),"ناقص",IF(NOT(ISNUMBER(I272)),"خطأ وحدة",IF(OR(J272&lt;0,J272&gt;100),"خطأ هدر","صالح")))))</x:f>
      </x:c>
    </x:row>
    <x:row r="273">
      <x:c r="A273" s="79"/>
      <x:c r="B273" s="80"/>
      <x:c r="C273" s="87" t="str">
        <x:f>IFERROR(VLOOKUP(B273,'مراجع الوصفات'!$A$2:$D$79,2,FALSE),"")</x:f>
      </x:c>
      <x:c r="D273" s="80"/>
      <x:c r="E273" s="87" t="str">
        <x:f>IFERROR(VLOOKUP(D273,'مراجع الوصفات'!$F$2:$I$253,2,FALSE),"")</x:f>
      </x:c>
      <x:c r="F273" s="83"/>
      <x:c r="G273" s="80"/>
      <x:c r="H273" s="87" t="str">
        <x:f>IFERROR(VLOOKUP(D273,'مراجع الوصفات'!$F$2:$I$253,3,FALSE),"")</x:f>
      </x:c>
      <x:c r="I273" s="89" t="str">
        <x:f>IF(OR(F273="",G273="",H273=""),"",IF(G273=H273,F273,IF(AND(G273="غ",H273="كغ"),F273/1000,IF(AND(G273="كغ",H273="غ"),F273*1000,IF(AND(G273="مل",H273="لتر"),F273/1000,IF(AND(G273="لتر",H273="مل"),F273*1000,"خطأ وحدة"))))))</x:f>
      </x:c>
      <x:c r="J273" s="85"/>
      <x:c r="K273" s="80"/>
      <x:c r="L273" s="91" t="str">
        <x:f>IFERROR(VLOOKUP(D273,'مراجع الوصفات'!$F$2:$I$253,4,FALSE),"")</x:f>
      </x:c>
      <x:c r="M273" s="91" t="str">
        <x:f>IF(OR(I273="",NOT(ISNUMBER(I273)),L273=""),"",I273*L273*(1+J273/100))</x:f>
      </x:c>
      <x:c r="N273" s="80"/>
      <x:c r="O273" s="93" t="str">
        <x:f>IF(AND(B273="",D273="",F273=""),"",IF(A273="تجاهل","تجاهل",IF(OR(B273="",D273="",F273="",G273="",H273=""),"ناقص",IF(NOT(ISNUMBER(I273)),"خطأ وحدة",IF(OR(J273&lt;0,J273&gt;100),"خطأ هدر","صالح")))))</x:f>
      </x:c>
    </x:row>
    <x:row r="274">
      <x:c r="A274" s="79"/>
      <x:c r="B274" s="80"/>
      <x:c r="C274" s="87" t="str">
        <x:f>IFERROR(VLOOKUP(B274,'مراجع الوصفات'!$A$2:$D$79,2,FALSE),"")</x:f>
      </x:c>
      <x:c r="D274" s="80"/>
      <x:c r="E274" s="87" t="str">
        <x:f>IFERROR(VLOOKUP(D274,'مراجع الوصفات'!$F$2:$I$253,2,FALSE),"")</x:f>
      </x:c>
      <x:c r="F274" s="83"/>
      <x:c r="G274" s="80"/>
      <x:c r="H274" s="87" t="str">
        <x:f>IFERROR(VLOOKUP(D274,'مراجع الوصفات'!$F$2:$I$253,3,FALSE),"")</x:f>
      </x:c>
      <x:c r="I274" s="89" t="str">
        <x:f>IF(OR(F274="",G274="",H274=""),"",IF(G274=H274,F274,IF(AND(G274="غ",H274="كغ"),F274/1000,IF(AND(G274="كغ",H274="غ"),F274*1000,IF(AND(G274="مل",H274="لتر"),F274/1000,IF(AND(G274="لتر",H274="مل"),F274*1000,"خطأ وحدة"))))))</x:f>
      </x:c>
      <x:c r="J274" s="85"/>
      <x:c r="K274" s="80"/>
      <x:c r="L274" s="91" t="str">
        <x:f>IFERROR(VLOOKUP(D274,'مراجع الوصفات'!$F$2:$I$253,4,FALSE),"")</x:f>
      </x:c>
      <x:c r="M274" s="91" t="str">
        <x:f>IF(OR(I274="",NOT(ISNUMBER(I274)),L274=""),"",I274*L274*(1+J274/100))</x:f>
      </x:c>
      <x:c r="N274" s="80"/>
      <x:c r="O274" s="93" t="str">
        <x:f>IF(AND(B274="",D274="",F274=""),"",IF(A274="تجاهل","تجاهل",IF(OR(B274="",D274="",F274="",G274="",H274=""),"ناقص",IF(NOT(ISNUMBER(I274)),"خطأ وحدة",IF(OR(J274&lt;0,J274&gt;100),"خطأ هدر","صالح")))))</x:f>
      </x:c>
    </x:row>
    <x:row r="275">
      <x:c r="A275" s="79"/>
      <x:c r="B275" s="80"/>
      <x:c r="C275" s="87" t="str">
        <x:f>IFERROR(VLOOKUP(B275,'مراجع الوصفات'!$A$2:$D$79,2,FALSE),"")</x:f>
      </x:c>
      <x:c r="D275" s="80"/>
      <x:c r="E275" s="87" t="str">
        <x:f>IFERROR(VLOOKUP(D275,'مراجع الوصفات'!$F$2:$I$253,2,FALSE),"")</x:f>
      </x:c>
      <x:c r="F275" s="83"/>
      <x:c r="G275" s="80"/>
      <x:c r="H275" s="87" t="str">
        <x:f>IFERROR(VLOOKUP(D275,'مراجع الوصفات'!$F$2:$I$253,3,FALSE),"")</x:f>
      </x:c>
      <x:c r="I275" s="89" t="str">
        <x:f>IF(OR(F275="",G275="",H275=""),"",IF(G275=H275,F275,IF(AND(G275="غ",H275="كغ"),F275/1000,IF(AND(G275="كغ",H275="غ"),F275*1000,IF(AND(G275="مل",H275="لتر"),F275/1000,IF(AND(G275="لتر",H275="مل"),F275*1000,"خطأ وحدة"))))))</x:f>
      </x:c>
      <x:c r="J275" s="85"/>
      <x:c r="K275" s="80"/>
      <x:c r="L275" s="91" t="str">
        <x:f>IFERROR(VLOOKUP(D275,'مراجع الوصفات'!$F$2:$I$253,4,FALSE),"")</x:f>
      </x:c>
      <x:c r="M275" s="91" t="str">
        <x:f>IF(OR(I275="",NOT(ISNUMBER(I275)),L275=""),"",I275*L275*(1+J275/100))</x:f>
      </x:c>
      <x:c r="N275" s="80"/>
      <x:c r="O275" s="93" t="str">
        <x:f>IF(AND(B275="",D275="",F275=""),"",IF(A275="تجاهل","تجاهل",IF(OR(B275="",D275="",F275="",G275="",H275=""),"ناقص",IF(NOT(ISNUMBER(I275)),"خطأ وحدة",IF(OR(J275&lt;0,J275&gt;100),"خطأ هدر","صالح")))))</x:f>
      </x:c>
    </x:row>
    <x:row r="276">
      <x:c r="A276" s="79"/>
      <x:c r="B276" s="80"/>
      <x:c r="C276" s="87" t="str">
        <x:f>IFERROR(VLOOKUP(B276,'مراجع الوصفات'!$A$2:$D$79,2,FALSE),"")</x:f>
      </x:c>
      <x:c r="D276" s="80"/>
      <x:c r="E276" s="87" t="str">
        <x:f>IFERROR(VLOOKUP(D276,'مراجع الوصفات'!$F$2:$I$253,2,FALSE),"")</x:f>
      </x:c>
      <x:c r="F276" s="83"/>
      <x:c r="G276" s="80"/>
      <x:c r="H276" s="87" t="str">
        <x:f>IFERROR(VLOOKUP(D276,'مراجع الوصفات'!$F$2:$I$253,3,FALSE),"")</x:f>
      </x:c>
      <x:c r="I276" s="89" t="str">
        <x:f>IF(OR(F276="",G276="",H276=""),"",IF(G276=H276,F276,IF(AND(G276="غ",H276="كغ"),F276/1000,IF(AND(G276="كغ",H276="غ"),F276*1000,IF(AND(G276="مل",H276="لتر"),F276/1000,IF(AND(G276="لتر",H276="مل"),F276*1000,"خطأ وحدة"))))))</x:f>
      </x:c>
      <x:c r="J276" s="85"/>
      <x:c r="K276" s="80"/>
      <x:c r="L276" s="91" t="str">
        <x:f>IFERROR(VLOOKUP(D276,'مراجع الوصفات'!$F$2:$I$253,4,FALSE),"")</x:f>
      </x:c>
      <x:c r="M276" s="91" t="str">
        <x:f>IF(OR(I276="",NOT(ISNUMBER(I276)),L276=""),"",I276*L276*(1+J276/100))</x:f>
      </x:c>
      <x:c r="N276" s="80"/>
      <x:c r="O276" s="93" t="str">
        <x:f>IF(AND(B276="",D276="",F276=""),"",IF(A276="تجاهل","تجاهل",IF(OR(B276="",D276="",F276="",G276="",H276=""),"ناقص",IF(NOT(ISNUMBER(I276)),"خطأ وحدة",IF(OR(J276&lt;0,J276&gt;100),"خطأ هدر","صالح")))))</x:f>
      </x:c>
    </x:row>
    <x:row r="277">
      <x:c r="A277" s="79"/>
      <x:c r="B277" s="80"/>
      <x:c r="C277" s="87" t="str">
        <x:f>IFERROR(VLOOKUP(B277,'مراجع الوصفات'!$A$2:$D$79,2,FALSE),"")</x:f>
      </x:c>
      <x:c r="D277" s="80"/>
      <x:c r="E277" s="87" t="str">
        <x:f>IFERROR(VLOOKUP(D277,'مراجع الوصفات'!$F$2:$I$253,2,FALSE),"")</x:f>
      </x:c>
      <x:c r="F277" s="83"/>
      <x:c r="G277" s="80"/>
      <x:c r="H277" s="87" t="str">
        <x:f>IFERROR(VLOOKUP(D277,'مراجع الوصفات'!$F$2:$I$253,3,FALSE),"")</x:f>
      </x:c>
      <x:c r="I277" s="89" t="str">
        <x:f>IF(OR(F277="",G277="",H277=""),"",IF(G277=H277,F277,IF(AND(G277="غ",H277="كغ"),F277/1000,IF(AND(G277="كغ",H277="غ"),F277*1000,IF(AND(G277="مل",H277="لتر"),F277/1000,IF(AND(G277="لتر",H277="مل"),F277*1000,"خطأ وحدة"))))))</x:f>
      </x:c>
      <x:c r="J277" s="85"/>
      <x:c r="K277" s="80"/>
      <x:c r="L277" s="91" t="str">
        <x:f>IFERROR(VLOOKUP(D277,'مراجع الوصفات'!$F$2:$I$253,4,FALSE),"")</x:f>
      </x:c>
      <x:c r="M277" s="91" t="str">
        <x:f>IF(OR(I277="",NOT(ISNUMBER(I277)),L277=""),"",I277*L277*(1+J277/100))</x:f>
      </x:c>
      <x:c r="N277" s="80"/>
      <x:c r="O277" s="93" t="str">
        <x:f>IF(AND(B277="",D277="",F277=""),"",IF(A277="تجاهل","تجاهل",IF(OR(B277="",D277="",F277="",G277="",H277=""),"ناقص",IF(NOT(ISNUMBER(I277)),"خطأ وحدة",IF(OR(J277&lt;0,J277&gt;100),"خطأ هدر","صالح")))))</x:f>
      </x:c>
    </x:row>
    <x:row r="278">
      <x:c r="A278" s="79"/>
      <x:c r="B278" s="80"/>
      <x:c r="C278" s="87" t="str">
        <x:f>IFERROR(VLOOKUP(B278,'مراجع الوصفات'!$A$2:$D$79,2,FALSE),"")</x:f>
      </x:c>
      <x:c r="D278" s="80"/>
      <x:c r="E278" s="87" t="str">
        <x:f>IFERROR(VLOOKUP(D278,'مراجع الوصفات'!$F$2:$I$253,2,FALSE),"")</x:f>
      </x:c>
      <x:c r="F278" s="83"/>
      <x:c r="G278" s="80"/>
      <x:c r="H278" s="87" t="str">
        <x:f>IFERROR(VLOOKUP(D278,'مراجع الوصفات'!$F$2:$I$253,3,FALSE),"")</x:f>
      </x:c>
      <x:c r="I278" s="89" t="str">
        <x:f>IF(OR(F278="",G278="",H278=""),"",IF(G278=H278,F278,IF(AND(G278="غ",H278="كغ"),F278/1000,IF(AND(G278="كغ",H278="غ"),F278*1000,IF(AND(G278="مل",H278="لتر"),F278/1000,IF(AND(G278="لتر",H278="مل"),F278*1000,"خطأ وحدة"))))))</x:f>
      </x:c>
      <x:c r="J278" s="85"/>
      <x:c r="K278" s="80"/>
      <x:c r="L278" s="91" t="str">
        <x:f>IFERROR(VLOOKUP(D278,'مراجع الوصفات'!$F$2:$I$253,4,FALSE),"")</x:f>
      </x:c>
      <x:c r="M278" s="91" t="str">
        <x:f>IF(OR(I278="",NOT(ISNUMBER(I278)),L278=""),"",I278*L278*(1+J278/100))</x:f>
      </x:c>
      <x:c r="N278" s="80"/>
      <x:c r="O278" s="93" t="str">
        <x:f>IF(AND(B278="",D278="",F278=""),"",IF(A278="تجاهل","تجاهل",IF(OR(B278="",D278="",F278="",G278="",H278=""),"ناقص",IF(NOT(ISNUMBER(I278)),"خطأ وحدة",IF(OR(J278&lt;0,J278&gt;100),"خطأ هدر","صالح")))))</x:f>
      </x:c>
    </x:row>
    <x:row r="279">
      <x:c r="A279" s="79"/>
      <x:c r="B279" s="80"/>
      <x:c r="C279" s="87" t="str">
        <x:f>IFERROR(VLOOKUP(B279,'مراجع الوصفات'!$A$2:$D$79,2,FALSE),"")</x:f>
      </x:c>
      <x:c r="D279" s="80"/>
      <x:c r="E279" s="87" t="str">
        <x:f>IFERROR(VLOOKUP(D279,'مراجع الوصفات'!$F$2:$I$253,2,FALSE),"")</x:f>
      </x:c>
      <x:c r="F279" s="83"/>
      <x:c r="G279" s="80"/>
      <x:c r="H279" s="87" t="str">
        <x:f>IFERROR(VLOOKUP(D279,'مراجع الوصفات'!$F$2:$I$253,3,FALSE),"")</x:f>
      </x:c>
      <x:c r="I279" s="89" t="str">
        <x:f>IF(OR(F279="",G279="",H279=""),"",IF(G279=H279,F279,IF(AND(G279="غ",H279="كغ"),F279/1000,IF(AND(G279="كغ",H279="غ"),F279*1000,IF(AND(G279="مل",H279="لتر"),F279/1000,IF(AND(G279="لتر",H279="مل"),F279*1000,"خطأ وحدة"))))))</x:f>
      </x:c>
      <x:c r="J279" s="85"/>
      <x:c r="K279" s="80"/>
      <x:c r="L279" s="91" t="str">
        <x:f>IFERROR(VLOOKUP(D279,'مراجع الوصفات'!$F$2:$I$253,4,FALSE),"")</x:f>
      </x:c>
      <x:c r="M279" s="91" t="str">
        <x:f>IF(OR(I279="",NOT(ISNUMBER(I279)),L279=""),"",I279*L279*(1+J279/100))</x:f>
      </x:c>
      <x:c r="N279" s="80"/>
      <x:c r="O279" s="93" t="str">
        <x:f>IF(AND(B279="",D279="",F279=""),"",IF(A279="تجاهل","تجاهل",IF(OR(B279="",D279="",F279="",G279="",H279=""),"ناقص",IF(NOT(ISNUMBER(I279)),"خطأ وحدة",IF(OR(J279&lt;0,J279&gt;100),"خطأ هدر","صالح")))))</x:f>
      </x:c>
    </x:row>
    <x:row r="280">
      <x:c r="A280" s="79"/>
      <x:c r="B280" s="80"/>
      <x:c r="C280" s="87" t="str">
        <x:f>IFERROR(VLOOKUP(B280,'مراجع الوصفات'!$A$2:$D$79,2,FALSE),"")</x:f>
      </x:c>
      <x:c r="D280" s="80"/>
      <x:c r="E280" s="87" t="str">
        <x:f>IFERROR(VLOOKUP(D280,'مراجع الوصفات'!$F$2:$I$253,2,FALSE),"")</x:f>
      </x:c>
      <x:c r="F280" s="83"/>
      <x:c r="G280" s="80"/>
      <x:c r="H280" s="87" t="str">
        <x:f>IFERROR(VLOOKUP(D280,'مراجع الوصفات'!$F$2:$I$253,3,FALSE),"")</x:f>
      </x:c>
      <x:c r="I280" s="89" t="str">
        <x:f>IF(OR(F280="",G280="",H280=""),"",IF(G280=H280,F280,IF(AND(G280="غ",H280="كغ"),F280/1000,IF(AND(G280="كغ",H280="غ"),F280*1000,IF(AND(G280="مل",H280="لتر"),F280/1000,IF(AND(G280="لتر",H280="مل"),F280*1000,"خطأ وحدة"))))))</x:f>
      </x:c>
      <x:c r="J280" s="85"/>
      <x:c r="K280" s="80"/>
      <x:c r="L280" s="91" t="str">
        <x:f>IFERROR(VLOOKUP(D280,'مراجع الوصفات'!$F$2:$I$253,4,FALSE),"")</x:f>
      </x:c>
      <x:c r="M280" s="91" t="str">
        <x:f>IF(OR(I280="",NOT(ISNUMBER(I280)),L280=""),"",I280*L280*(1+J280/100))</x:f>
      </x:c>
      <x:c r="N280" s="80"/>
      <x:c r="O280" s="93" t="str">
        <x:f>IF(AND(B280="",D280="",F280=""),"",IF(A280="تجاهل","تجاهل",IF(OR(B280="",D280="",F280="",G280="",H280=""),"ناقص",IF(NOT(ISNUMBER(I280)),"خطأ وحدة",IF(OR(J280&lt;0,J280&gt;100),"خطأ هدر","صالح")))))</x:f>
      </x:c>
    </x:row>
    <x:row r="281">
      <x:c r="A281" s="79"/>
      <x:c r="B281" s="80"/>
      <x:c r="C281" s="87" t="str">
        <x:f>IFERROR(VLOOKUP(B281,'مراجع الوصفات'!$A$2:$D$79,2,FALSE),"")</x:f>
      </x:c>
      <x:c r="D281" s="80"/>
      <x:c r="E281" s="87" t="str">
        <x:f>IFERROR(VLOOKUP(D281,'مراجع الوصفات'!$F$2:$I$253,2,FALSE),"")</x:f>
      </x:c>
      <x:c r="F281" s="83"/>
      <x:c r="G281" s="80"/>
      <x:c r="H281" s="87" t="str">
        <x:f>IFERROR(VLOOKUP(D281,'مراجع الوصفات'!$F$2:$I$253,3,FALSE),"")</x:f>
      </x:c>
      <x:c r="I281" s="89" t="str">
        <x:f>IF(OR(F281="",G281="",H281=""),"",IF(G281=H281,F281,IF(AND(G281="غ",H281="كغ"),F281/1000,IF(AND(G281="كغ",H281="غ"),F281*1000,IF(AND(G281="مل",H281="لتر"),F281/1000,IF(AND(G281="لتر",H281="مل"),F281*1000,"خطأ وحدة"))))))</x:f>
      </x:c>
      <x:c r="J281" s="85"/>
      <x:c r="K281" s="80"/>
      <x:c r="L281" s="91" t="str">
        <x:f>IFERROR(VLOOKUP(D281,'مراجع الوصفات'!$F$2:$I$253,4,FALSE),"")</x:f>
      </x:c>
      <x:c r="M281" s="91" t="str">
        <x:f>IF(OR(I281="",NOT(ISNUMBER(I281)),L281=""),"",I281*L281*(1+J281/100))</x:f>
      </x:c>
      <x:c r="N281" s="80"/>
      <x:c r="O281" s="93" t="str">
        <x:f>IF(AND(B281="",D281="",F281=""),"",IF(A281="تجاهل","تجاهل",IF(OR(B281="",D281="",F281="",G281="",H281=""),"ناقص",IF(NOT(ISNUMBER(I281)),"خطأ وحدة",IF(OR(J281&lt;0,J281&gt;100),"خطأ هدر","صالح")))))</x:f>
      </x:c>
    </x:row>
    <x:row r="282">
      <x:c r="A282" s="79"/>
      <x:c r="B282" s="80"/>
      <x:c r="C282" s="87" t="str">
        <x:f>IFERROR(VLOOKUP(B282,'مراجع الوصفات'!$A$2:$D$79,2,FALSE),"")</x:f>
      </x:c>
      <x:c r="D282" s="80"/>
      <x:c r="E282" s="87" t="str">
        <x:f>IFERROR(VLOOKUP(D282,'مراجع الوصفات'!$F$2:$I$253,2,FALSE),"")</x:f>
      </x:c>
      <x:c r="F282" s="83"/>
      <x:c r="G282" s="80"/>
      <x:c r="H282" s="87" t="str">
        <x:f>IFERROR(VLOOKUP(D282,'مراجع الوصفات'!$F$2:$I$253,3,FALSE),"")</x:f>
      </x:c>
      <x:c r="I282" s="89" t="str">
        <x:f>IF(OR(F282="",G282="",H282=""),"",IF(G282=H282,F282,IF(AND(G282="غ",H282="كغ"),F282/1000,IF(AND(G282="كغ",H282="غ"),F282*1000,IF(AND(G282="مل",H282="لتر"),F282/1000,IF(AND(G282="لتر",H282="مل"),F282*1000,"خطأ وحدة"))))))</x:f>
      </x:c>
      <x:c r="J282" s="85"/>
      <x:c r="K282" s="80"/>
      <x:c r="L282" s="91" t="str">
        <x:f>IFERROR(VLOOKUP(D282,'مراجع الوصفات'!$F$2:$I$253,4,FALSE),"")</x:f>
      </x:c>
      <x:c r="M282" s="91" t="str">
        <x:f>IF(OR(I282="",NOT(ISNUMBER(I282)),L282=""),"",I282*L282*(1+J282/100))</x:f>
      </x:c>
      <x:c r="N282" s="80"/>
      <x:c r="O282" s="93" t="str">
        <x:f>IF(AND(B282="",D282="",F282=""),"",IF(A282="تجاهل","تجاهل",IF(OR(B282="",D282="",F282="",G282="",H282=""),"ناقص",IF(NOT(ISNUMBER(I282)),"خطأ وحدة",IF(OR(J282&lt;0,J282&gt;100),"خطأ هدر","صالح")))))</x:f>
      </x:c>
    </x:row>
    <x:row r="283">
      <x:c r="A283" s="79"/>
      <x:c r="B283" s="80"/>
      <x:c r="C283" s="87" t="str">
        <x:f>IFERROR(VLOOKUP(B283,'مراجع الوصفات'!$A$2:$D$79,2,FALSE),"")</x:f>
      </x:c>
      <x:c r="D283" s="80"/>
      <x:c r="E283" s="87" t="str">
        <x:f>IFERROR(VLOOKUP(D283,'مراجع الوصفات'!$F$2:$I$253,2,FALSE),"")</x:f>
      </x:c>
      <x:c r="F283" s="83"/>
      <x:c r="G283" s="80"/>
      <x:c r="H283" s="87" t="str">
        <x:f>IFERROR(VLOOKUP(D283,'مراجع الوصفات'!$F$2:$I$253,3,FALSE),"")</x:f>
      </x:c>
      <x:c r="I283" s="89" t="str">
        <x:f>IF(OR(F283="",G283="",H283=""),"",IF(G283=H283,F283,IF(AND(G283="غ",H283="كغ"),F283/1000,IF(AND(G283="كغ",H283="غ"),F283*1000,IF(AND(G283="مل",H283="لتر"),F283/1000,IF(AND(G283="لتر",H283="مل"),F283*1000,"خطأ وحدة"))))))</x:f>
      </x:c>
      <x:c r="J283" s="85"/>
      <x:c r="K283" s="80"/>
      <x:c r="L283" s="91" t="str">
        <x:f>IFERROR(VLOOKUP(D283,'مراجع الوصفات'!$F$2:$I$253,4,FALSE),"")</x:f>
      </x:c>
      <x:c r="M283" s="91" t="str">
        <x:f>IF(OR(I283="",NOT(ISNUMBER(I283)),L283=""),"",I283*L283*(1+J283/100))</x:f>
      </x:c>
      <x:c r="N283" s="80"/>
      <x:c r="O283" s="93" t="str">
        <x:f>IF(AND(B283="",D283="",F283=""),"",IF(A283="تجاهل","تجاهل",IF(OR(B283="",D283="",F283="",G283="",H283=""),"ناقص",IF(NOT(ISNUMBER(I283)),"خطأ وحدة",IF(OR(J283&lt;0,J283&gt;100),"خطأ هدر","صالح")))))</x:f>
      </x:c>
    </x:row>
    <x:row r="284">
      <x:c r="A284" s="79"/>
      <x:c r="B284" s="80"/>
      <x:c r="C284" s="87" t="str">
        <x:f>IFERROR(VLOOKUP(B284,'مراجع الوصفات'!$A$2:$D$79,2,FALSE),"")</x:f>
      </x:c>
      <x:c r="D284" s="80"/>
      <x:c r="E284" s="87" t="str">
        <x:f>IFERROR(VLOOKUP(D284,'مراجع الوصفات'!$F$2:$I$253,2,FALSE),"")</x:f>
      </x:c>
      <x:c r="F284" s="83"/>
      <x:c r="G284" s="80"/>
      <x:c r="H284" s="87" t="str">
        <x:f>IFERROR(VLOOKUP(D284,'مراجع الوصفات'!$F$2:$I$253,3,FALSE),"")</x:f>
      </x:c>
      <x:c r="I284" s="89" t="str">
        <x:f>IF(OR(F284="",G284="",H284=""),"",IF(G284=H284,F284,IF(AND(G284="غ",H284="كغ"),F284/1000,IF(AND(G284="كغ",H284="غ"),F284*1000,IF(AND(G284="مل",H284="لتر"),F284/1000,IF(AND(G284="لتر",H284="مل"),F284*1000,"خطأ وحدة"))))))</x:f>
      </x:c>
      <x:c r="J284" s="85"/>
      <x:c r="K284" s="80"/>
      <x:c r="L284" s="91" t="str">
        <x:f>IFERROR(VLOOKUP(D284,'مراجع الوصفات'!$F$2:$I$253,4,FALSE),"")</x:f>
      </x:c>
      <x:c r="M284" s="91" t="str">
        <x:f>IF(OR(I284="",NOT(ISNUMBER(I284)),L284=""),"",I284*L284*(1+J284/100))</x:f>
      </x:c>
      <x:c r="N284" s="80"/>
      <x:c r="O284" s="93" t="str">
        <x:f>IF(AND(B284="",D284="",F284=""),"",IF(A284="تجاهل","تجاهل",IF(OR(B284="",D284="",F284="",G284="",H284=""),"ناقص",IF(NOT(ISNUMBER(I284)),"خطأ وحدة",IF(OR(J284&lt;0,J284&gt;100),"خطأ هدر","صالح")))))</x:f>
      </x:c>
    </x:row>
    <x:row r="285">
      <x:c r="A285" s="79"/>
      <x:c r="B285" s="80"/>
      <x:c r="C285" s="87" t="str">
        <x:f>IFERROR(VLOOKUP(B285,'مراجع الوصفات'!$A$2:$D$79,2,FALSE),"")</x:f>
      </x:c>
      <x:c r="D285" s="80"/>
      <x:c r="E285" s="87" t="str">
        <x:f>IFERROR(VLOOKUP(D285,'مراجع الوصفات'!$F$2:$I$253,2,FALSE),"")</x:f>
      </x:c>
      <x:c r="F285" s="83"/>
      <x:c r="G285" s="80"/>
      <x:c r="H285" s="87" t="str">
        <x:f>IFERROR(VLOOKUP(D285,'مراجع الوصفات'!$F$2:$I$253,3,FALSE),"")</x:f>
      </x:c>
      <x:c r="I285" s="89" t="str">
        <x:f>IF(OR(F285="",G285="",H285=""),"",IF(G285=H285,F285,IF(AND(G285="غ",H285="كغ"),F285/1000,IF(AND(G285="كغ",H285="غ"),F285*1000,IF(AND(G285="مل",H285="لتر"),F285/1000,IF(AND(G285="لتر",H285="مل"),F285*1000,"خطأ وحدة"))))))</x:f>
      </x:c>
      <x:c r="J285" s="85"/>
      <x:c r="K285" s="80"/>
      <x:c r="L285" s="91" t="str">
        <x:f>IFERROR(VLOOKUP(D285,'مراجع الوصفات'!$F$2:$I$253,4,FALSE),"")</x:f>
      </x:c>
      <x:c r="M285" s="91" t="str">
        <x:f>IF(OR(I285="",NOT(ISNUMBER(I285)),L285=""),"",I285*L285*(1+J285/100))</x:f>
      </x:c>
      <x:c r="N285" s="80"/>
      <x:c r="O285" s="93" t="str">
        <x:f>IF(AND(B285="",D285="",F285=""),"",IF(A285="تجاهل","تجاهل",IF(OR(B285="",D285="",F285="",G285="",H285=""),"ناقص",IF(NOT(ISNUMBER(I285)),"خطأ وحدة",IF(OR(J285&lt;0,J285&gt;100),"خطأ هدر","صالح")))))</x:f>
      </x:c>
    </x:row>
    <x:row r="286">
      <x:c r="A286" s="79"/>
      <x:c r="B286" s="80"/>
      <x:c r="C286" s="87" t="str">
        <x:f>IFERROR(VLOOKUP(B286,'مراجع الوصفات'!$A$2:$D$79,2,FALSE),"")</x:f>
      </x:c>
      <x:c r="D286" s="80"/>
      <x:c r="E286" s="87" t="str">
        <x:f>IFERROR(VLOOKUP(D286,'مراجع الوصفات'!$F$2:$I$253,2,FALSE),"")</x:f>
      </x:c>
      <x:c r="F286" s="83"/>
      <x:c r="G286" s="80"/>
      <x:c r="H286" s="87" t="str">
        <x:f>IFERROR(VLOOKUP(D286,'مراجع الوصفات'!$F$2:$I$253,3,FALSE),"")</x:f>
      </x:c>
      <x:c r="I286" s="89" t="str">
        <x:f>IF(OR(F286="",G286="",H286=""),"",IF(G286=H286,F286,IF(AND(G286="غ",H286="كغ"),F286/1000,IF(AND(G286="كغ",H286="غ"),F286*1000,IF(AND(G286="مل",H286="لتر"),F286/1000,IF(AND(G286="لتر",H286="مل"),F286*1000,"خطأ وحدة"))))))</x:f>
      </x:c>
      <x:c r="J286" s="85"/>
      <x:c r="K286" s="80"/>
      <x:c r="L286" s="91" t="str">
        <x:f>IFERROR(VLOOKUP(D286,'مراجع الوصفات'!$F$2:$I$253,4,FALSE),"")</x:f>
      </x:c>
      <x:c r="M286" s="91" t="str">
        <x:f>IF(OR(I286="",NOT(ISNUMBER(I286)),L286=""),"",I286*L286*(1+J286/100))</x:f>
      </x:c>
      <x:c r="N286" s="80"/>
      <x:c r="O286" s="93" t="str">
        <x:f>IF(AND(B286="",D286="",F286=""),"",IF(A286="تجاهل","تجاهل",IF(OR(B286="",D286="",F286="",G286="",H286=""),"ناقص",IF(NOT(ISNUMBER(I286)),"خطأ وحدة",IF(OR(J286&lt;0,J286&gt;100),"خطأ هدر","صالح")))))</x:f>
      </x:c>
    </x:row>
    <x:row r="287">
      <x:c r="A287" s="79"/>
      <x:c r="B287" s="80"/>
      <x:c r="C287" s="87" t="str">
        <x:f>IFERROR(VLOOKUP(B287,'مراجع الوصفات'!$A$2:$D$79,2,FALSE),"")</x:f>
      </x:c>
      <x:c r="D287" s="80"/>
      <x:c r="E287" s="87" t="str">
        <x:f>IFERROR(VLOOKUP(D287,'مراجع الوصفات'!$F$2:$I$253,2,FALSE),"")</x:f>
      </x:c>
      <x:c r="F287" s="83"/>
      <x:c r="G287" s="80"/>
      <x:c r="H287" s="87" t="str">
        <x:f>IFERROR(VLOOKUP(D287,'مراجع الوصفات'!$F$2:$I$253,3,FALSE),"")</x:f>
      </x:c>
      <x:c r="I287" s="89" t="str">
        <x:f>IF(OR(F287="",G287="",H287=""),"",IF(G287=H287,F287,IF(AND(G287="غ",H287="كغ"),F287/1000,IF(AND(G287="كغ",H287="غ"),F287*1000,IF(AND(G287="مل",H287="لتر"),F287/1000,IF(AND(G287="لتر",H287="مل"),F287*1000,"خطأ وحدة"))))))</x:f>
      </x:c>
      <x:c r="J287" s="85"/>
      <x:c r="K287" s="80"/>
      <x:c r="L287" s="91" t="str">
        <x:f>IFERROR(VLOOKUP(D287,'مراجع الوصفات'!$F$2:$I$253,4,FALSE),"")</x:f>
      </x:c>
      <x:c r="M287" s="91" t="str">
        <x:f>IF(OR(I287="",NOT(ISNUMBER(I287)),L287=""),"",I287*L287*(1+J287/100))</x:f>
      </x:c>
      <x:c r="N287" s="80"/>
      <x:c r="O287" s="93" t="str">
        <x:f>IF(AND(B287="",D287="",F287=""),"",IF(A287="تجاهل","تجاهل",IF(OR(B287="",D287="",F287="",G287="",H287=""),"ناقص",IF(NOT(ISNUMBER(I287)),"خطأ وحدة",IF(OR(J287&lt;0,J287&gt;100),"خطأ هدر","صالح")))))</x:f>
      </x:c>
    </x:row>
    <x:row r="288">
      <x:c r="A288" s="79"/>
      <x:c r="B288" s="80"/>
      <x:c r="C288" s="87" t="str">
        <x:f>IFERROR(VLOOKUP(B288,'مراجع الوصفات'!$A$2:$D$79,2,FALSE),"")</x:f>
      </x:c>
      <x:c r="D288" s="80"/>
      <x:c r="E288" s="87" t="str">
        <x:f>IFERROR(VLOOKUP(D288,'مراجع الوصفات'!$F$2:$I$253,2,FALSE),"")</x:f>
      </x:c>
      <x:c r="F288" s="83"/>
      <x:c r="G288" s="80"/>
      <x:c r="H288" s="87" t="str">
        <x:f>IFERROR(VLOOKUP(D288,'مراجع الوصفات'!$F$2:$I$253,3,FALSE),"")</x:f>
      </x:c>
      <x:c r="I288" s="89" t="str">
        <x:f>IF(OR(F288="",G288="",H288=""),"",IF(G288=H288,F288,IF(AND(G288="غ",H288="كغ"),F288/1000,IF(AND(G288="كغ",H288="غ"),F288*1000,IF(AND(G288="مل",H288="لتر"),F288/1000,IF(AND(G288="لتر",H288="مل"),F288*1000,"خطأ وحدة"))))))</x:f>
      </x:c>
      <x:c r="J288" s="85"/>
      <x:c r="K288" s="80"/>
      <x:c r="L288" s="91" t="str">
        <x:f>IFERROR(VLOOKUP(D288,'مراجع الوصفات'!$F$2:$I$253,4,FALSE),"")</x:f>
      </x:c>
      <x:c r="M288" s="91" t="str">
        <x:f>IF(OR(I288="",NOT(ISNUMBER(I288)),L288=""),"",I288*L288*(1+J288/100))</x:f>
      </x:c>
      <x:c r="N288" s="80"/>
      <x:c r="O288" s="93" t="str">
        <x:f>IF(AND(B288="",D288="",F288=""),"",IF(A288="تجاهل","تجاهل",IF(OR(B288="",D288="",F288="",G288="",H288=""),"ناقص",IF(NOT(ISNUMBER(I288)),"خطأ وحدة",IF(OR(J288&lt;0,J288&gt;100),"خطأ هدر","صالح")))))</x:f>
      </x:c>
    </x:row>
    <x:row r="289">
      <x:c r="A289" s="79"/>
      <x:c r="B289" s="80"/>
      <x:c r="C289" s="87" t="str">
        <x:f>IFERROR(VLOOKUP(B289,'مراجع الوصفات'!$A$2:$D$79,2,FALSE),"")</x:f>
      </x:c>
      <x:c r="D289" s="80"/>
      <x:c r="E289" s="87" t="str">
        <x:f>IFERROR(VLOOKUP(D289,'مراجع الوصفات'!$F$2:$I$253,2,FALSE),"")</x:f>
      </x:c>
      <x:c r="F289" s="83"/>
      <x:c r="G289" s="80"/>
      <x:c r="H289" s="87" t="str">
        <x:f>IFERROR(VLOOKUP(D289,'مراجع الوصفات'!$F$2:$I$253,3,FALSE),"")</x:f>
      </x:c>
      <x:c r="I289" s="89" t="str">
        <x:f>IF(OR(F289="",G289="",H289=""),"",IF(G289=H289,F289,IF(AND(G289="غ",H289="كغ"),F289/1000,IF(AND(G289="كغ",H289="غ"),F289*1000,IF(AND(G289="مل",H289="لتر"),F289/1000,IF(AND(G289="لتر",H289="مل"),F289*1000,"خطأ وحدة"))))))</x:f>
      </x:c>
      <x:c r="J289" s="85"/>
      <x:c r="K289" s="80"/>
      <x:c r="L289" s="91" t="str">
        <x:f>IFERROR(VLOOKUP(D289,'مراجع الوصفات'!$F$2:$I$253,4,FALSE),"")</x:f>
      </x:c>
      <x:c r="M289" s="91" t="str">
        <x:f>IF(OR(I289="",NOT(ISNUMBER(I289)),L289=""),"",I289*L289*(1+J289/100))</x:f>
      </x:c>
      <x:c r="N289" s="80"/>
      <x:c r="O289" s="93" t="str">
        <x:f>IF(AND(B289="",D289="",F289=""),"",IF(A289="تجاهل","تجاهل",IF(OR(B289="",D289="",F289="",G289="",H289=""),"ناقص",IF(NOT(ISNUMBER(I289)),"خطأ وحدة",IF(OR(J289&lt;0,J289&gt;100),"خطأ هدر","صالح")))))</x:f>
      </x:c>
    </x:row>
    <x:row r="290">
      <x:c r="A290" s="79"/>
      <x:c r="B290" s="80"/>
      <x:c r="C290" s="87" t="str">
        <x:f>IFERROR(VLOOKUP(B290,'مراجع الوصفات'!$A$2:$D$79,2,FALSE),"")</x:f>
      </x:c>
      <x:c r="D290" s="80"/>
      <x:c r="E290" s="87" t="str">
        <x:f>IFERROR(VLOOKUP(D290,'مراجع الوصفات'!$F$2:$I$253,2,FALSE),"")</x:f>
      </x:c>
      <x:c r="F290" s="83"/>
      <x:c r="G290" s="80"/>
      <x:c r="H290" s="87" t="str">
        <x:f>IFERROR(VLOOKUP(D290,'مراجع الوصفات'!$F$2:$I$253,3,FALSE),"")</x:f>
      </x:c>
      <x:c r="I290" s="89" t="str">
        <x:f>IF(OR(F290="",G290="",H290=""),"",IF(G290=H290,F290,IF(AND(G290="غ",H290="كغ"),F290/1000,IF(AND(G290="كغ",H290="غ"),F290*1000,IF(AND(G290="مل",H290="لتر"),F290/1000,IF(AND(G290="لتر",H290="مل"),F290*1000,"خطأ وحدة"))))))</x:f>
      </x:c>
      <x:c r="J290" s="85"/>
      <x:c r="K290" s="80"/>
      <x:c r="L290" s="91" t="str">
        <x:f>IFERROR(VLOOKUP(D290,'مراجع الوصفات'!$F$2:$I$253,4,FALSE),"")</x:f>
      </x:c>
      <x:c r="M290" s="91" t="str">
        <x:f>IF(OR(I290="",NOT(ISNUMBER(I290)),L290=""),"",I290*L290*(1+J290/100))</x:f>
      </x:c>
      <x:c r="N290" s="80"/>
      <x:c r="O290" s="93" t="str">
        <x:f>IF(AND(B290="",D290="",F290=""),"",IF(A290="تجاهل","تجاهل",IF(OR(B290="",D290="",F290="",G290="",H290=""),"ناقص",IF(NOT(ISNUMBER(I290)),"خطأ وحدة",IF(OR(J290&lt;0,J290&gt;100),"خطأ هدر","صالح")))))</x:f>
      </x:c>
    </x:row>
    <x:row r="291">
      <x:c r="A291" s="79"/>
      <x:c r="B291" s="80"/>
      <x:c r="C291" s="87" t="str">
        <x:f>IFERROR(VLOOKUP(B291,'مراجع الوصفات'!$A$2:$D$79,2,FALSE),"")</x:f>
      </x:c>
      <x:c r="D291" s="80"/>
      <x:c r="E291" s="87" t="str">
        <x:f>IFERROR(VLOOKUP(D291,'مراجع الوصفات'!$F$2:$I$253,2,FALSE),"")</x:f>
      </x:c>
      <x:c r="F291" s="83"/>
      <x:c r="G291" s="80"/>
      <x:c r="H291" s="87" t="str">
        <x:f>IFERROR(VLOOKUP(D291,'مراجع الوصفات'!$F$2:$I$253,3,FALSE),"")</x:f>
      </x:c>
      <x:c r="I291" s="89" t="str">
        <x:f>IF(OR(F291="",G291="",H291=""),"",IF(G291=H291,F291,IF(AND(G291="غ",H291="كغ"),F291/1000,IF(AND(G291="كغ",H291="غ"),F291*1000,IF(AND(G291="مل",H291="لتر"),F291/1000,IF(AND(G291="لتر",H291="مل"),F291*1000,"خطأ وحدة"))))))</x:f>
      </x:c>
      <x:c r="J291" s="85"/>
      <x:c r="K291" s="80"/>
      <x:c r="L291" s="91" t="str">
        <x:f>IFERROR(VLOOKUP(D291,'مراجع الوصفات'!$F$2:$I$253,4,FALSE),"")</x:f>
      </x:c>
      <x:c r="M291" s="91" t="str">
        <x:f>IF(OR(I291="",NOT(ISNUMBER(I291)),L291=""),"",I291*L291*(1+J291/100))</x:f>
      </x:c>
      <x:c r="N291" s="80"/>
      <x:c r="O291" s="93" t="str">
        <x:f>IF(AND(B291="",D291="",F291=""),"",IF(A291="تجاهل","تجاهل",IF(OR(B291="",D291="",F291="",G291="",H291=""),"ناقص",IF(NOT(ISNUMBER(I291)),"خطأ وحدة",IF(OR(J291&lt;0,J291&gt;100),"خطأ هدر","صالح")))))</x:f>
      </x:c>
    </x:row>
    <x:row r="292">
      <x:c r="A292" s="79"/>
      <x:c r="B292" s="80"/>
      <x:c r="C292" s="87" t="str">
        <x:f>IFERROR(VLOOKUP(B292,'مراجع الوصفات'!$A$2:$D$79,2,FALSE),"")</x:f>
      </x:c>
      <x:c r="D292" s="80"/>
      <x:c r="E292" s="87" t="str">
        <x:f>IFERROR(VLOOKUP(D292,'مراجع الوصفات'!$F$2:$I$253,2,FALSE),"")</x:f>
      </x:c>
      <x:c r="F292" s="83"/>
      <x:c r="G292" s="80"/>
      <x:c r="H292" s="87" t="str">
        <x:f>IFERROR(VLOOKUP(D292,'مراجع الوصفات'!$F$2:$I$253,3,FALSE),"")</x:f>
      </x:c>
      <x:c r="I292" s="89" t="str">
        <x:f>IF(OR(F292="",G292="",H292=""),"",IF(G292=H292,F292,IF(AND(G292="غ",H292="كغ"),F292/1000,IF(AND(G292="كغ",H292="غ"),F292*1000,IF(AND(G292="مل",H292="لتر"),F292/1000,IF(AND(G292="لتر",H292="مل"),F292*1000,"خطأ وحدة"))))))</x:f>
      </x:c>
      <x:c r="J292" s="85"/>
      <x:c r="K292" s="80"/>
      <x:c r="L292" s="91" t="str">
        <x:f>IFERROR(VLOOKUP(D292,'مراجع الوصفات'!$F$2:$I$253,4,FALSE),"")</x:f>
      </x:c>
      <x:c r="M292" s="91" t="str">
        <x:f>IF(OR(I292="",NOT(ISNUMBER(I292)),L292=""),"",I292*L292*(1+J292/100))</x:f>
      </x:c>
      <x:c r="N292" s="80"/>
      <x:c r="O292" s="93" t="str">
        <x:f>IF(AND(B292="",D292="",F292=""),"",IF(A292="تجاهل","تجاهل",IF(OR(B292="",D292="",F292="",G292="",H292=""),"ناقص",IF(NOT(ISNUMBER(I292)),"خطأ وحدة",IF(OR(J292&lt;0,J292&gt;100),"خطأ هدر","صالح")))))</x:f>
      </x:c>
    </x:row>
    <x:row r="293">
      <x:c r="A293" s="79"/>
      <x:c r="B293" s="80"/>
      <x:c r="C293" s="87" t="str">
        <x:f>IFERROR(VLOOKUP(B293,'مراجع الوصفات'!$A$2:$D$79,2,FALSE),"")</x:f>
      </x:c>
      <x:c r="D293" s="80"/>
      <x:c r="E293" s="87" t="str">
        <x:f>IFERROR(VLOOKUP(D293,'مراجع الوصفات'!$F$2:$I$253,2,FALSE),"")</x:f>
      </x:c>
      <x:c r="F293" s="83"/>
      <x:c r="G293" s="80"/>
      <x:c r="H293" s="87" t="str">
        <x:f>IFERROR(VLOOKUP(D293,'مراجع الوصفات'!$F$2:$I$253,3,FALSE),"")</x:f>
      </x:c>
      <x:c r="I293" s="89" t="str">
        <x:f>IF(OR(F293="",G293="",H293=""),"",IF(G293=H293,F293,IF(AND(G293="غ",H293="كغ"),F293/1000,IF(AND(G293="كغ",H293="غ"),F293*1000,IF(AND(G293="مل",H293="لتر"),F293/1000,IF(AND(G293="لتر",H293="مل"),F293*1000,"خطأ وحدة"))))))</x:f>
      </x:c>
      <x:c r="J293" s="85"/>
      <x:c r="K293" s="80"/>
      <x:c r="L293" s="91" t="str">
        <x:f>IFERROR(VLOOKUP(D293,'مراجع الوصفات'!$F$2:$I$253,4,FALSE),"")</x:f>
      </x:c>
      <x:c r="M293" s="91" t="str">
        <x:f>IF(OR(I293="",NOT(ISNUMBER(I293)),L293=""),"",I293*L293*(1+J293/100))</x:f>
      </x:c>
      <x:c r="N293" s="80"/>
      <x:c r="O293" s="93" t="str">
        <x:f>IF(AND(B293="",D293="",F293=""),"",IF(A293="تجاهل","تجاهل",IF(OR(B293="",D293="",F293="",G293="",H293=""),"ناقص",IF(NOT(ISNUMBER(I293)),"خطأ وحدة",IF(OR(J293&lt;0,J293&gt;100),"خطأ هدر","صالح")))))</x:f>
      </x:c>
    </x:row>
    <x:row r="294">
      <x:c r="A294" s="79"/>
      <x:c r="B294" s="80"/>
      <x:c r="C294" s="87" t="str">
        <x:f>IFERROR(VLOOKUP(B294,'مراجع الوصفات'!$A$2:$D$79,2,FALSE),"")</x:f>
      </x:c>
      <x:c r="D294" s="80"/>
      <x:c r="E294" s="87" t="str">
        <x:f>IFERROR(VLOOKUP(D294,'مراجع الوصفات'!$F$2:$I$253,2,FALSE),"")</x:f>
      </x:c>
      <x:c r="F294" s="83"/>
      <x:c r="G294" s="80"/>
      <x:c r="H294" s="87" t="str">
        <x:f>IFERROR(VLOOKUP(D294,'مراجع الوصفات'!$F$2:$I$253,3,FALSE),"")</x:f>
      </x:c>
      <x:c r="I294" s="89" t="str">
        <x:f>IF(OR(F294="",G294="",H294=""),"",IF(G294=H294,F294,IF(AND(G294="غ",H294="كغ"),F294/1000,IF(AND(G294="كغ",H294="غ"),F294*1000,IF(AND(G294="مل",H294="لتر"),F294/1000,IF(AND(G294="لتر",H294="مل"),F294*1000,"خطأ وحدة"))))))</x:f>
      </x:c>
      <x:c r="J294" s="85"/>
      <x:c r="K294" s="80"/>
      <x:c r="L294" s="91" t="str">
        <x:f>IFERROR(VLOOKUP(D294,'مراجع الوصفات'!$F$2:$I$253,4,FALSE),"")</x:f>
      </x:c>
      <x:c r="M294" s="91" t="str">
        <x:f>IF(OR(I294="",NOT(ISNUMBER(I294)),L294=""),"",I294*L294*(1+J294/100))</x:f>
      </x:c>
      <x:c r="N294" s="80"/>
      <x:c r="O294" s="93" t="str">
        <x:f>IF(AND(B294="",D294="",F294=""),"",IF(A294="تجاهل","تجاهل",IF(OR(B294="",D294="",F294="",G294="",H294=""),"ناقص",IF(NOT(ISNUMBER(I294)),"خطأ وحدة",IF(OR(J294&lt;0,J294&gt;100),"خطأ هدر","صالح")))))</x:f>
      </x:c>
    </x:row>
    <x:row r="295">
      <x:c r="A295" s="79"/>
      <x:c r="B295" s="80"/>
      <x:c r="C295" s="87" t="str">
        <x:f>IFERROR(VLOOKUP(B295,'مراجع الوصفات'!$A$2:$D$79,2,FALSE),"")</x:f>
      </x:c>
      <x:c r="D295" s="80"/>
      <x:c r="E295" s="87" t="str">
        <x:f>IFERROR(VLOOKUP(D295,'مراجع الوصفات'!$F$2:$I$253,2,FALSE),"")</x:f>
      </x:c>
      <x:c r="F295" s="83"/>
      <x:c r="G295" s="80"/>
      <x:c r="H295" s="87" t="str">
        <x:f>IFERROR(VLOOKUP(D295,'مراجع الوصفات'!$F$2:$I$253,3,FALSE),"")</x:f>
      </x:c>
      <x:c r="I295" s="89" t="str">
        <x:f>IF(OR(F295="",G295="",H295=""),"",IF(G295=H295,F295,IF(AND(G295="غ",H295="كغ"),F295/1000,IF(AND(G295="كغ",H295="غ"),F295*1000,IF(AND(G295="مل",H295="لتر"),F295/1000,IF(AND(G295="لتر",H295="مل"),F295*1000,"خطأ وحدة"))))))</x:f>
      </x:c>
      <x:c r="J295" s="85"/>
      <x:c r="K295" s="80"/>
      <x:c r="L295" s="91" t="str">
        <x:f>IFERROR(VLOOKUP(D295,'مراجع الوصفات'!$F$2:$I$253,4,FALSE),"")</x:f>
      </x:c>
      <x:c r="M295" s="91" t="str">
        <x:f>IF(OR(I295="",NOT(ISNUMBER(I295)),L295=""),"",I295*L295*(1+J295/100))</x:f>
      </x:c>
      <x:c r="N295" s="80"/>
      <x:c r="O295" s="93" t="str">
        <x:f>IF(AND(B295="",D295="",F295=""),"",IF(A295="تجاهل","تجاهل",IF(OR(B295="",D295="",F295="",G295="",H295=""),"ناقص",IF(NOT(ISNUMBER(I295)),"خطأ وحدة",IF(OR(J295&lt;0,J295&gt;100),"خطأ هدر","صالح")))))</x:f>
      </x:c>
    </x:row>
    <x:row r="296">
      <x:c r="A296" s="79"/>
      <x:c r="B296" s="80"/>
      <x:c r="C296" s="87" t="str">
        <x:f>IFERROR(VLOOKUP(B296,'مراجع الوصفات'!$A$2:$D$79,2,FALSE),"")</x:f>
      </x:c>
      <x:c r="D296" s="80"/>
      <x:c r="E296" s="87" t="str">
        <x:f>IFERROR(VLOOKUP(D296,'مراجع الوصفات'!$F$2:$I$253,2,FALSE),"")</x:f>
      </x:c>
      <x:c r="F296" s="83"/>
      <x:c r="G296" s="80"/>
      <x:c r="H296" s="87" t="str">
        <x:f>IFERROR(VLOOKUP(D296,'مراجع الوصفات'!$F$2:$I$253,3,FALSE),"")</x:f>
      </x:c>
      <x:c r="I296" s="89" t="str">
        <x:f>IF(OR(F296="",G296="",H296=""),"",IF(G296=H296,F296,IF(AND(G296="غ",H296="كغ"),F296/1000,IF(AND(G296="كغ",H296="غ"),F296*1000,IF(AND(G296="مل",H296="لتر"),F296/1000,IF(AND(G296="لتر",H296="مل"),F296*1000,"خطأ وحدة"))))))</x:f>
      </x:c>
      <x:c r="J296" s="85"/>
      <x:c r="K296" s="80"/>
      <x:c r="L296" s="91" t="str">
        <x:f>IFERROR(VLOOKUP(D296,'مراجع الوصفات'!$F$2:$I$253,4,FALSE),"")</x:f>
      </x:c>
      <x:c r="M296" s="91" t="str">
        <x:f>IF(OR(I296="",NOT(ISNUMBER(I296)),L296=""),"",I296*L296*(1+J296/100))</x:f>
      </x:c>
      <x:c r="N296" s="80"/>
      <x:c r="O296" s="93" t="str">
        <x:f>IF(AND(B296="",D296="",F296=""),"",IF(A296="تجاهل","تجاهل",IF(OR(B296="",D296="",F296="",G296="",H296=""),"ناقص",IF(NOT(ISNUMBER(I296)),"خطأ وحدة",IF(OR(J296&lt;0,J296&gt;100),"خطأ هدر","صالح")))))</x:f>
      </x:c>
    </x:row>
    <x:row r="297">
      <x:c r="A297" s="79"/>
      <x:c r="B297" s="80"/>
      <x:c r="C297" s="87" t="str">
        <x:f>IFERROR(VLOOKUP(B297,'مراجع الوصفات'!$A$2:$D$79,2,FALSE),"")</x:f>
      </x:c>
      <x:c r="D297" s="80"/>
      <x:c r="E297" s="87" t="str">
        <x:f>IFERROR(VLOOKUP(D297,'مراجع الوصفات'!$F$2:$I$253,2,FALSE),"")</x:f>
      </x:c>
      <x:c r="F297" s="83"/>
      <x:c r="G297" s="80"/>
      <x:c r="H297" s="87" t="str">
        <x:f>IFERROR(VLOOKUP(D297,'مراجع الوصفات'!$F$2:$I$253,3,FALSE),"")</x:f>
      </x:c>
      <x:c r="I297" s="89" t="str">
        <x:f>IF(OR(F297="",G297="",H297=""),"",IF(G297=H297,F297,IF(AND(G297="غ",H297="كغ"),F297/1000,IF(AND(G297="كغ",H297="غ"),F297*1000,IF(AND(G297="مل",H297="لتر"),F297/1000,IF(AND(G297="لتر",H297="مل"),F297*1000,"خطأ وحدة"))))))</x:f>
      </x:c>
      <x:c r="J297" s="85"/>
      <x:c r="K297" s="80"/>
      <x:c r="L297" s="91" t="str">
        <x:f>IFERROR(VLOOKUP(D297,'مراجع الوصفات'!$F$2:$I$253,4,FALSE),"")</x:f>
      </x:c>
      <x:c r="M297" s="91" t="str">
        <x:f>IF(OR(I297="",NOT(ISNUMBER(I297)),L297=""),"",I297*L297*(1+J297/100))</x:f>
      </x:c>
      <x:c r="N297" s="80"/>
      <x:c r="O297" s="93" t="str">
        <x:f>IF(AND(B297="",D297="",F297=""),"",IF(A297="تجاهل","تجاهل",IF(OR(B297="",D297="",F297="",G297="",H297=""),"ناقص",IF(NOT(ISNUMBER(I297)),"خطأ وحدة",IF(OR(J297&lt;0,J297&gt;100),"خطأ هدر","صالح")))))</x:f>
      </x:c>
    </x:row>
    <x:row r="298">
      <x:c r="A298" s="79"/>
      <x:c r="B298" s="80"/>
      <x:c r="C298" s="87" t="str">
        <x:f>IFERROR(VLOOKUP(B298,'مراجع الوصفات'!$A$2:$D$79,2,FALSE),"")</x:f>
      </x:c>
      <x:c r="D298" s="80"/>
      <x:c r="E298" s="87" t="str">
        <x:f>IFERROR(VLOOKUP(D298,'مراجع الوصفات'!$F$2:$I$253,2,FALSE),"")</x:f>
      </x:c>
      <x:c r="F298" s="83"/>
      <x:c r="G298" s="80"/>
      <x:c r="H298" s="87" t="str">
        <x:f>IFERROR(VLOOKUP(D298,'مراجع الوصفات'!$F$2:$I$253,3,FALSE),"")</x:f>
      </x:c>
      <x:c r="I298" s="89" t="str">
        <x:f>IF(OR(F298="",G298="",H298=""),"",IF(G298=H298,F298,IF(AND(G298="غ",H298="كغ"),F298/1000,IF(AND(G298="كغ",H298="غ"),F298*1000,IF(AND(G298="مل",H298="لتر"),F298/1000,IF(AND(G298="لتر",H298="مل"),F298*1000,"خطأ وحدة"))))))</x:f>
      </x:c>
      <x:c r="J298" s="85"/>
      <x:c r="K298" s="80"/>
      <x:c r="L298" s="91" t="str">
        <x:f>IFERROR(VLOOKUP(D298,'مراجع الوصفات'!$F$2:$I$253,4,FALSE),"")</x:f>
      </x:c>
      <x:c r="M298" s="91" t="str">
        <x:f>IF(OR(I298="",NOT(ISNUMBER(I298)),L298=""),"",I298*L298*(1+J298/100))</x:f>
      </x:c>
      <x:c r="N298" s="80"/>
      <x:c r="O298" s="93" t="str">
        <x:f>IF(AND(B298="",D298="",F298=""),"",IF(A298="تجاهل","تجاهل",IF(OR(B298="",D298="",F298="",G298="",H298=""),"ناقص",IF(NOT(ISNUMBER(I298)),"خطأ وحدة",IF(OR(J298&lt;0,J298&gt;100),"خطأ هدر","صالح")))))</x:f>
      </x:c>
    </x:row>
    <x:row r="299">
      <x:c r="A299" s="79"/>
      <x:c r="B299" s="80"/>
      <x:c r="C299" s="87" t="str">
        <x:f>IFERROR(VLOOKUP(B299,'مراجع الوصفات'!$A$2:$D$79,2,FALSE),"")</x:f>
      </x:c>
      <x:c r="D299" s="80"/>
      <x:c r="E299" s="87" t="str">
        <x:f>IFERROR(VLOOKUP(D299,'مراجع الوصفات'!$F$2:$I$253,2,FALSE),"")</x:f>
      </x:c>
      <x:c r="F299" s="83"/>
      <x:c r="G299" s="80"/>
      <x:c r="H299" s="87" t="str">
        <x:f>IFERROR(VLOOKUP(D299,'مراجع الوصفات'!$F$2:$I$253,3,FALSE),"")</x:f>
      </x:c>
      <x:c r="I299" s="89" t="str">
        <x:f>IF(OR(F299="",G299="",H299=""),"",IF(G299=H299,F299,IF(AND(G299="غ",H299="كغ"),F299/1000,IF(AND(G299="كغ",H299="غ"),F299*1000,IF(AND(G299="مل",H299="لتر"),F299/1000,IF(AND(G299="لتر",H299="مل"),F299*1000,"خطأ وحدة"))))))</x:f>
      </x:c>
      <x:c r="J299" s="85"/>
      <x:c r="K299" s="80"/>
      <x:c r="L299" s="91" t="str">
        <x:f>IFERROR(VLOOKUP(D299,'مراجع الوصفات'!$F$2:$I$253,4,FALSE),"")</x:f>
      </x:c>
      <x:c r="M299" s="91" t="str">
        <x:f>IF(OR(I299="",NOT(ISNUMBER(I299)),L299=""),"",I299*L299*(1+J299/100))</x:f>
      </x:c>
      <x:c r="N299" s="80"/>
      <x:c r="O299" s="93" t="str">
        <x:f>IF(AND(B299="",D299="",F299=""),"",IF(A299="تجاهل","تجاهل",IF(OR(B299="",D299="",F299="",G299="",H299=""),"ناقص",IF(NOT(ISNUMBER(I299)),"خطأ وحدة",IF(OR(J299&lt;0,J299&gt;100),"خطأ هدر","صالح")))))</x:f>
      </x:c>
    </x:row>
    <x:row r="300">
      <x:c r="A300" s="79"/>
      <x:c r="B300" s="80"/>
      <x:c r="C300" s="87" t="str">
        <x:f>IFERROR(VLOOKUP(B300,'مراجع الوصفات'!$A$2:$D$79,2,FALSE),"")</x:f>
      </x:c>
      <x:c r="D300" s="80"/>
      <x:c r="E300" s="87" t="str">
        <x:f>IFERROR(VLOOKUP(D300,'مراجع الوصفات'!$F$2:$I$253,2,FALSE),"")</x:f>
      </x:c>
      <x:c r="F300" s="83"/>
      <x:c r="G300" s="80"/>
      <x:c r="H300" s="87" t="str">
        <x:f>IFERROR(VLOOKUP(D300,'مراجع الوصفات'!$F$2:$I$253,3,FALSE),"")</x:f>
      </x:c>
      <x:c r="I300" s="89" t="str">
        <x:f>IF(OR(F300="",G300="",H300=""),"",IF(G300=H300,F300,IF(AND(G300="غ",H300="كغ"),F300/1000,IF(AND(G300="كغ",H300="غ"),F300*1000,IF(AND(G300="مل",H300="لتر"),F300/1000,IF(AND(G300="لتر",H300="مل"),F300*1000,"خطأ وحدة"))))))</x:f>
      </x:c>
      <x:c r="J300" s="85"/>
      <x:c r="K300" s="80"/>
      <x:c r="L300" s="91" t="str">
        <x:f>IFERROR(VLOOKUP(D300,'مراجع الوصفات'!$F$2:$I$253,4,FALSE),"")</x:f>
      </x:c>
      <x:c r="M300" s="91" t="str">
        <x:f>IF(OR(I300="",NOT(ISNUMBER(I300)),L300=""),"",I300*L300*(1+J300/100))</x:f>
      </x:c>
      <x:c r="N300" s="80"/>
      <x:c r="O300" s="93" t="str">
        <x:f>IF(AND(B300="",D300="",F300=""),"",IF(A300="تجاهل","تجاهل",IF(OR(B300="",D300="",F300="",G300="",H300=""),"ناقص",IF(NOT(ISNUMBER(I300)),"خطأ وحدة",IF(OR(J300&lt;0,J300&gt;100),"خطأ هدر","صالح")))))</x:f>
      </x:c>
    </x:row>
    <x:row r="301">
      <x:c r="A301" s="81"/>
      <x:c r="B301" s="82"/>
      <x:c r="C301" s="88" t="str">
        <x:f>IFERROR(VLOOKUP(B301,'مراجع الوصفات'!$A$2:$D$79,2,FALSE),"")</x:f>
      </x:c>
      <x:c r="D301" s="82"/>
      <x:c r="E301" s="88" t="str">
        <x:f>IFERROR(VLOOKUP(D301,'مراجع الوصفات'!$F$2:$I$253,2,FALSE),"")</x:f>
      </x:c>
      <x:c r="F301" s="84"/>
      <x:c r="G301" s="82"/>
      <x:c r="H301" s="88" t="str">
        <x:f>IFERROR(VLOOKUP(D301,'مراجع الوصفات'!$F$2:$I$253,3,FALSE),"")</x:f>
      </x:c>
      <x:c r="I301" s="90" t="str">
        <x:f>IF(OR(F301="",G301="",H301=""),"",IF(G301=H301,F301,IF(AND(G301="غ",H301="كغ"),F301/1000,IF(AND(G301="كغ",H301="غ"),F301*1000,IF(AND(G301="مل",H301="لتر"),F301/1000,IF(AND(G301="لتر",H301="مل"),F301*1000,"خطأ وحدة"))))))</x:f>
      </x:c>
      <x:c r="J301" s="86"/>
      <x:c r="K301" s="82"/>
      <x:c r="L301" s="92" t="str">
        <x:f>IFERROR(VLOOKUP(D301,'مراجع الوصفات'!$F$2:$I$253,4,FALSE),"")</x:f>
      </x:c>
      <x:c r="M301" s="92" t="str">
        <x:f>IF(OR(I301="",NOT(ISNUMBER(I301)),L301=""),"",I301*L301*(1+J301/100))</x:f>
      </x:c>
      <x:c r="N301" s="82"/>
      <x:c r="O301" s="94" t="str">
        <x:f>IF(AND(B301="",D301="",F301=""),"",IF(A301="تجاهل","تجاهل",IF(OR(B301="",D301="",F301="",G301="",H301=""),"ناقص",IF(NOT(ISNUMBER(I301)),"خطأ وحدة",IF(OR(J301&lt;0,J301&gt;100),"خطأ هدر","صالح")))))</x:f>
      </x:c>
    </x:row>
  </x:sheetData>
  <x:conditionalFormatting sqref="A2:A301">
    <x:cfRule type="expression" dxfId="1" priority="1">
      <x:formula>A2="جاهز للاستيراد"</x:formula>
    </x:cfRule>
    <x:cfRule type="expression" dxfId="2" priority="2">
      <x:formula>A2="بحاجة مراجعة"</x:formula>
    </x:cfRule>
    <x:cfRule type="expression" dxfId="3" priority="3">
      <x:formula>A2="مسودة"</x:formula>
    </x:cfRule>
  </x:conditionalFormatting>
  <x:conditionalFormatting sqref="O2:O301">
    <x:cfRule type="expression" dxfId="4" priority="4">
      <x:formula>O2="صالح"</x:formula>
    </x:cfRule>
    <x:cfRule type="expression" dxfId="5" priority="5">
      <x:formula>OR(O2="ناقص",O2="خطأ وحدة",O2="خطأ هدر")</x:formula>
    </x:cfRule>
  </x:conditionalFormatting>
  <x:dataValidations count="5">
    <x:dataValidation type="list" sqref="A2:A301">
      <x:formula1>"جاهز للاستيراد,بحاجة مراجعة,مسودة,تجاهل"</x:formula1>
    </x:dataValidation>
    <x:dataValidation type="list" sqref="B2:B301">
      <x:formula1>'مراجع الوصفات'!$A$2:$A$79</x:formula1>
    </x:dataValidation>
    <x:dataValidation type="list" sqref="D2:D301">
      <x:formula1>'مراجع الوصفات'!$F$2:$F$253</x:formula1>
    </x:dataValidation>
    <x:dataValidation type="list" sqref="G2:G301">
      <x:formula1>"كغ,غ,لتر,مل,قطعة,عبوة,زجاجة,صندوق,حصة,أخرى"</x:formula1>
    </x:dataValidation>
    <x:dataValidation type="list" sqref="K2:K301">
      <x:formula1>"نعم,لا"</x:formula1>
    </x:dataValidation>
  </x:dataValidations>
  <x:pageMargins left="0.7" right="0.7" top="0.75" bottom="0.75" header="0.3" footer="0.3"/>
  <x:tableParts count="1">
    <x:tablePart xmlns:r="http://schemas.openxmlformats.org/officeDocument/2006/relationships" r:id="Rf33c0fa63a924cb0"/>
  </x:tableParts>
</x:worksheet>
</file>

<file path=xl/worksheets/sheet5.xml><?xml version="1.0" encoding="utf-8"?>
<x:worksheet xmlns:x="http://schemas.openxmlformats.org/spreadsheetml/2006/main">
  <x:sheetFormatPr defaultRowHeight="15"/>
  <x:cols>
    <x:col min="1" max="1" width="28" hidden="0" customWidth="1"/>
    <x:col min="2" max="2" width="26" hidden="0" customWidth="1"/>
    <x:col min="3" max="3" width="22" hidden="0" customWidth="1"/>
    <x:col min="4" max="4" width="14" hidden="0" customWidth="1"/>
    <x:col min="5" max="5" width="38" hidden="0" customWidth="1"/>
  </x:cols>
  <x:sheetData>
    <x:row r="1">
      <x:c r="A1" s="49" t="str">
        <x:v>اسم المنتج</x:v>
      </x:c>
      <x:c r="B1" s="50" t="str">
        <x:v>مفتاح المنتج</x:v>
      </x:c>
      <x:c r="C1" s="50" t="str">
        <x:v>الفئة</x:v>
      </x:c>
      <x:c r="D1" s="50" t="str">
        <x:v>السعر ل.س</x:v>
      </x:c>
      <x:c r="E1" s="51" t="str">
        <x:v>المصدر/ملاحظة</x:v>
      </x:c>
    </x:row>
    <x:row r="2">
      <x:c r="A2" s="52" t="str">
        <x:v>قطعة كيش اليوم</x:v>
      </x:c>
      <x:c r="B2" s="53" t="str">
        <x:v>daily_quiche_slice</x:v>
      </x:c>
      <x:c r="C2" s="53" t="str">
        <x:v>الكيش</x:v>
      </x:c>
      <x:c r="D2" s="54" t="n">
        <x:v>20000</x:v>
      </x:c>
      <x:c r="E2" s="55" t="str">
        <x:v>Seeded Masharib menu</x:v>
      </x:c>
    </x:row>
    <x:row r="3">
      <x:c r="A3" s="52" t="str">
        <x:v>صينية كيش كاملة</x:v>
      </x:c>
      <x:c r="B3" s="53" t="str">
        <x:v>whole_quiche_tray</x:v>
      </x:c>
      <x:c r="C3" s="53" t="str">
        <x:v>الكيش</x:v>
      </x:c>
      <x:c r="D3" s="54" t="n">
        <x:v>130000</x:v>
      </x:c>
      <x:c r="E3" s="55" t="str">
        <x:v>Seeded Masharib menu</x:v>
      </x:c>
    </x:row>
    <x:row r="4">
      <x:c r="A4" s="52" t="str">
        <x:v>كومبو الصباح</x:v>
      </x:c>
      <x:c r="B4" s="53" t="str">
        <x:v>morning_combo</x:v>
      </x:c>
      <x:c r="C4" s="53" t="str">
        <x:v>كومبو الصباح</x:v>
      </x:c>
      <x:c r="D4" s="54" t="n">
        <x:v>50000</x:v>
      </x:c>
      <x:c r="E4" s="55" t="str">
        <x:v>Seeded Masharib menu</x:v>
      </x:c>
    </x:row>
    <x:row r="5">
      <x:c r="A5" s="52" t="str">
        <x:v>مازا صغيرة</x:v>
      </x:c>
      <x:c r="B5" s="53" t="str">
        <x:v>small_mezza</x:v>
      </x:c>
      <x:c r="C5" s="53" t="str">
        <x:v>المازة</x:v>
      </x:c>
      <x:c r="D5" s="54" t="n">
        <x:v>8000</x:v>
      </x:c>
      <x:c r="E5" s="55" t="str">
        <x:v>Seeded Masharib menu</x:v>
      </x:c>
    </x:row>
    <x:row r="6">
      <x:c r="A6" s="52" t="str">
        <x:v>مازا مفردة</x:v>
      </x:c>
      <x:c r="B6" s="53" t="str">
        <x:v>single_mezza</x:v>
      </x:c>
      <x:c r="C6" s="53" t="str">
        <x:v>المازة</x:v>
      </x:c>
      <x:c r="D6" s="54" t="n">
        <x:v>10000</x:v>
      </x:c>
      <x:c r="E6" s="55" t="str">
        <x:v>Seeded Masharib menu</x:v>
      </x:c>
    </x:row>
    <x:row r="7">
      <x:c r="A7" s="52" t="str">
        <x:v>طبق 3 مازات</x:v>
      </x:c>
      <x:c r="B7" s="53" t="str">
        <x:v>three_mezza_plate</x:v>
      </x:c>
      <x:c r="C7" s="53" t="str">
        <x:v>المازة</x:v>
      </x:c>
      <x:c r="D7" s="54" t="n">
        <x:v>25000</x:v>
      </x:c>
      <x:c r="E7" s="55" t="str">
        <x:v>Seeded Masharib menu</x:v>
      </x:c>
    </x:row>
    <x:row r="8">
      <x:c r="A8" s="52" t="str">
        <x:v>طبق 5 مازات</x:v>
      </x:c>
      <x:c r="B8" s="53" t="str">
        <x:v>five_mezza_plate</x:v>
      </x:c>
      <x:c r="C8" s="53" t="str">
        <x:v>المازة</x:v>
      </x:c>
      <x:c r="D8" s="54" t="n">
        <x:v>40000</x:v>
      </x:c>
      <x:c r="E8" s="55" t="str">
        <x:v>Seeded Masharib menu</x:v>
      </x:c>
    </x:row>
    <x:row r="9">
      <x:c r="A9" s="52" t="str">
        <x:v>شاي عادي</x:v>
      </x:c>
      <x:c r="B9" s="53" t="str">
        <x:v>regular_tea</x:v>
      </x:c>
      <x:c r="C9" s="53" t="str">
        <x:v>مشروبات ساخنة</x:v>
      </x:c>
      <x:c r="D9" s="54" t="n">
        <x:v>4000</x:v>
      </x:c>
      <x:c r="E9" s="55" t="str">
        <x:v>Seeded Masharib menu</x:v>
      </x:c>
    </x:row>
    <x:row r="10">
      <x:c r="A10" s="52" t="str">
        <x:v>شاي مع نعنع</x:v>
      </x:c>
      <x:c r="B10" s="53" t="str">
        <x:v>mint_tea</x:v>
      </x:c>
      <x:c r="C10" s="53" t="str">
        <x:v>مشروبات ساخنة</x:v>
      </x:c>
      <x:c r="D10" s="54" t="n">
        <x:v>5000</x:v>
      </x:c>
      <x:c r="E10" s="55" t="str">
        <x:v>Seeded Masharib menu</x:v>
      </x:c>
    </x:row>
    <x:row r="11">
      <x:c r="A11" s="52" t="str">
        <x:v>شاي مع ميرمية</x:v>
      </x:c>
      <x:c r="B11" s="53" t="str">
        <x:v>sage_tea</x:v>
      </x:c>
      <x:c r="C11" s="53" t="str">
        <x:v>مشروبات ساخنة</x:v>
      </x:c>
      <x:c r="D11" s="54" t="n">
        <x:v>5000</x:v>
      </x:c>
      <x:c r="E11" s="55" t="str">
        <x:v>Seeded Masharib menu</x:v>
      </x:c>
    </x:row>
    <x:row r="12">
      <x:c r="A12" s="52" t="str">
        <x:v>شاي إيرل غراي</x:v>
      </x:c>
      <x:c r="B12" s="53" t="str">
        <x:v>earl_grey_tea</x:v>
      </x:c>
      <x:c r="C12" s="53" t="str">
        <x:v>مشروبات ساخنة</x:v>
      </x:c>
      <x:c r="D12" s="54" t="n">
        <x:v>6000</x:v>
      </x:c>
      <x:c r="E12" s="55" t="str">
        <x:v>Seeded Masharib menu</x:v>
      </x:c>
    </x:row>
    <x:row r="13">
      <x:c r="A13" s="52" t="str">
        <x:v>شاي فواكه / منكه</x:v>
      </x:c>
      <x:c r="B13" s="53" t="str">
        <x:v>fruit_flavored_tea</x:v>
      </x:c>
      <x:c r="C13" s="53" t="str">
        <x:v>مشروبات ساخنة</x:v>
      </x:c>
      <x:c r="D13" s="54" t="n">
        <x:v>7000</x:v>
      </x:c>
      <x:c r="E13" s="55" t="str">
        <x:v>Seeded Masharib menu</x:v>
      </x:c>
    </x:row>
    <x:row r="14">
      <x:c r="A14" s="52" t="str">
        <x:v>زهورات</x:v>
      </x:c>
      <x:c r="B14" s="53" t="str">
        <x:v>zhourat</x:v>
      </x:c>
      <x:c r="C14" s="53" t="str">
        <x:v>مشروبات ساخنة</x:v>
      </x:c>
      <x:c r="D14" s="54" t="n">
        <x:v>8000</x:v>
      </x:c>
      <x:c r="E14" s="55" t="str">
        <x:v>Seeded Masharib menu</x:v>
      </x:c>
    </x:row>
    <x:row r="15">
      <x:c r="A15" s="52" t="str">
        <x:v>هوت شوكليت بالماء</x:v>
      </x:c>
      <x:c r="B15" s="53" t="str">
        <x:v>hot_chocolate_water</x:v>
      </x:c>
      <x:c r="C15" s="53" t="str">
        <x:v>مشروبات ساخنة</x:v>
      </x:c>
      <x:c r="D15" s="54" t="n">
        <x:v>8000</x:v>
      </x:c>
      <x:c r="E15" s="55" t="str">
        <x:v>Seeded Masharib menu</x:v>
      </x:c>
    </x:row>
    <x:row r="16">
      <x:c r="A16" s="52" t="str">
        <x:v>هوت شوكليت بالحليب</x:v>
      </x:c>
      <x:c r="B16" s="53" t="str">
        <x:v>hot_chocolate_milk</x:v>
      </x:c>
      <x:c r="C16" s="53" t="str">
        <x:v>مشروبات ساخنة</x:v>
      </x:c>
      <x:c r="D16" s="54" t="n">
        <x:v>14000</x:v>
      </x:c>
      <x:c r="E16" s="55" t="str">
        <x:v>Seeded Masharib menu</x:v>
      </x:c>
    </x:row>
    <x:row r="17">
      <x:c r="A17" s="52" t="str">
        <x:v>ماتشا بالماء</x:v>
      </x:c>
      <x:c r="B17" s="53" t="str">
        <x:v>matcha_water</x:v>
      </x:c>
      <x:c r="C17" s="53" t="str">
        <x:v>مشروبات ساخنة</x:v>
      </x:c>
      <x:c r="D17" s="54" t="n">
        <x:v>14000</x:v>
      </x:c>
      <x:c r="E17" s="55" t="str">
        <x:v>Seeded Masharib menu</x:v>
      </x:c>
    </x:row>
    <x:row r="18">
      <x:c r="A18" s="52" t="str">
        <x:v>ماتشا لاتيه ساخن</x:v>
      </x:c>
      <x:c r="B18" s="53" t="str">
        <x:v>hot_matcha_latte</x:v>
      </x:c>
      <x:c r="C18" s="53" t="str">
        <x:v>مشروبات ساخنة</x:v>
      </x:c>
      <x:c r="D18" s="54" t="n">
        <x:v>20000</x:v>
      </x:c>
      <x:c r="E18" s="55" t="str">
        <x:v>Seeded Masharib menu</x:v>
      </x:c>
    </x:row>
    <x:row r="19">
      <x:c r="A19" s="52" t="str">
        <x:v>كولا / سفن أب — كاسة</x:v>
      </x:c>
      <x:c r="B19" s="53" t="str">
        <x:v>cola_7up_glass</x:v>
      </x:c>
      <x:c r="C19" s="53" t="str">
        <x:v>مشروبات باردة</x:v>
      </x:c>
      <x:c r="D19" s="54" t="n">
        <x:v>6000</x:v>
      </x:c>
      <x:c r="E19" s="55" t="str">
        <x:v>Seeded Masharib menu</x:v>
      </x:c>
    </x:row>
    <x:row r="20">
      <x:c r="A20" s="52" t="str">
        <x:v>مشروب معلب / غازي</x:v>
      </x:c>
      <x:c r="B20" s="53" t="str">
        <x:v>canned_fizzy_drink</x:v>
      </x:c>
      <x:c r="C20" s="53" t="str">
        <x:v>مشروبات باردة</x:v>
      </x:c>
      <x:c r="D20" s="54" t="n">
        <x:v>9000</x:v>
      </x:c>
      <x:c r="E20" s="55" t="str">
        <x:v>Seeded Masharib menu</x:v>
      </x:c>
    </x:row>
    <x:row r="21">
      <x:c r="A21" s="52" t="str">
        <x:v>عصير كاسة</x:v>
      </x:c>
      <x:c r="B21" s="53" t="str">
        <x:v>juice_glass</x:v>
      </x:c>
      <x:c r="C21" s="53" t="str">
        <x:v>مشروبات باردة</x:v>
      </x:c>
      <x:c r="D21" s="54" t="n">
        <x:v>8000</x:v>
      </x:c>
      <x:c r="E21" s="55" t="str">
        <x:v>Seeded Masharib menu</x:v>
      </x:c>
    </x:row>
    <x:row r="22">
      <x:c r="A22" s="52" t="str">
        <x:v>عصير كبير</x:v>
      </x:c>
      <x:c r="B22" s="53" t="str">
        <x:v>large_juice</x:v>
      </x:c>
      <x:c r="C22" s="53" t="str">
        <x:v>مشروبات باردة</x:v>
      </x:c>
      <x:c r="D22" s="54" t="n">
        <x:v>12000</x:v>
      </x:c>
      <x:c r="E22" s="55" t="str">
        <x:v>Seeded Masharib menu</x:v>
      </x:c>
    </x:row>
    <x:row r="23">
      <x:c r="A23" s="52" t="str">
        <x:v>شنينة / لبن بارد</x:v>
      </x:c>
      <x:c r="B23" s="53" t="str">
        <x:v>cold_yogurt_drink</x:v>
      </x:c>
      <x:c r="C23" s="53" t="str">
        <x:v>مشروبات باردة</x:v>
      </x:c>
      <x:c r="D23" s="54" t="n">
        <x:v>10000</x:v>
      </x:c>
      <x:c r="E23" s="55" t="str">
        <x:v>Seeded Masharib menu</x:v>
      </x:c>
    </x:row>
    <x:row r="24">
      <x:c r="A24" s="52" t="str">
        <x:v>دبس وليمون</x:v>
      </x:c>
      <x:c r="B24" s="53" t="str">
        <x:v>dibs_lemon</x:v>
      </x:c>
      <x:c r="C24" s="53" t="str">
        <x:v>مشروبات باردة</x:v>
      </x:c>
      <x:c r="D24" s="54" t="n">
        <x:v>12000</x:v>
      </x:c>
      <x:c r="E24" s="55" t="str">
        <x:v>Seeded Masharib menu</x:v>
      </x:c>
    </x:row>
    <x:row r="25">
      <x:c r="A25" s="52" t="str">
        <x:v>جلاب الكرمة</x:v>
      </x:c>
      <x:c r="B25" s="53" t="str">
        <x:v>karma_jallab</x:v>
      </x:c>
      <x:c r="C25" s="53" t="str">
        <x:v>مشروبات باردة</x:v>
      </x:c>
      <x:c r="D25" s="54" t="n">
        <x:v>15000</x:v>
      </x:c>
      <x:c r="E25" s="55" t="str">
        <x:v>Seeded Masharib menu</x:v>
      </x:c>
    </x:row>
    <x:row r="26">
      <x:c r="A26" s="52" t="str">
        <x:v>آيس ماتشا لاتيه</x:v>
      </x:c>
      <x:c r="B26" s="53" t="str">
        <x:v>iced_matcha_latte</x:v>
      </x:c>
      <x:c r="C26" s="53" t="str">
        <x:v>مشروبات باردة</x:v>
      </x:c>
      <x:c r="D26" s="54" t="n">
        <x:v>24000</x:v>
      </x:c>
      <x:c r="E26" s="55" t="str">
        <x:v>Seeded Masharib menu</x:v>
      </x:c>
    </x:row>
    <x:row r="27">
      <x:c r="A27" s="52" t="str">
        <x:v>ماتشا سبيشال</x:v>
      </x:c>
      <x:c r="B27" s="53" t="str">
        <x:v>matcha_special</x:v>
      </x:c>
      <x:c r="C27" s="53" t="str">
        <x:v>مشروبات باردة</x:v>
      </x:c>
      <x:c r="D27" s="54" t="n">
        <x:v>28000</x:v>
      </x:c>
      <x:c r="E27" s="55" t="str">
        <x:v>Seeded Masharib menu</x:v>
      </x:c>
    </x:row>
    <x:row r="28">
      <x:c r="A28" s="52" t="str">
        <x:v>كاسة الواجب — متّة مشاريب</x:v>
      </x:c>
      <x:c r="B28" s="53" t="str">
        <x:v>wajib_cup_mate</x:v>
      </x:c>
      <x:c r="C28" s="53" t="str">
        <x:v>مشروبات توقيع</x:v>
      </x:c>
      <x:c r="D28" s="54" t="n">
        <x:v>12000</x:v>
      </x:c>
      <x:c r="E28" s="55" t="str">
        <x:v>Seeded Masharib menu</x:v>
      </x:c>
    </x:row>
    <x:row r="29">
      <x:c r="A29" s="52" t="str">
        <x:v>متّة طاولة</x:v>
      </x:c>
      <x:c r="B29" s="53" t="str">
        <x:v>table_mate</x:v>
      </x:c>
      <x:c r="C29" s="53" t="str">
        <x:v>مشروبات توقيع</x:v>
      </x:c>
      <x:c r="D29" s="54" t="n">
        <x:v>25000</x:v>
      </x:c>
      <x:c r="E29" s="55" t="str">
        <x:v>Seeded Masharib menu</x:v>
      </x:c>
    </x:row>
    <x:row r="30">
      <x:c r="A30" s="52" t="str">
        <x:v>زهرات البازلت</x:v>
      </x:c>
      <x:c r="B30" s="53" t="str">
        <x:v>basalt_zhourat</x:v>
      </x:c>
      <x:c r="C30" s="53" t="str">
        <x:v>مشروبات توقيع</x:v>
      </x:c>
      <x:c r="D30" s="54" t="n">
        <x:v>8000</x:v>
      </x:c>
      <x:c r="E30" s="55" t="str">
        <x:v>Seeded Masharib menu</x:v>
      </x:c>
    </x:row>
    <x:row r="31">
      <x:c r="A31" s="52" t="str">
        <x:v>شاي تفاح وميرمية</x:v>
      </x:c>
      <x:c r="B31" s="53" t="str">
        <x:v>apple_sage_tea</x:v>
      </x:c>
      <x:c r="C31" s="53" t="str">
        <x:v>مشروبات توقيع</x:v>
      </x:c>
      <x:c r="D31" s="54" t="n">
        <x:v>10000</x:v>
      </x:c>
      <x:c r="E31" s="55" t="str">
        <x:v>Seeded Masharib menu</x:v>
      </x:c>
    </x:row>
    <x:row r="32">
      <x:c r="A32" s="52" t="str">
        <x:v>صينية كيش + طبق 5 مازات</x:v>
      </x:c>
      <x:c r="B32" s="53" t="str">
        <x:v>quiche_five_mezza_tray</x:v>
      </x:c>
      <x:c r="C32" s="53" t="str">
        <x:v>صواني وطلبات طاولة</x:v>
      </x:c>
      <x:c r="D32" s="54" t="n">
        <x:v>160000</x:v>
      </x:c>
      <x:c r="E32" s="55" t="str">
        <x:v>Seeded Masharib menu</x:v>
      </x:c>
    </x:row>
    <x:row r="33">
      <x:c r="A33" s="52" t="str">
        <x:v>صينية كيش + طبق 7 مازات</x:v>
      </x:c>
      <x:c r="B33" s="53" t="str">
        <x:v>quiche_seven_mezza_tray</x:v>
      </x:c>
      <x:c r="C33" s="53" t="str">
        <x:v>صواني وطلبات طاولة</x:v>
      </x:c>
      <x:c r="D33" s="54" t="n">
        <x:v>175000</x:v>
      </x:c>
      <x:c r="E33" s="55" t="str">
        <x:v>Seeded Masharib menu</x:v>
      </x:c>
    </x:row>
    <x:row r="34">
      <x:c r="A34" s="52" t="str">
        <x:v>طبق 7 مازات كبير</x:v>
      </x:c>
      <x:c r="B34" s="53" t="str">
        <x:v>large_seven_mezza_plate</x:v>
      </x:c>
      <x:c r="C34" s="53" t="str">
        <x:v>صواني وطلبات طاولة</x:v>
      </x:c>
      <x:c r="D34" s="54" t="n">
        <x:v>55000</x:v>
      </x:c>
      <x:c r="E34" s="55" t="str">
        <x:v>Seeded Masharib menu</x:v>
      </x:c>
    </x:row>
    <x:row r="35">
      <x:c r="A35" s="52" t="str">
        <x:v>عرق الريان — كأس</x:v>
      </x:c>
      <x:c r="B35" s="53" t="str">
        <x:v>rayan_arak_glass</x:v>
      </x:c>
      <x:c r="C35" s="53" t="str">
        <x:v>مناسبات فقط</x:v>
      </x:c>
      <x:c r="D35" s="54" t="n">
        <x:v>12000</x:v>
      </x:c>
      <x:c r="E35" s="55" t="str">
        <x:v>Seeded Masharib menu</x:v>
      </x:c>
    </x:row>
    <x:row r="36">
      <x:c r="A36" s="52" t="str">
        <x:v>عرق الريان — كاراف صغير</x:v>
      </x:c>
      <x:c r="B36" s="53" t="str">
        <x:v>rayan_arak_small_carafe</x:v>
      </x:c>
      <x:c r="C36" s="53" t="str">
        <x:v>مناسبات فقط</x:v>
      </x:c>
      <x:c r="D36" s="54" t="n">
        <x:v>45000</x:v>
      </x:c>
      <x:c r="E36" s="55" t="str">
        <x:v>Seeded Masharib menu</x:v>
      </x:c>
    </x:row>
    <x:row r="37">
      <x:c r="A37" s="52" t="str">
        <x:v>عرق الريان — لتر طاولة</x:v>
      </x:c>
      <x:c r="B37" s="53" t="str">
        <x:v>rayan_arak_table_liter</x:v>
      </x:c>
      <x:c r="C37" s="53" t="str">
        <x:v>مناسبات فقط</x:v>
      </x:c>
      <x:c r="D37" s="54" t="n">
        <x:v>120000</x:v>
      </x:c>
      <x:c r="E37" s="55" t="str">
        <x:v>Seeded Masharib menu</x:v>
      </x:c>
    </x:row>
    <x:row r="38">
      <x:c r="A38" s="52" t="str">
        <x:v>بيرة خفيفة</x:v>
      </x:c>
      <x:c r="B38" s="53" t="str">
        <x:v>light_beer</x:v>
      </x:c>
      <x:c r="C38" s="53" t="str">
        <x:v>مناسبات فقط</x:v>
      </x:c>
      <x:c r="D38" s="54" t="n">
        <x:v>45000</x:v>
      </x:c>
      <x:c r="E38" s="55" t="str">
        <x:v>Seeded Masharib menu</x:v>
      </x:c>
    </x:row>
    <x:row r="39">
      <x:c r="A39" s="52" t="str">
        <x:v>بيرة ثقيلة</x:v>
      </x:c>
      <x:c r="B39" s="53" t="str">
        <x:v>strong_beer</x:v>
      </x:c>
      <x:c r="C39" s="53" t="str">
        <x:v>مناسبات فقط</x:v>
      </x:c>
      <x:c r="D39" s="54" t="n">
        <x:v>50000</x:v>
      </x:c>
      <x:c r="E39" s="55" t="str">
        <x:v>Seeded Masharib menu</x:v>
      </x:c>
    </x:row>
    <x:row r="40">
      <x:c r="A40" s="52" t="str">
        <x:v>كأس عرق + مازتين</x:v>
      </x:c>
      <x:c r="B40" s="53" t="str">
        <x:v>arak_glass_two_mezza</x:v>
      </x:c>
      <x:c r="C40" s="53" t="str">
        <x:v>مناسبات فقط</x:v>
      </x:c>
      <x:c r="D40" s="54" t="n">
        <x:v>32000</x:v>
      </x:c>
      <x:c r="E40" s="55" t="str">
        <x:v>Seeded Masharib menu</x:v>
      </x:c>
    </x:row>
    <x:row r="41">
      <x:c r="A41" s="52" t="str">
        <x:v>كاراف عرق صغير + 3 مازات</x:v>
      </x:c>
      <x:c r="B41" s="53" t="str">
        <x:v>small_arak_carafe_three_mezza</x:v>
      </x:c>
      <x:c r="C41" s="53" t="str">
        <x:v>مناسبات فقط</x:v>
      </x:c>
      <x:c r="D41" s="54" t="n">
        <x:v>70000</x:v>
      </x:c>
      <x:c r="E41" s="55" t="str">
        <x:v>Seeded Masharib menu</x:v>
      </x:c>
    </x:row>
    <x:row r="42">
      <x:c r="A42" s="52" t="str">
        <x:v>لتر عرق + طبق 4 مازات</x:v>
      </x:c>
      <x:c r="B42" s="53" t="str">
        <x:v>arak_liter_four_mezza</x:v>
      </x:c>
      <x:c r="C42" s="53" t="str">
        <x:v>مناسبات فقط</x:v>
      </x:c>
      <x:c r="D42" s="54" t="n">
        <x:v>155000</x:v>
      </x:c>
      <x:c r="E42" s="55" t="str">
        <x:v>Seeded Masharib menu</x:v>
      </x:c>
    </x:row>
    <x:row r="43">
      <x:c r="A43" s="52" t="str">
        <x:v>لبنة وأعشاب</x:v>
      </x:c>
      <x:c r="B43" s="53" t="str"/>
      <x:c r="C43" s="53" t="str">
        <x:v>سندويشات هَب</x:v>
      </x:c>
      <x:c r="D43" s="54"/>
      <x:c r="E43" s="55" t="str">
        <x:v>Project product; match by exact Arabic name</x:v>
      </x:c>
    </x:row>
    <x:row r="44">
      <x:c r="A44" s="52" t="str">
        <x:v>زيت وزعتر</x:v>
      </x:c>
      <x:c r="B44" s="53" t="str"/>
      <x:c r="C44" s="53" t="str">
        <x:v>سندويشات هَب</x:v>
      </x:c>
      <x:c r="D44" s="54"/>
      <x:c r="E44" s="55" t="str">
        <x:v>Project product; match by exact Arabic name</x:v>
      </x:c>
    </x:row>
    <x:row r="45">
      <x:c r="A45" s="52" t="str">
        <x:v>محمّرة</x:v>
      </x:c>
      <x:c r="B45" s="53" t="str"/>
      <x:c r="C45" s="53" t="str">
        <x:v>سندويشات هَب</x:v>
      </x:c>
      <x:c r="D45" s="54"/>
      <x:c r="E45" s="55" t="str">
        <x:v>Project product; match by exact Arabic name</x:v>
      </x:c>
    </x:row>
    <x:row r="46">
      <x:c r="A46" s="52" t="str">
        <x:v>الجبنة البلدية</x:v>
      </x:c>
      <x:c r="B46" s="53" t="str"/>
      <x:c r="C46" s="53" t="str">
        <x:v>سندويشات هَب</x:v>
      </x:c>
      <x:c r="D46" s="54"/>
      <x:c r="E46" s="55" t="str">
        <x:v>Project product; match by exact Arabic name</x:v>
      </x:c>
    </x:row>
    <x:row r="47">
      <x:c r="A47" s="52" t="str">
        <x:v>شلل مشوية</x:v>
      </x:c>
      <x:c r="B47" s="53" t="str"/>
      <x:c r="C47" s="53" t="str">
        <x:v>سندويشات هَب</x:v>
      </x:c>
      <x:c r="D47" s="54"/>
      <x:c r="E47" s="55" t="str">
        <x:v>Project product; missing inventory item</x:v>
      </x:c>
    </x:row>
    <x:row r="48">
      <x:c r="A48" s="52" t="str">
        <x:v>قشقوان محمصة</x:v>
      </x:c>
      <x:c r="B48" s="53" t="str"/>
      <x:c r="C48" s="53" t="str">
        <x:v>سندويشات هَب</x:v>
      </x:c>
      <x:c r="D48" s="54"/>
      <x:c r="E48" s="55" t="str">
        <x:v>Project product; missing inventory item</x:v>
      </x:c>
    </x:row>
    <x:row r="49">
      <x:c r="A49" s="52" t="str">
        <x:v>بيض وجبنة</x:v>
      </x:c>
      <x:c r="B49" s="53" t="str"/>
      <x:c r="C49" s="53" t="str">
        <x:v>سندويشات هَب</x:v>
      </x:c>
      <x:c r="D49" s="54"/>
      <x:c r="E49" s="55" t="str">
        <x:v>Project product; match by exact Arabic name</x:v>
      </x:c>
    </x:row>
    <x:row r="50">
      <x:c r="A50" s="52" t="str">
        <x:v>مرتديلا هَب</x:v>
      </x:c>
      <x:c r="B50" s="53" t="str"/>
      <x:c r="C50" s="53" t="str">
        <x:v>سندويشات هَب</x:v>
      </x:c>
      <x:c r="D50" s="54"/>
      <x:c r="E50" s="55" t="str">
        <x:v>Project product; missing inventory item</x:v>
      </x:c>
    </x:row>
    <x:row r="51">
      <x:c r="A51" s="52" t="str">
        <x:v>حبش مدخن</x:v>
      </x:c>
      <x:c r="B51" s="53" t="str"/>
      <x:c r="C51" s="53" t="str">
        <x:v>سندويشات هَب</x:v>
      </x:c>
      <x:c r="D51" s="54"/>
      <x:c r="E51" s="55" t="str">
        <x:v>Project product; missing inventory item</x:v>
      </x:c>
    </x:row>
    <x:row r="52">
      <x:c r="A52" s="52" t="str">
        <x:v>تونة متوسطية</x:v>
      </x:c>
      <x:c r="B52" s="53" t="str"/>
      <x:c r="C52" s="53" t="str">
        <x:v>سندويشات هَب</x:v>
      </x:c>
      <x:c r="D52" s="54"/>
      <x:c r="E52" s="55" t="str">
        <x:v>Project product; missing inventory item</x:v>
      </x:c>
    </x:row>
    <x:row r="53">
      <x:c r="A53" s="52" t="str">
        <x:v>دجاج وثوم</x:v>
      </x:c>
      <x:c r="B53" s="53" t="str"/>
      <x:c r="C53" s="53" t="str">
        <x:v>سندويشات هَب</x:v>
      </x:c>
      <x:c r="D53" s="54"/>
      <x:c r="E53" s="55" t="str">
        <x:v>Project product; match by exact Arabic name</x:v>
      </x:c>
    </x:row>
    <x:row r="54">
      <x:c r="A54" s="52" t="str">
        <x:v>دجاج حار</x:v>
      </x:c>
      <x:c r="B54" s="53" t="str"/>
      <x:c r="C54" s="53" t="str">
        <x:v>سندويشات هَب</x:v>
      </x:c>
      <x:c r="D54" s="54"/>
      <x:c r="E54" s="55" t="str">
        <x:v>Project product; match by exact Arabic name</x:v>
      </x:c>
    </x:row>
    <x:row r="55">
      <x:c r="A55" s="52" t="str">
        <x:v>زبدة ومربى</x:v>
      </x:c>
      <x:c r="B55" s="53" t="str"/>
      <x:c r="C55" s="53" t="str">
        <x:v>سندويشات هَب</x:v>
      </x:c>
      <x:c r="D55" s="54"/>
      <x:c r="E55" s="55" t="str">
        <x:v>Project product; match by exact Arabic name</x:v>
      </x:c>
    </x:row>
    <x:row r="56">
      <x:c r="A56" s="52" t="str">
        <x:v>قهوة تركية</x:v>
      </x:c>
      <x:c r="B56" s="53" t="str"/>
      <x:c r="C56" s="53" t="str">
        <x:v>قهوة</x:v>
      </x:c>
      <x:c r="D56" s="54"/>
      <x:c r="E56" s="55" t="str">
        <x:v>Project product; match by exact Arabic name</x:v>
      </x:c>
    </x:row>
    <x:row r="57">
      <x:c r="A57" s="52" t="str">
        <x:v>إسبريسو</x:v>
      </x:c>
      <x:c r="B57" s="53" t="str"/>
      <x:c r="C57" s="53" t="str">
        <x:v>قهوة</x:v>
      </x:c>
      <x:c r="D57" s="54"/>
      <x:c r="E57" s="55" t="str">
        <x:v>Project product; match by exact Arabic name</x:v>
      </x:c>
    </x:row>
    <x:row r="58">
      <x:c r="A58" s="52" t="str">
        <x:v>كابتشينو</x:v>
      </x:c>
      <x:c r="B58" s="53" t="str"/>
      <x:c r="C58" s="53" t="str">
        <x:v>قهوة</x:v>
      </x:c>
      <x:c r="D58" s="54"/>
      <x:c r="E58" s="55" t="str">
        <x:v>Project product; match by exact Arabic name</x:v>
      </x:c>
    </x:row>
    <x:row r="59">
      <x:c r="A59" s="52" t="str">
        <x:v>لاتيه</x:v>
      </x:c>
      <x:c r="B59" s="53" t="str"/>
      <x:c r="C59" s="53" t="str">
        <x:v>قهوة</x:v>
      </x:c>
      <x:c r="D59" s="54"/>
      <x:c r="E59" s="55" t="str">
        <x:v>Project product; match by exact Arabic name</x:v>
      </x:c>
    </x:row>
    <x:row r="60">
      <x:c r="A60" s="52" t="str">
        <x:v>أمريكانو</x:v>
      </x:c>
      <x:c r="B60" s="53" t="str"/>
      <x:c r="C60" s="53" t="str">
        <x:v>قهوة</x:v>
      </x:c>
      <x:c r="D60" s="54"/>
      <x:c r="E60" s="55" t="str">
        <x:v>Project product; match by exact Arabic name</x:v>
      </x:c>
    </x:row>
    <x:row r="61">
      <x:c r="A61" s="52" t="str">
        <x:v>موكا</x:v>
      </x:c>
      <x:c r="B61" s="53" t="str"/>
      <x:c r="C61" s="53" t="str">
        <x:v>قهوة</x:v>
      </x:c>
      <x:c r="D61" s="54"/>
      <x:c r="E61" s="55" t="str">
        <x:v>Project product; match by exact Arabic name</x:v>
      </x:c>
    </x:row>
    <x:row r="62">
      <x:c r="A62" s="52" t="str">
        <x:v>قهوة سريعة التحضير</x:v>
      </x:c>
      <x:c r="B62" s="53" t="str"/>
      <x:c r="C62" s="53" t="str">
        <x:v>قهوة</x:v>
      </x:c>
      <x:c r="D62" s="54"/>
      <x:c r="E62" s="55" t="str">
        <x:v>Project product; match by exact Arabic name</x:v>
      </x:c>
    </x:row>
    <x:row r="63">
      <x:c r="A63" s="52" t="str">
        <x:v>قهوة مثلجة</x:v>
      </x:c>
      <x:c r="B63" s="53" t="str"/>
      <x:c r="C63" s="53" t="str">
        <x:v>قهوة باردة</x:v>
      </x:c>
      <x:c r="D63" s="54"/>
      <x:c r="E63" s="55" t="str">
        <x:v>Project product; match by exact Arabic name</x:v>
      </x:c>
    </x:row>
    <x:row r="64">
      <x:c r="A64" s="52" t="str">
        <x:v>آيس لاتيه</x:v>
      </x:c>
      <x:c r="B64" s="53" t="str"/>
      <x:c r="C64" s="53" t="str">
        <x:v>قهوة باردة</x:v>
      </x:c>
      <x:c r="D64" s="54"/>
      <x:c r="E64" s="55" t="str">
        <x:v>Project product; match by exact Arabic name</x:v>
      </x:c>
    </x:row>
    <x:row r="65">
      <x:c r="A65" s="52" t="str">
        <x:v>آيس موكا</x:v>
      </x:c>
      <x:c r="B65" s="53" t="str"/>
      <x:c r="C65" s="53" t="str">
        <x:v>قهوة باردة</x:v>
      </x:c>
      <x:c r="D65" s="54"/>
      <x:c r="E65" s="55" t="str">
        <x:v>Project product; match by exact Arabic name</x:v>
      </x:c>
    </x:row>
    <x:row r="66">
      <x:c r="A66" s="52" t="str">
        <x:v>كركديه ساخن</x:v>
      </x:c>
      <x:c r="B66" s="53" t="str"/>
      <x:c r="C66" s="53" t="str">
        <x:v>مشروبات ساخنة</x:v>
      </x:c>
      <x:c r="D66" s="54"/>
      <x:c r="E66" s="55" t="str">
        <x:v>Project product; match by exact Arabic name</x:v>
      </x:c>
    </x:row>
    <x:row r="67">
      <x:c r="A67" s="52" t="str">
        <x:v>شاي هندي ساخن</x:v>
      </x:c>
      <x:c r="B67" s="53" t="str"/>
      <x:c r="C67" s="53" t="str">
        <x:v>مشروبات ساخنة</x:v>
      </x:c>
      <x:c r="D67" s="54"/>
      <x:c r="E67" s="55" t="str">
        <x:v>Project product; match by exact Arabic name</x:v>
      </x:c>
    </x:row>
    <x:row r="68">
      <x:c r="A68" s="52" t="str">
        <x:v>تمر هندي بارد</x:v>
      </x:c>
      <x:c r="B68" s="53" t="str"/>
      <x:c r="C68" s="53" t="str">
        <x:v>مشروبات باردة</x:v>
      </x:c>
      <x:c r="D68" s="54"/>
      <x:c r="E68" s="55" t="str">
        <x:v>Project product; match by exact Arabic name</x:v>
      </x:c>
    </x:row>
    <x:row r="69">
      <x:c r="A69" s="52" t="str">
        <x:v>عصير بطيخ</x:v>
      </x:c>
      <x:c r="B69" s="53" t="str"/>
      <x:c r="C69" s="53" t="str">
        <x:v>مشروبات باردة</x:v>
      </x:c>
      <x:c r="D69" s="54"/>
      <x:c r="E69" s="55" t="str">
        <x:v>Project product; match by exact Arabic name</x:v>
      </x:c>
    </x:row>
    <x:row r="70">
      <x:c r="A70" s="52" t="str">
        <x:v>كمون وليمون</x:v>
      </x:c>
      <x:c r="B70" s="53" t="str"/>
      <x:c r="C70" s="53" t="str">
        <x:v>مشروبات ساخنة</x:v>
      </x:c>
      <x:c r="D70" s="54"/>
      <x:c r="E70" s="55" t="str">
        <x:v>Project product; match by exact Arabic name</x:v>
      </x:c>
    </x:row>
    <x:row r="71">
      <x:c r="A71" s="52" t="str">
        <x:v>ميلك شيك</x:v>
      </x:c>
      <x:c r="B71" s="53" t="str"/>
      <x:c r="C71" s="53" t="str">
        <x:v>مشروبات باردة</x:v>
      </x:c>
      <x:c r="D71" s="54"/>
      <x:c r="E71" s="55" t="str">
        <x:v>Project product; match by exact Arabic name</x:v>
      </x:c>
    </x:row>
    <x:row r="72">
      <x:c r="A72" s="52" t="str">
        <x:v>سموذي</x:v>
      </x:c>
      <x:c r="B72" s="53" t="str"/>
      <x:c r="C72" s="53" t="str">
        <x:v>مشروبات باردة</x:v>
      </x:c>
      <x:c r="D72" s="54"/>
      <x:c r="E72" s="55" t="str">
        <x:v>Project product; match by exact Arabic name</x:v>
      </x:c>
    </x:row>
    <x:row r="73">
      <x:c r="A73" s="52" t="str">
        <x:v>كوكتيل فودكا</x:v>
      </x:c>
      <x:c r="B73" s="53" t="str"/>
      <x:c r="C73" s="53" t="str">
        <x:v>كوكتيلات</x:v>
      </x:c>
      <x:c r="D73" s="54"/>
      <x:c r="E73" s="55" t="str">
        <x:v>Project product; match by exact Arabic name</x:v>
      </x:c>
    </x:row>
    <x:row r="74">
      <x:c r="A74" s="52" t="str">
        <x:v>موهيتو</x:v>
      </x:c>
      <x:c r="B74" s="53" t="str"/>
      <x:c r="C74" s="53" t="str">
        <x:v>كوكتيلات</x:v>
      </x:c>
      <x:c r="D74" s="54"/>
      <x:c r="E74" s="55" t="str">
        <x:v>Project product; match by exact Arabic name</x:v>
      </x:c>
    </x:row>
    <x:row r="75">
      <x:c r="A75" s="52" t="str">
        <x:v>كوكتيل ويسكي</x:v>
      </x:c>
      <x:c r="B75" s="53" t="str"/>
      <x:c r="C75" s="53" t="str">
        <x:v>كوكتيلات</x:v>
      </x:c>
      <x:c r="D75" s="54"/>
      <x:c r="E75" s="55" t="str">
        <x:v>Project product; match by exact Arabic name</x:v>
      </x:c>
    </x:row>
    <x:row r="76">
      <x:c r="A76" s="52" t="str">
        <x:v>جين حبق</x:v>
      </x:c>
      <x:c r="B76" s="53" t="str"/>
      <x:c r="C76" s="53" t="str">
        <x:v>كوكتيلات</x:v>
      </x:c>
      <x:c r="D76" s="54"/>
      <x:c r="E76" s="55" t="str">
        <x:v>Project product; match by exact Arabic name</x:v>
      </x:c>
    </x:row>
    <x:row r="77">
      <x:c r="A77" s="52" t="str">
        <x:v>كأس نبيذ</x:v>
      </x:c>
      <x:c r="B77" s="53" t="str"/>
      <x:c r="C77" s="53" t="str">
        <x:v>مشروبات كحولية</x:v>
      </x:c>
      <x:c r="D77" s="54"/>
      <x:c r="E77" s="55" t="str">
        <x:v>Project product; match by exact Arabic name</x:v>
      </x:c>
    </x:row>
    <x:row r="78">
      <x:c r="A78" s="52" t="str">
        <x:v>شوت تيكيلا</x:v>
      </x:c>
      <x:c r="B78" s="53" t="str"/>
      <x:c r="C78" s="53" t="str">
        <x:v>مشروبات كحولية</x:v>
      </x:c>
      <x:c r="D78" s="54"/>
      <x:c r="E78" s="55" t="str">
        <x:v>Project product; match by exact Arabic name</x:v>
      </x:c>
    </x:row>
    <x:row r="79">
      <x:c r="A79" s="56" t="str">
        <x:v>شوت زيتونة وتاباسكو</x:v>
      </x:c>
      <x:c r="B79" s="57" t="str"/>
      <x:c r="C79" s="57" t="str">
        <x:v>مشروبات كحولية</x:v>
      </x:c>
      <x:c r="D79" s="58"/>
      <x:c r="E79" s="59" t="str">
        <x:v>Project product; match by exact Arabic name</x:v>
      </x:c>
    </x:row>
  </x:sheetData>
  <x:pageMargins left="0.7" right="0.7" top="0.75" bottom="0.75" header="0.3" footer="0.3"/>
  <x:tableParts count="1">
    <x:tablePart xmlns:r="http://schemas.openxmlformats.org/officeDocument/2006/relationships" r:id="R384fd98836474ebb"/>
  </x:tableParts>
</x:worksheet>
</file>

<file path=xl/worksheets/sheet6.xml><?xml version="1.0" encoding="utf-8"?>
<x:worksheet xmlns:x="http://schemas.openxmlformats.org/spreadsheetml/2006/main">
  <x:sheetFormatPr defaultRowHeight="15"/>
  <x:cols>
    <x:col min="1" max="1" width="24" hidden="0" customWidth="1"/>
    <x:col min="2" max="2" width="90" hidden="0" customWidth="1"/>
  </x:cols>
  <x:sheetData>
    <x:row r="1">
      <x:c r="A1" s="97" t="str">
        <x:v>دليل تعبئة واستيراد وصفات المنتجات</x:v>
      </x:c>
      <x:c r="B1" s="97"/>
      <x:c r="C1" s="97"/>
      <x:c r="D1" s="97"/>
      <x:c r="E1" s="97"/>
      <x:c r="F1" s="97"/>
    </x:row>
    <x:row r="3" ht="44" customHeight="1">
      <x:c r="A3" s="102" t="str">
        <x:v>الفكرة</x:v>
      </x:c>
      <x:c r="B3" s="106" t="str">
        <x:v>سطر واحد لكل مادة مخزون داخل كل منتج. اختر المنتج والمادة من القوائم، وأدخل الكمية بوحدة سهلة مثل غ أو مل؛ يحوّل الملف الكمية تلقائياً إلى وحدة المخزون.</x:v>
      </x:c>
    </x:row>
    <x:row r="4" ht="44" customHeight="1">
      <x:c r="A4" s="102" t="str">
        <x:v>حالة الاستيراد</x:v>
      </x:c>
      <x:c r="B4" s="106" t="str">
        <x:v>لن يُستورد إلا السطر الذي حالته «جاهز للاستيراد» وتحققه «صالح». الوصفات المبدئية في الملف موسومة غالباً «بحاجة مراجعة» لحمايتك من إدخال تقديرات غير مؤكدة.</x:v>
      </x:c>
    </x:row>
    <x:row r="5" ht="44" customHeight="1">
      <x:c r="A5" s="102" t="str">
        <x:v>مفتاح المنتج</x:v>
      </x:c>
      <x:c r="B5" s="106" t="str">
        <x:v>يُجلب تلقائياً للمنتجات المزروعة في النظام. عند غيابه، يجب أن يطابق المستورد المنتج بالاسم العربي المطابق تماماً وبشرط أن يكون فريداً.</x:v>
      </x:c>
    </x:row>
    <x:row r="6" ht="44" customHeight="1">
      <x:c r="A6" s="102" t="str">
        <x:v>الكمية المدخلة</x:v>
      </x:c>
      <x:c r="B6" s="106" t="str">
        <x:v>اكتب الكمية لكل وحدة مباعة من المنتج، لا كمية الدفعة الكاملة.</x:v>
      </x:c>
    </x:row>
    <x:row r="7" ht="44" customHeight="1">
      <x:c r="A7" s="102" t="str">
        <x:v>التحويل التلقائي</x:v>
      </x:c>
      <x:c r="B7" s="106" t="str">
        <x:v>الملف يحوّل فقط غ↔كغ ومل↔لتر. القطعة/العبوة/الزجاجة/الحصة يجب أن تطابق وحدة المخزون نفسها.</x:v>
      </x:c>
    </x:row>
    <x:row r="8" ht="44" customHeight="1">
      <x:c r="A8" s="102" t="str">
        <x:v>نسبة الهدر</x:v>
      </x:c>
      <x:c r="B8" s="106" t="str">
        <x:v>تؤثر في حساب الكلفة فقط حالياً؛ خصم المخزون في الكود الحالي يستخدم الكمية الأساسية دون إضافة الهدر. لذلك لا تعتمد على نسبة الهدر لزيادة الخصم الفعلي.</x:v>
      </x:c>
    </x:row>
    <x:row r="9" ht="44" customHeight="1">
      <x:c r="A9" s="102" t="str">
        <x:v>الماء</x:v>
      </x:c>
      <x:c r="B9" s="106" t="str">
        <x:v>لا تضف الماء ما لم ترغب فعلياً بتتبعه كمادة مخزون.</x:v>
      </x:c>
    </x:row>
    <x:row r="10" ht="44" customHeight="1">
      <x:c r="A10" s="102" t="str">
        <x:v>التغليف</x:v>
      </x:c>
      <x:c r="B10" s="106" t="str">
        <x:v>لا تضف تغليف السفري إلى الوصفة الأساسية عندما يُستخدم فقط لبعض الطلبات؛ الوصفة تُخصم لكل عملية بيع بغض النظر عن داخل المكان أو سفري.</x:v>
      </x:c>
    </x:row>
    <x:row r="11" ht="44" customHeight="1">
      <x:c r="A11" s="102" t="str">
        <x:v>الخيارات</x:v>
      </x:c>
      <x:c r="B11" s="106" t="str">
        <x:v>المنتجات التي تتغير بالكامل حسب خيار مثل نوع المازا أو ترقية المشروب لا يدعم نموذج الوصفة الحالي وصفة مختلفة لكل خيار. الأفضل إنشاء المنتجات كعناصر مستقلة أو إضافة نموذج وصفات للخيارات.</x:v>
      </x:c>
    </x:row>
    <x:row r="12" ht="44" customHeight="1">
      <x:c r="A12" s="102" t="str">
        <x:v>التكرار</x:v>
      </x:c>
      <x:c r="B12" s="106" t="str">
        <x:v>يجب ألا يتكرر نفس المنتج + مادة المخزون + وحدة القياس؛ قاعدة البيانات تمنع التكرار.</x:v>
      </x:c>
    </x:row>
    <x:row r="13" ht="44" customHeight="1">
      <x:c r="A13" s="102" t="str">
        <x:v>الكلفة</x:v>
      </x:c>
      <x:c r="B13" s="106" t="str">
        <x:v>كلفة السطر = الكمية الموحّدة × كلفة وحدة المخزون × (1 + الهدر%). تبقى فارغة عندما لا توجد كلفة للمادة.</x:v>
      </x:c>
    </x:row>
    <x:row r="14" ht="44" customHeight="1">
      <x:c r="A14" s="102" t="str">
        <x:v>الاستيراد المقترح</x:v>
      </x:c>
      <x:c r="B14" s="106" t="str">
        <x:v>استخدم product key إن وجد، وإلا الاسم العربي الفريد. استخدم كود مادة المخزون دائماً. اقرأ الكمية الموحّدة ووحدة المخزون، وليس الكمية المدخلة مباشرة.</x:v>
      </x:c>
    </x:row>
    <x:row r="17">
      <x:c r="A17" s="47" t="str">
        <x:v>مراجع النظام</x:v>
      </x:c>
      <x:c r="B17" s="47" t="str">
        <x:v>الرابط</x:v>
      </x:c>
    </x:row>
    <x:row r="18">
      <x:c r="A18" s="30" t="str">
        <x:v>نموذج ProductRecipeItem وInventoryItem</x:v>
      </x:c>
      <x:c r="B18" s="30" t="str">
        <x:v>https://github.com/Maximad/hub/blob/main/core/models.py</x:v>
      </x:c>
    </x:row>
    <x:row r="19">
      <x:c r="A19" s="30" t="str">
        <x:v>حساب كلفة الوصفة وخصم المخزون</x:v>
      </x:c>
      <x:c r="B19" s="30" t="str">
        <x:v>https://github.com/Maximad/hub/blob/main/core/stock_recipes.py</x:v>
      </x:c>
    </x:row>
    <x:row r="20">
      <x:c r="A20" s="30" t="str">
        <x:v>قائمة منتجات مشاريب المزروعة</x:v>
      </x:c>
      <x:c r="B20" s="30" t="str">
        <x:v>https://github.com/Maximad/hub/blob/main/core/management/commands/seed_masharib_menu.py</x:v>
      </x:c>
    </x:row>
  </x:sheetData>
  <x:mergeCells>
    <x:mergeCell ref="A1:F1"/>
  </x:mergeCells>
  <x:pageMargins left="0.7" right="0.7" top="0.75" bottom="0.75" header="0.3" footer="0.3"/>
</x:worksheet>
</file>

<file path=xl/worksheets/sheet7.xml><?xml version="1.0" encoding="utf-8"?>
<x:worksheet xmlns:x="http://schemas.openxmlformats.org/spreadsheetml/2006/main">
  <x:sheetFormatPr defaultRowHeight="15"/>
  <x:cols>
    <x:col min="1" max="1" width="26" hidden="0" customWidth="1"/>
    <x:col min="2" max="2" width="34" hidden="0" customWidth="1"/>
    <x:col min="3" max="3" width="18" hidden="0" customWidth="1"/>
    <x:col min="4" max="4" width="34" hidden="0" customWidth="1"/>
    <x:col min="5" max="5" width="48" hidden="0" customWidth="1"/>
  </x:cols>
  <x:sheetData>
    <x:row r="1">
      <x:c r="A1" s="47" t="str">
        <x:v>المادة الناقصة</x:v>
      </x:c>
      <x:c r="B1" s="47" t="str">
        <x:v>سبب الإضافة</x:v>
      </x:c>
      <x:c r="C1" s="47" t="str">
        <x:v>الوحدة المقترحة</x:v>
      </x:c>
      <x:c r="D1" s="47" t="str">
        <x:v>المنتجات المرتبطة</x:v>
      </x:c>
      <x:c r="E1" s="47" t="str">
        <x:v>ملاحظة</x:v>
      </x:c>
    </x:row>
    <x:row r="2">
      <x:c r="A2" s="30" t="str">
        <x:v>جبنة قشقوان</x:v>
      </x:c>
      <x:c r="B2" s="30" t="str">
        <x:v>مكوّن مباشر غير موجود في قائمة المخزون</x:v>
      </x:c>
      <x:c r="C2" s="30" t="str">
        <x:v>كغ</x:v>
      </x:c>
      <x:c r="D2" s="30" t="str">
        <x:v>قشقوان محمصة</x:v>
      </x:c>
      <x:c r="E2" s="30" t="str">
        <x:v>أضفها قبل استيراد الوصفة.</x:v>
      </x:c>
    </x:row>
    <x:row r="3">
      <x:c r="A3" s="30" t="str">
        <x:v>جبنة شلل / مشللة</x:v>
      </x:c>
      <x:c r="B3" s="30" t="str">
        <x:v>مكوّن مباشر غير موجود في قائمة المخزون</x:v>
      </x:c>
      <x:c r="C3" s="30" t="str">
        <x:v>كغ</x:v>
      </x:c>
      <x:c r="D3" s="30" t="str">
        <x:v>شلل مشوية</x:v>
      </x:c>
      <x:c r="E3" s="30" t="str">
        <x:v>استخدم الاسم المحلي النهائي المعتمد.</x:v>
      </x:c>
    </x:row>
    <x:row r="4">
      <x:c r="A4" s="30" t="str">
        <x:v>مرتديلا</x:v>
      </x:c>
      <x:c r="B4" s="30" t="str">
        <x:v>مكوّن مباشر غير موجود في قائمة المخزون</x:v>
      </x:c>
      <x:c r="C4" s="30" t="str">
        <x:v>كغ</x:v>
      </x:c>
      <x:c r="D4" s="30" t="str">
        <x:v>مرتديلا هَب</x:v>
      </x:c>
      <x:c r="E4" s="30" t="str"/>
    </x:row>
    <x:row r="5">
      <x:c r="A5" s="30" t="str">
        <x:v>حبش مدخن</x:v>
      </x:c>
      <x:c r="B5" s="30" t="str">
        <x:v>مكوّن مباشر غير موجود في قائمة المخزون</x:v>
      </x:c>
      <x:c r="C5" s="30" t="str">
        <x:v>كغ</x:v>
      </x:c>
      <x:c r="D5" s="30" t="str">
        <x:v>حبش مدخن</x:v>
      </x:c>
      <x:c r="E5" s="30" t="str"/>
    </x:row>
    <x:row r="6">
      <x:c r="A6" s="30" t="str">
        <x:v>تونة معلبة</x:v>
      </x:c>
      <x:c r="B6" s="30" t="str">
        <x:v>مكوّن مباشر غير موجود في قائمة المخزون</x:v>
      </x:c>
      <x:c r="C6" s="30" t="str">
        <x:v>كغ أو عبوة</x:v>
      </x:c>
      <x:c r="D6" s="30" t="str">
        <x:v>تونة متوسطية</x:v>
      </x:c>
      <x:c r="E6" s="30" t="str">
        <x:v>يفضل كغ إن كانت الكلفة والخصم بالوزن.</x:v>
      </x:c>
    </x:row>
    <x:row r="7">
      <x:c r="A7" s="30" t="str">
        <x:v>ثومية / صوص ثوم</x:v>
      </x:c>
      <x:c r="B7" s="30" t="str">
        <x:v>أفضل من تركيب الصوص من اللبنة والثوم في كل وصفة</x:v>
      </x:c>
      <x:c r="C7" s="30" t="str">
        <x:v>كغ</x:v>
      </x:c>
      <x:c r="D7" s="30" t="str">
        <x:v>دجاج وثوم، سندويشات أخرى</x:v>
      </x:c>
      <x:c r="E7" s="30" t="str">
        <x:v>يمكن إنتاجها كدفعة تحضير ومادة مخزون ناتجة.</x:v>
      </x:c>
    </x:row>
    <x:row r="8">
      <x:c r="A8" s="30" t="str">
        <x:v>مايونيز بالوزن</x:v>
      </x:c>
      <x:c r="B8" s="30" t="str">
        <x:v>الوحدة الحالية عبوة تجعل الحصة كسر عبوة غير واضح</x:v>
      </x:c>
      <x:c r="C8" s="30" t="str">
        <x:v>كغ</x:v>
      </x:c>
      <x:c r="D8" s="30" t="str">
        <x:v>دجاج حار، سندويشات</x:v>
      </x:c>
      <x:c r="E8" s="30" t="str">
        <x:v>إما تغيير وحدة مادة المايونيز أو إنشاء مادة جديدة بوحدة كغ.</x:v>
      </x:c>
    </x:row>
    <x:row r="9">
      <x:c r="A9" s="30" t="str">
        <x:v>مخلل بالوزن</x:v>
      </x:c>
      <x:c r="B9" s="30" t="str">
        <x:v>الوحدة الحالية عبوة تجعل الحصة كسر عبوة غير واضح</x:v>
      </x:c>
      <x:c r="C9" s="30" t="str">
        <x:v>كغ</x:v>
      </x:c>
      <x:c r="D9" s="30" t="str">
        <x:v>السندويشات والمازات</x:v>
      </x:c>
      <x:c r="E9" s="30" t="str">
        <x:v>يفضل مادة منفصلة بالوزن للخصم الدقيق.</x:v>
      </x:c>
    </x:row>
  </x:sheetData>
  <x:pageMargins left="0.7" right="0.7" top="0.75" bottom="0.75" header="0.3" footer="0.3"/>
  <x:tableParts count="1">
    <x:tablePart xmlns:r="http://schemas.openxmlformats.org/officeDocument/2006/relationships" r:id="R5489ed56aafd4e95"/>
  </x:tableParts>
</x:worksheet>
</file>

<file path=xl/worksheets/sheet8.xml><?xml version="1.0" encoding="utf-8"?>
<x:worksheet xmlns:x="http://schemas.openxmlformats.org/spreadsheetml/2006/main">
  <x:sheetFormatPr defaultRowHeight="15"/>
  <x:cols>
    <x:col min="1" max="1" width="28" hidden="0" customWidth="1"/>
    <x:col min="2" max="2" width="28" hidden="0" customWidth="1"/>
    <x:col min="3" max="3" width="22" hidden="0" customWidth="1"/>
    <x:col min="4" max="4" width="14" hidden="0" customWidth="1"/>
    <x:col min="6" max="6" width="28" hidden="0" customWidth="1"/>
    <x:col min="7" max="7" width="28" hidden="0" customWidth="1"/>
    <x:col min="8" max="8" width="14" hidden="0" customWidth="1"/>
    <x:col min="9" max="9" width="16" hidden="0" customWidth="1"/>
  </x:cols>
  <x:sheetData>
    <x:row r="1">
      <x:c r="A1" s="47" t="str">
        <x:v>اسم المنتج</x:v>
      </x:c>
      <x:c r="B1" s="47" t="str">
        <x:v>مفتاح المنتج</x:v>
      </x:c>
      <x:c r="C1" s="47" t="str">
        <x:v>الفئة</x:v>
      </x:c>
      <x:c r="D1" s="47" t="str">
        <x:v>السعر</x:v>
      </x:c>
      <x:c r="F1" s="47" t="str">
        <x:v>مادة المخزون</x:v>
      </x:c>
      <x:c r="G1" s="47" t="str">
        <x:v>كود المخزون</x:v>
      </x:c>
      <x:c r="H1" s="47" t="str">
        <x:v>وحدة المخزون</x:v>
      </x:c>
      <x:c r="I1" s="47" t="str">
        <x:v>كلفة الوحدة</x:v>
      </x:c>
    </x:row>
    <x:row r="2">
      <x:c r="A2" t="str">
        <x:v>قطعة كيش اليوم</x:v>
      </x:c>
      <x:c r="B2" t="str">
        <x:v>daily_quiche_slice</x:v>
      </x:c>
      <x:c r="C2" t="str">
        <x:v>الكيش</x:v>
      </x:c>
      <x:c r="D2" s="60" t="n">
        <x:v>20000</x:v>
      </x:c>
      <x:c r="F2" t="str">
        <x:v>بطاطا</x:v>
      </x:c>
      <x:c r="G2" t="str">
        <x:v>ING-VEG-POTATO</x:v>
      </x:c>
      <x:c r="H2" t="str">
        <x:v>كغ</x:v>
      </x:c>
      <x:c r="I2" s="61" t="n">
        <x:v>7000</x:v>
      </x:c>
    </x:row>
    <x:row r="3">
      <x:c r="A3" t="str">
        <x:v>صينية كيش كاملة</x:v>
      </x:c>
      <x:c r="B3" t="str">
        <x:v>whole_quiche_tray</x:v>
      </x:c>
      <x:c r="C3" t="str">
        <x:v>الكيش</x:v>
      </x:c>
      <x:c r="D3" s="60" t="n">
        <x:v>130000</x:v>
      </x:c>
      <x:c r="F3" t="str">
        <x:v>بصل</x:v>
      </x:c>
      <x:c r="G3" t="str">
        <x:v>ING-VEG-ONION</x:v>
      </x:c>
      <x:c r="H3" t="str">
        <x:v>كغ</x:v>
      </x:c>
      <x:c r="I3" s="61" t="n">
        <x:v>12000</x:v>
      </x:c>
    </x:row>
    <x:row r="4">
      <x:c r="A4" t="str">
        <x:v>كومبو الصباح</x:v>
      </x:c>
      <x:c r="B4" t="str">
        <x:v>morning_combo</x:v>
      </x:c>
      <x:c r="C4" t="str">
        <x:v>كومبو الصباح</x:v>
      </x:c>
      <x:c r="D4" s="60" t="n">
        <x:v>50000</x:v>
      </x:c>
      <x:c r="F4" t="str">
        <x:v>كوسا</x:v>
      </x:c>
      <x:c r="G4" t="str">
        <x:v>ING-VEG-ZUCCHINI</x:v>
      </x:c>
      <x:c r="H4" t="str">
        <x:v>كغ</x:v>
      </x:c>
      <x:c r="I4" s="61" t="n">
        <x:v>8000</x:v>
      </x:c>
    </x:row>
    <x:row r="5">
      <x:c r="A5" t="str">
        <x:v>مازا صغيرة</x:v>
      </x:c>
      <x:c r="B5" t="str">
        <x:v>small_mezza</x:v>
      </x:c>
      <x:c r="C5" t="str">
        <x:v>المازة</x:v>
      </x:c>
      <x:c r="D5" s="60" t="n">
        <x:v>8000</x:v>
      </x:c>
      <x:c r="F5" t="str">
        <x:v>ليمون</x:v>
      </x:c>
      <x:c r="G5" t="str">
        <x:v>ING-FRT-LEMON</x:v>
      </x:c>
      <x:c r="H5" t="str">
        <x:v>كغ</x:v>
      </x:c>
      <x:c r="I5" s="61" t="n">
        <x:v>30000</x:v>
      </x:c>
    </x:row>
    <x:row r="6">
      <x:c r="A6" t="str">
        <x:v>مازا مفردة</x:v>
      </x:c>
      <x:c r="B6" t="str">
        <x:v>single_mezza</x:v>
      </x:c>
      <x:c r="C6" t="str">
        <x:v>المازة</x:v>
      </x:c>
      <x:c r="D6" s="60" t="n">
        <x:v>10000</x:v>
      </x:c>
      <x:c r="F6" t="str">
        <x:v>بندورة</x:v>
      </x:c>
      <x:c r="G6" t="str">
        <x:v>ING-VEG-TOMATO</x:v>
      </x:c>
      <x:c r="H6" t="str">
        <x:v>كغ</x:v>
      </x:c>
      <x:c r="I6" s="61" t="n">
        <x:v>9000</x:v>
      </x:c>
    </x:row>
    <x:row r="7">
      <x:c r="A7" t="str">
        <x:v>طبق 3 مازات</x:v>
      </x:c>
      <x:c r="B7" t="str">
        <x:v>three_mezza_plate</x:v>
      </x:c>
      <x:c r="C7" t="str">
        <x:v>المازة</x:v>
      </x:c>
      <x:c r="D7" s="60" t="n">
        <x:v>25000</x:v>
      </x:c>
      <x:c r="F7" t="str">
        <x:v>فاصوليا خضراء</x:v>
      </x:c>
      <x:c r="G7" t="str">
        <x:v>ING-VEG-GREENBEAN</x:v>
      </x:c>
      <x:c r="H7" t="str">
        <x:v>كغ</x:v>
      </x:c>
      <x:c r="I7" s="61" t="n">
        <x:v>15500</x:v>
      </x:c>
    </x:row>
    <x:row r="8">
      <x:c r="A8" t="str">
        <x:v>طبق 5 مازات</x:v>
      </x:c>
      <x:c r="B8" t="str">
        <x:v>five_mezza_plate</x:v>
      </x:c>
      <x:c r="C8" t="str">
        <x:v>المازة</x:v>
      </x:c>
      <x:c r="D8" s="60" t="n">
        <x:v>40000</x:v>
      </x:c>
      <x:c r="F8" t="str">
        <x:v>فجل</x:v>
      </x:c>
      <x:c r="G8" t="str">
        <x:v>ING-VEG-RADISH</x:v>
      </x:c>
      <x:c r="H8" t="str">
        <x:v>عبوة</x:v>
      </x:c>
      <x:c r="I8" s="61" t="n">
        <x:v>2000</x:v>
      </x:c>
    </x:row>
    <x:row r="9">
      <x:c r="A9" t="str">
        <x:v>شاي عادي</x:v>
      </x:c>
      <x:c r="B9" t="str">
        <x:v>regular_tea</x:v>
      </x:c>
      <x:c r="C9" t="str">
        <x:v>مشروبات ساخنة</x:v>
      </x:c>
      <x:c r="D9" s="60" t="n">
        <x:v>4000</x:v>
      </x:c>
      <x:c r="F9" t="str">
        <x:v>باذنجان</x:v>
      </x:c>
      <x:c r="G9" t="str">
        <x:v>ING-VEG-EGGPLANT</x:v>
      </x:c>
      <x:c r="H9" t="str">
        <x:v>كغ</x:v>
      </x:c>
      <x:c r="I9" s="61" t="n">
        <x:v>5000</x:v>
      </x:c>
    </x:row>
    <x:row r="10">
      <x:c r="A10" t="str">
        <x:v>شاي مع نعنع</x:v>
      </x:c>
      <x:c r="B10" t="str">
        <x:v>mint_tea</x:v>
      </x:c>
      <x:c r="C10" t="str">
        <x:v>مشروبات ساخنة</x:v>
      </x:c>
      <x:c r="D10" s="60" t="n">
        <x:v>5000</x:v>
      </x:c>
      <x:c r="F10" t="str">
        <x:v>فليفلة حارة</x:v>
      </x:c>
      <x:c r="G10" t="str">
        <x:v>ING-VEG-HOTPEPPER</x:v>
      </x:c>
      <x:c r="H10" t="str">
        <x:v>كغ</x:v>
      </x:c>
      <x:c r="I10" s="61" t="n">
        <x:v>10000</x:v>
      </x:c>
    </x:row>
    <x:row r="11">
      <x:c r="A11" t="str">
        <x:v>شاي مع ميرمية</x:v>
      </x:c>
      <x:c r="B11" t="str">
        <x:v>sage_tea</x:v>
      </x:c>
      <x:c r="C11" t="str">
        <x:v>مشروبات ساخنة</x:v>
      </x:c>
      <x:c r="D11" s="60" t="n">
        <x:v>5000</x:v>
      </x:c>
      <x:c r="F11" t="str">
        <x:v>فليفلة حلوة</x:v>
      </x:c>
      <x:c r="G11" t="str">
        <x:v>ING-VEG-BELLPEPPER</x:v>
      </x:c>
      <x:c r="H11" t="str">
        <x:v>كغ</x:v>
      </x:c>
      <x:c r="I11" s="61" t="n">
        <x:v>9000</x:v>
      </x:c>
    </x:row>
    <x:row r="12">
      <x:c r="A12" t="str">
        <x:v>شاي إيرل غراي</x:v>
      </x:c>
      <x:c r="B12" t="str">
        <x:v>earl_grey_tea</x:v>
      </x:c>
      <x:c r="C12" t="str">
        <x:v>مشروبات ساخنة</x:v>
      </x:c>
      <x:c r="D12" s="60" t="n">
        <x:v>6000</x:v>
      </x:c>
      <x:c r="F12" t="str">
        <x:v>خيار / بعجور</x:v>
      </x:c>
      <x:c r="G12" t="str">
        <x:v>ING-VEG-CUCUMBER</x:v>
      </x:c>
      <x:c r="H12" t="str">
        <x:v>كغ</x:v>
      </x:c>
      <x:c r="I12" s="61" t="n">
        <x:v>5000</x:v>
      </x:c>
    </x:row>
    <x:row r="13">
      <x:c r="A13" t="str">
        <x:v>شاي فواكه / منكه</x:v>
      </x:c>
      <x:c r="B13" t="str">
        <x:v>fruit_flavored_tea</x:v>
      </x:c>
      <x:c r="C13" t="str">
        <x:v>مشروبات ساخنة</x:v>
      </x:c>
      <x:c r="D13" s="60" t="n">
        <x:v>7000</x:v>
      </x:c>
      <x:c r="F13" t="str">
        <x:v>بازيلا خضراء</x:v>
      </x:c>
      <x:c r="G13" t="str">
        <x:v>ING-VEG-GREENPEAS</x:v>
      </x:c>
      <x:c r="H13" t="str">
        <x:v>كغ</x:v>
      </x:c>
      <x:c r="I13" s="61" t="n">
        <x:v>8000</x:v>
      </x:c>
    </x:row>
    <x:row r="14">
      <x:c r="A14" t="str">
        <x:v>زهورات</x:v>
      </x:c>
      <x:c r="B14" t="str">
        <x:v>zhourat</x:v>
      </x:c>
      <x:c r="C14" t="str">
        <x:v>مشروبات ساخنة</x:v>
      </x:c>
      <x:c r="D14" s="60" t="n">
        <x:v>8000</x:v>
      </x:c>
      <x:c r="F14" t="str">
        <x:v>ملفوف أحمر</x:v>
      </x:c>
      <x:c r="G14" t="str">
        <x:v>ING-VEG-REDCABBAGE</x:v>
      </x:c>
      <x:c r="H14" t="str">
        <x:v>كغ</x:v>
      </x:c>
      <x:c r="I14" s="61" t="n">
        <x:v>6000</x:v>
      </x:c>
    </x:row>
    <x:row r="15">
      <x:c r="A15" t="str">
        <x:v>هوت شوكليت بالماء</x:v>
      </x:c>
      <x:c r="B15" t="str">
        <x:v>hot_chocolate_water</x:v>
      </x:c>
      <x:c r="C15" t="str">
        <x:v>مشروبات ساخنة</x:v>
      </x:c>
      <x:c r="D15" s="60" t="n">
        <x:v>8000</x:v>
      </x:c>
      <x:c r="F15" t="str">
        <x:v>ملفوف أخضر</x:v>
      </x:c>
      <x:c r="G15" t="str">
        <x:v>ING-VEG-GREENCABBAGE</x:v>
      </x:c>
      <x:c r="H15" t="str">
        <x:v>كغ</x:v>
      </x:c>
      <x:c r="I15" s="61" t="n">
        <x:v>5000</x:v>
      </x:c>
    </x:row>
    <x:row r="16">
      <x:c r="A16" t="str">
        <x:v>هوت شوكليت بالحليب</x:v>
      </x:c>
      <x:c r="B16" t="str">
        <x:v>hot_chocolate_milk</x:v>
      </x:c>
      <x:c r="C16" t="str">
        <x:v>مشروبات ساخنة</x:v>
      </x:c>
      <x:c r="D16" s="60" t="n">
        <x:v>14000</x:v>
      </x:c>
      <x:c r="F16" t="str">
        <x:v>خس</x:v>
      </x:c>
      <x:c r="G16" t="str">
        <x:v>ING-VEG-LETTUCE</x:v>
      </x:c>
      <x:c r="H16" t="str">
        <x:v>عبوة</x:v>
      </x:c>
      <x:c r="I16" s="61" t="n">
        <x:v>8000</x:v>
      </x:c>
    </x:row>
    <x:row r="17">
      <x:c r="A17" t="str">
        <x:v>ماتشا بالماء</x:v>
      </x:c>
      <x:c r="B17" t="str">
        <x:v>matcha_water</x:v>
      </x:c>
      <x:c r="C17" t="str">
        <x:v>مشروبات ساخنة</x:v>
      </x:c>
      <x:c r="D17" s="60" t="n">
        <x:v>14000</x:v>
      </x:c>
      <x:c r="F17" t="str">
        <x:v>جزر</x:v>
      </x:c>
      <x:c r="G17" t="str">
        <x:v>ING-VEG-CARROT</x:v>
      </x:c>
      <x:c r="H17" t="str">
        <x:v>كغ</x:v>
      </x:c>
      <x:c r="I17" s="61" t="n">
        <x:v>9000</x:v>
      </x:c>
    </x:row>
    <x:row r="18">
      <x:c r="A18" t="str">
        <x:v>ماتشا لاتيه ساخن</x:v>
      </x:c>
      <x:c r="B18" t="str">
        <x:v>hot_matcha_latte</x:v>
      </x:c>
      <x:c r="C18" t="str">
        <x:v>مشروبات ساخنة</x:v>
      </x:c>
      <x:c r="D18" s="60" t="n">
        <x:v>20000</x:v>
      </x:c>
      <x:c r="F18" t="str">
        <x:v>شمندر</x:v>
      </x:c>
      <x:c r="G18" t="str">
        <x:v>ING-VEG-BEET</x:v>
      </x:c>
      <x:c r="H18" t="str">
        <x:v>كغ</x:v>
      </x:c>
      <x:c r="I18" s="61"/>
    </x:row>
    <x:row r="19">
      <x:c r="A19" t="str">
        <x:v>كولا / سفن أب — كاسة</x:v>
      </x:c>
      <x:c r="B19" t="str">
        <x:v>cola_7up_glass</x:v>
      </x:c>
      <x:c r="C19" t="str">
        <x:v>مشروبات باردة</x:v>
      </x:c>
      <x:c r="D19" s="60" t="n">
        <x:v>6000</x:v>
      </x:c>
      <x:c r="F19" t="str">
        <x:v>سبانخ</x:v>
      </x:c>
      <x:c r="G19" t="str">
        <x:v>ING-VEG-SPINACH</x:v>
      </x:c>
      <x:c r="H19" t="str">
        <x:v>كغ</x:v>
      </x:c>
      <x:c r="I19" s="61"/>
    </x:row>
    <x:row r="20">
      <x:c r="A20" t="str">
        <x:v>مشروب معلب / غازي</x:v>
      </x:c>
      <x:c r="B20" t="str">
        <x:v>canned_fizzy_drink</x:v>
      </x:c>
      <x:c r="C20" t="str">
        <x:v>مشروبات باردة</x:v>
      </x:c>
      <x:c r="D20" s="60" t="n">
        <x:v>9000</x:v>
      </x:c>
      <x:c r="F20" t="str">
        <x:v>كرفس</x:v>
      </x:c>
      <x:c r="G20" t="str">
        <x:v>ING-HERB-CELERY</x:v>
      </x:c>
      <x:c r="H20" t="str">
        <x:v>عبوة</x:v>
      </x:c>
      <x:c r="I20" s="61"/>
    </x:row>
    <x:row r="21">
      <x:c r="A21" t="str">
        <x:v>عصير كاسة</x:v>
      </x:c>
      <x:c r="B21" t="str">
        <x:v>juice_glass</x:v>
      </x:c>
      <x:c r="C21" t="str">
        <x:v>مشروبات باردة</x:v>
      </x:c>
      <x:c r="D21" s="60" t="n">
        <x:v>8000</x:v>
      </x:c>
      <x:c r="F21" t="str">
        <x:v>بصل أخضر</x:v>
      </x:c>
      <x:c r="G21" t="str">
        <x:v>ING-HERB-SPRINGONION</x:v>
      </x:c>
      <x:c r="H21" t="str">
        <x:v>عبوة</x:v>
      </x:c>
      <x:c r="I21" s="61"/>
    </x:row>
    <x:row r="22">
      <x:c r="A22" t="str">
        <x:v>عصير كبير</x:v>
      </x:c>
      <x:c r="B22" t="str">
        <x:v>large_juice</x:v>
      </x:c>
      <x:c r="C22" t="str">
        <x:v>مشروبات باردة</x:v>
      </x:c>
      <x:c r="D22" s="60" t="n">
        <x:v>12000</x:v>
      </x:c>
      <x:c r="F22" t="str">
        <x:v>ثوم طازج</x:v>
      </x:c>
      <x:c r="G22" t="str">
        <x:v>ING-VEG-GARLIC</x:v>
      </x:c>
      <x:c r="H22" t="str">
        <x:v>كغ</x:v>
      </x:c>
      <x:c r="I22" s="61" t="n">
        <x:v>8000</x:v>
      </x:c>
    </x:row>
    <x:row r="23">
      <x:c r="A23" t="str">
        <x:v>شنينة / لبن بارد</x:v>
      </x:c>
      <x:c r="B23" t="str">
        <x:v>cold_yogurt_drink</x:v>
      </x:c>
      <x:c r="C23" t="str">
        <x:v>مشروبات باردة</x:v>
      </x:c>
      <x:c r="D23" s="60" t="n">
        <x:v>10000</x:v>
      </x:c>
      <x:c r="F23" t="str">
        <x:v>فطر طازج</x:v>
      </x:c>
      <x:c r="G23" t="str">
        <x:v>ING-VEG-MUSHROOM</x:v>
      </x:c>
      <x:c r="H23" t="str">
        <x:v>كغ</x:v>
      </x:c>
      <x:c r="I23" s="61"/>
    </x:row>
    <x:row r="24">
      <x:c r="A24" t="str">
        <x:v>دبس وليمون</x:v>
      </x:c>
      <x:c r="B24" t="str">
        <x:v>dibs_lemon</x:v>
      </x:c>
      <x:c r="C24" t="str">
        <x:v>مشروبات باردة</x:v>
      </x:c>
      <x:c r="D24" s="60" t="n">
        <x:v>12000</x:v>
      </x:c>
      <x:c r="F24" t="str">
        <x:v>ذرة حلوة</x:v>
      </x:c>
      <x:c r="G24" t="str">
        <x:v>ING-VEG-SWEETCORN</x:v>
      </x:c>
      <x:c r="H24" t="str">
        <x:v>كغ</x:v>
      </x:c>
      <x:c r="I24" s="61"/>
    </x:row>
    <x:row r="25">
      <x:c r="A25" t="str">
        <x:v>جلاب الكرمة</x:v>
      </x:c>
      <x:c r="B25" t="str">
        <x:v>karma_jallab</x:v>
      </x:c>
      <x:c r="C25" t="str">
        <x:v>مشروبات باردة</x:v>
      </x:c>
      <x:c r="D25" s="60" t="n">
        <x:v>15000</x:v>
      </x:c>
      <x:c r="F25" t="str">
        <x:v>عرانيس ذرة</x:v>
      </x:c>
      <x:c r="G25" t="str">
        <x:v>ING-VEG-CORNCOB</x:v>
      </x:c>
      <x:c r="H25" t="str">
        <x:v>قطعة</x:v>
      </x:c>
      <x:c r="I25" s="61"/>
    </x:row>
    <x:row r="26">
      <x:c r="A26" t="str">
        <x:v>آيس ماتشا لاتيه</x:v>
      </x:c>
      <x:c r="B26" t="str">
        <x:v>iced_matcha_latte</x:v>
      </x:c>
      <x:c r="C26" t="str">
        <x:v>مشروبات باردة</x:v>
      </x:c>
      <x:c r="D26" s="60" t="n">
        <x:v>24000</x:v>
      </x:c>
      <x:c r="F26" t="str">
        <x:v>ورق عنب</x:v>
      </x:c>
      <x:c r="G26" t="str">
        <x:v>ING-VEG-GRAPELEAF</x:v>
      </x:c>
      <x:c r="H26" t="str">
        <x:v>كغ</x:v>
      </x:c>
      <x:c r="I26" s="61"/>
    </x:row>
    <x:row r="27">
      <x:c r="A27" t="str">
        <x:v>ماتشا سبيشال</x:v>
      </x:c>
      <x:c r="B27" t="str">
        <x:v>matcha_special</x:v>
      </x:c>
      <x:c r="C27" t="str">
        <x:v>مشروبات باردة</x:v>
      </x:c>
      <x:c r="D27" s="60" t="n">
        <x:v>28000</x:v>
      </x:c>
      <x:c r="F27" t="str">
        <x:v>نعنع طازج</x:v>
      </x:c>
      <x:c r="G27" t="str">
        <x:v>ING-HERB-MINT</x:v>
      </x:c>
      <x:c r="H27" t="str">
        <x:v>عبوة</x:v>
      </x:c>
      <x:c r="I27" s="61" t="n">
        <x:v>1500</x:v>
      </x:c>
    </x:row>
    <x:row r="28">
      <x:c r="A28" t="str">
        <x:v>كاسة الواجب — متّة مشاريب</x:v>
      </x:c>
      <x:c r="B28" t="str">
        <x:v>wajib_cup_mate</x:v>
      </x:c>
      <x:c r="C28" t="str">
        <x:v>مشروبات توقيع</x:v>
      </x:c>
      <x:c r="D28" s="60" t="n">
        <x:v>12000</x:v>
      </x:c>
      <x:c r="F28" t="str">
        <x:v>بقدونس</x:v>
      </x:c>
      <x:c r="G28" t="str">
        <x:v>ING-HERB-PARSLEY</x:v>
      </x:c>
      <x:c r="H28" t="str">
        <x:v>عبوة</x:v>
      </x:c>
      <x:c r="I28" s="61" t="n">
        <x:v>1500</x:v>
      </x:c>
    </x:row>
    <x:row r="29">
      <x:c r="A29" t="str">
        <x:v>متّة طاولة</x:v>
      </x:c>
      <x:c r="B29" t="str">
        <x:v>table_mate</x:v>
      </x:c>
      <x:c r="C29" t="str">
        <x:v>مشروبات توقيع</x:v>
      </x:c>
      <x:c r="D29" s="60" t="n">
        <x:v>25000</x:v>
      </x:c>
      <x:c r="F29" t="str">
        <x:v>كزبرة خضراء</x:v>
      </x:c>
      <x:c r="G29" t="str">
        <x:v>ING-HERB-CILANTRO</x:v>
      </x:c>
      <x:c r="H29" t="str">
        <x:v>عبوة</x:v>
      </x:c>
      <x:c r="I29" s="61"/>
    </x:row>
    <x:row r="30">
      <x:c r="A30" t="str">
        <x:v>زهرات البازلت</x:v>
      </x:c>
      <x:c r="B30" t="str">
        <x:v>basalt_zhourat</x:v>
      </x:c>
      <x:c r="C30" t="str">
        <x:v>مشروبات توقيع</x:v>
      </x:c>
      <x:c r="D30" s="60" t="n">
        <x:v>8000</x:v>
      </x:c>
      <x:c r="F30" t="str">
        <x:v>حبق / ريحان</x:v>
      </x:c>
      <x:c r="G30" t="str">
        <x:v>ING-HERB-BASIL</x:v>
      </x:c>
      <x:c r="H30" t="str">
        <x:v>عبوة</x:v>
      </x:c>
      <x:c r="I30" s="61"/>
    </x:row>
    <x:row r="31">
      <x:c r="A31" t="str">
        <x:v>شاي تفاح وميرمية</x:v>
      </x:c>
      <x:c r="B31" t="str">
        <x:v>apple_sage_tea</x:v>
      </x:c>
      <x:c r="C31" t="str">
        <x:v>مشروبات توقيع</x:v>
      </x:c>
      <x:c r="D31" s="60" t="n">
        <x:v>10000</x:v>
      </x:c>
      <x:c r="F31" t="str">
        <x:v>زعتر بري طازج</x:v>
      </x:c>
      <x:c r="G31" t="str">
        <x:v>ING-HERB-WILDTHYME</x:v>
      </x:c>
      <x:c r="H31" t="str">
        <x:v>عبوة</x:v>
      </x:c>
      <x:c r="I31" s="61" t="n">
        <x:v>3000</x:v>
      </x:c>
    </x:row>
    <x:row r="32">
      <x:c r="A32" t="str">
        <x:v>صينية كيش + طبق 5 مازات</x:v>
      </x:c>
      <x:c r="B32" t="str">
        <x:v>quiche_five_mezza_tray</x:v>
      </x:c>
      <x:c r="C32" t="str">
        <x:v>صواني وطلبات طاولة</x:v>
      </x:c>
      <x:c r="D32" s="60" t="n">
        <x:v>160000</x:v>
      </x:c>
      <x:c r="F32" t="str">
        <x:v>ترخون</x:v>
      </x:c>
      <x:c r="G32" t="str">
        <x:v>ING-HERB-TARRAGON</x:v>
      </x:c>
      <x:c r="H32" t="str">
        <x:v>عبوة</x:v>
      </x:c>
      <x:c r="I32" s="61" t="n">
        <x:v>3000</x:v>
      </x:c>
    </x:row>
    <x:row r="33">
      <x:c r="A33" t="str">
        <x:v>صينية كيش + طبق 7 مازات</x:v>
      </x:c>
      <x:c r="B33" t="str">
        <x:v>quiche_seven_mezza_tray</x:v>
      </x:c>
      <x:c r="C33" t="str">
        <x:v>صواني وطلبات طاولة</x:v>
      </x:c>
      <x:c r="D33" s="60" t="n">
        <x:v>175000</x:v>
      </x:c>
      <x:c r="F33" t="str">
        <x:v>شبت</x:v>
      </x:c>
      <x:c r="G33" t="str">
        <x:v>ING-HERB-DILL</x:v>
      </x:c>
      <x:c r="H33" t="str">
        <x:v>عبوة</x:v>
      </x:c>
      <x:c r="I33" s="61"/>
    </x:row>
    <x:row r="34">
      <x:c r="A34" t="str">
        <x:v>طبق 7 مازات كبير</x:v>
      </x:c>
      <x:c r="B34" t="str">
        <x:v>large_seven_mezza_plate</x:v>
      </x:c>
      <x:c r="C34" t="str">
        <x:v>صواني وطلبات طاولة</x:v>
      </x:c>
      <x:c r="D34" s="60" t="n">
        <x:v>55000</x:v>
      </x:c>
      <x:c r="F34" t="str">
        <x:v>تفاح</x:v>
      </x:c>
      <x:c r="G34" t="str">
        <x:v>ING-FRT-APPLE</x:v>
      </x:c>
      <x:c r="H34" t="str">
        <x:v>كغ</x:v>
      </x:c>
      <x:c r="I34" s="61"/>
    </x:row>
    <x:row r="35">
      <x:c r="A35" t="str">
        <x:v>عرق الريان — كأس</x:v>
      </x:c>
      <x:c r="B35" t="str">
        <x:v>rayan_arak_glass</x:v>
      </x:c>
      <x:c r="C35" t="str">
        <x:v>مناسبات فقط</x:v>
      </x:c>
      <x:c r="D35" s="60" t="n">
        <x:v>12000</x:v>
      </x:c>
      <x:c r="F35" t="str">
        <x:v>بطيخ أحمر</x:v>
      </x:c>
      <x:c r="G35" t="str">
        <x:v>ING-FRT-WATERMELON</x:v>
      </x:c>
      <x:c r="H35" t="str">
        <x:v>كغ</x:v>
      </x:c>
      <x:c r="I35" s="61"/>
    </x:row>
    <x:row r="36">
      <x:c r="A36" t="str">
        <x:v>عرق الريان — كاراف صغير</x:v>
      </x:c>
      <x:c r="B36" t="str">
        <x:v>rayan_arak_small_carafe</x:v>
      </x:c>
      <x:c r="C36" t="str">
        <x:v>مناسبات فقط</x:v>
      </x:c>
      <x:c r="D36" s="60" t="n">
        <x:v>45000</x:v>
      </x:c>
      <x:c r="F36" t="str">
        <x:v>رمان</x:v>
      </x:c>
      <x:c r="G36" t="str">
        <x:v>ING-FRT-POMEGRANATE</x:v>
      </x:c>
      <x:c r="H36" t="str">
        <x:v>كغ</x:v>
      </x:c>
      <x:c r="I36" s="61"/>
    </x:row>
    <x:row r="37">
      <x:c r="A37" t="str">
        <x:v>عرق الريان — لتر طاولة</x:v>
      </x:c>
      <x:c r="B37" t="str">
        <x:v>rayan_arak_table_liter</x:v>
      </x:c>
      <x:c r="C37" t="str">
        <x:v>مناسبات فقط</x:v>
      </x:c>
      <x:c r="D37" s="60" t="n">
        <x:v>120000</x:v>
      </x:c>
      <x:c r="F37" t="str">
        <x:v>برتقال</x:v>
      </x:c>
      <x:c r="G37" t="str">
        <x:v>ING-FRT-ORANGE</x:v>
      </x:c>
      <x:c r="H37" t="str">
        <x:v>كغ</x:v>
      </x:c>
      <x:c r="I37" s="61"/>
    </x:row>
    <x:row r="38">
      <x:c r="A38" t="str">
        <x:v>بيرة خفيفة</x:v>
      </x:c>
      <x:c r="B38" t="str">
        <x:v>light_beer</x:v>
      </x:c>
      <x:c r="C38" t="str">
        <x:v>مناسبات فقط</x:v>
      </x:c>
      <x:c r="D38" s="60" t="n">
        <x:v>45000</x:v>
      </x:c>
      <x:c r="F38" t="str">
        <x:v>موز</x:v>
      </x:c>
      <x:c r="G38" t="str">
        <x:v>ING-FRT-BANANA</x:v>
      </x:c>
      <x:c r="H38" t="str">
        <x:v>كغ</x:v>
      </x:c>
      <x:c r="I38" s="61"/>
    </x:row>
    <x:row r="39">
      <x:c r="A39" t="str">
        <x:v>بيرة ثقيلة</x:v>
      </x:c>
      <x:c r="B39" t="str">
        <x:v>strong_beer</x:v>
      </x:c>
      <x:c r="C39" t="str">
        <x:v>مناسبات فقط</x:v>
      </x:c>
      <x:c r="D39" s="60" t="n">
        <x:v>50000</x:v>
      </x:c>
      <x:c r="F39" t="str">
        <x:v>فريز</x:v>
      </x:c>
      <x:c r="G39" t="str">
        <x:v>ING-FRT-STRAWBERRY</x:v>
      </x:c>
      <x:c r="H39" t="str">
        <x:v>كغ</x:v>
      </x:c>
      <x:c r="I39" s="61"/>
    </x:row>
    <x:row r="40">
      <x:c r="A40" t="str">
        <x:v>كأس عرق + مازتين</x:v>
      </x:c>
      <x:c r="B40" t="str">
        <x:v>arak_glass_two_mezza</x:v>
      </x:c>
      <x:c r="C40" t="str">
        <x:v>مناسبات فقط</x:v>
      </x:c>
      <x:c r="D40" s="60" t="n">
        <x:v>32000</x:v>
      </x:c>
      <x:c r="F40" t="str">
        <x:v>مشمش</x:v>
      </x:c>
      <x:c r="G40" t="str">
        <x:v>ING-FRT-APRICOT</x:v>
      </x:c>
      <x:c r="H40" t="str">
        <x:v>كغ</x:v>
      </x:c>
      <x:c r="I40" s="61"/>
    </x:row>
    <x:row r="41">
      <x:c r="A41" t="str">
        <x:v>كاراف عرق صغير + 3 مازات</x:v>
      </x:c>
      <x:c r="B41" t="str">
        <x:v>small_arak_carafe_three_mezza</x:v>
      </x:c>
      <x:c r="C41" t="str">
        <x:v>مناسبات فقط</x:v>
      </x:c>
      <x:c r="D41" s="60" t="n">
        <x:v>70000</x:v>
      </x:c>
      <x:c r="F41" t="str">
        <x:v>تين</x:v>
      </x:c>
      <x:c r="G41" t="str">
        <x:v>ING-FRT-FIG</x:v>
      </x:c>
      <x:c r="H41" t="str">
        <x:v>كغ</x:v>
      </x:c>
      <x:c r="I41" s="61"/>
    </x:row>
    <x:row r="42">
      <x:c r="A42" t="str">
        <x:v>لتر عرق + طبق 4 مازات</x:v>
      </x:c>
      <x:c r="B42" t="str">
        <x:v>arak_liter_four_mezza</x:v>
      </x:c>
      <x:c r="C42" t="str">
        <x:v>مناسبات فقط</x:v>
      </x:c>
      <x:c r="D42" s="60" t="n">
        <x:v>155000</x:v>
      </x:c>
      <x:c r="F42" t="str">
        <x:v>عنب</x:v>
      </x:c>
      <x:c r="G42" t="str">
        <x:v>ING-FRT-GRAPES</x:v>
      </x:c>
      <x:c r="H42" t="str">
        <x:v>كغ</x:v>
      </x:c>
      <x:c r="I42" s="61"/>
    </x:row>
    <x:row r="43">
      <x:c r="A43" t="str">
        <x:v>لبنة وأعشاب</x:v>
      </x:c>
      <x:c r="B43" t="str"/>
      <x:c r="C43" t="str">
        <x:v>سندويشات هَب</x:v>
      </x:c>
      <x:c r="D43" s="60"/>
      <x:c r="F43" t="str">
        <x:v>لبن مبستر</x:v>
      </x:c>
      <x:c r="G43" t="str">
        <x:v>ING-DAIRY-YOGURT-PAST</x:v>
      </x:c>
      <x:c r="H43" t="str">
        <x:v>كغ</x:v>
      </x:c>
      <x:c r="I43" s="61" t="n">
        <x:v>15000</x:v>
      </x:c>
    </x:row>
    <x:row r="44">
      <x:c r="A44" t="str">
        <x:v>زيت وزعتر</x:v>
      </x:c>
      <x:c r="B44" t="str"/>
      <x:c r="C44" t="str">
        <x:v>سندويشات هَب</x:v>
      </x:c>
      <x:c r="D44" s="60"/>
      <x:c r="F44" t="str">
        <x:v>لبن بلدي</x:v>
      </x:c>
      <x:c r="G44" t="str">
        <x:v>ING-DAIRY-YOGURT-LOCAL</x:v>
      </x:c>
      <x:c r="H44" t="str">
        <x:v>عبوة</x:v>
      </x:c>
      <x:c r="I44" s="61" t="n">
        <x:v>10000</x:v>
      </x:c>
    </x:row>
    <x:row r="45">
      <x:c r="A45" t="str">
        <x:v>محمّرة</x:v>
      </x:c>
      <x:c r="B45" t="str"/>
      <x:c r="C45" t="str">
        <x:v>سندويشات هَب</x:v>
      </x:c>
      <x:c r="D45" s="60"/>
      <x:c r="F45" t="str">
        <x:v>حليب</x:v>
      </x:c>
      <x:c r="G45" t="str">
        <x:v>ING-DAIRY-MILK</x:v>
      </x:c>
      <x:c r="H45" t="str">
        <x:v>لتر</x:v>
      </x:c>
      <x:c r="I45" s="61" t="n">
        <x:v>15000</x:v>
      </x:c>
    </x:row>
    <x:row r="46">
      <x:c r="A46" t="str">
        <x:v>الجبنة البلدية</x:v>
      </x:c>
      <x:c r="B46" t="str"/>
      <x:c r="C46" t="str">
        <x:v>سندويشات هَب</x:v>
      </x:c>
      <x:c r="D46" s="60"/>
      <x:c r="F46" t="str">
        <x:v>كريمة طبخ</x:v>
      </x:c>
      <x:c r="G46" t="str">
        <x:v>ING-DAIRY-COOKCREAM</x:v>
      </x:c>
      <x:c r="H46" t="str">
        <x:v>لتر</x:v>
      </x:c>
      <x:c r="I46" s="61"/>
    </x:row>
    <x:row r="47">
      <x:c r="A47" t="str">
        <x:v>شلل مشوية</x:v>
      </x:c>
      <x:c r="B47" t="str"/>
      <x:c r="C47" t="str">
        <x:v>سندويشات هَب</x:v>
      </x:c>
      <x:c r="D47" s="60"/>
      <x:c r="F47" t="str">
        <x:v>كريمة خفق</x:v>
      </x:c>
      <x:c r="G47" t="str">
        <x:v>ING-DAIRY-WHIPCREAM</x:v>
      </x:c>
      <x:c r="H47" t="str">
        <x:v>لتر</x:v>
      </x:c>
      <x:c r="I47" s="61"/>
    </x:row>
    <x:row r="48">
      <x:c r="A48" t="str">
        <x:v>قشقوان محمصة</x:v>
      </x:c>
      <x:c r="B48" t="str"/>
      <x:c r="C48" t="str">
        <x:v>سندويشات هَب</x:v>
      </x:c>
      <x:c r="D48" s="60"/>
      <x:c r="F48" t="str">
        <x:v>زبدة</x:v>
      </x:c>
      <x:c r="G48" t="str">
        <x:v>ING-DAIRY-BUTTER</x:v>
      </x:c>
      <x:c r="H48" t="str">
        <x:v>كغ</x:v>
      </x:c>
      <x:c r="I48" s="61"/>
    </x:row>
    <x:row r="49">
      <x:c r="A49" t="str">
        <x:v>بيض وجبنة</x:v>
      </x:c>
      <x:c r="B49" t="str"/>
      <x:c r="C49" t="str">
        <x:v>سندويشات هَب</x:v>
      </x:c>
      <x:c r="D49" s="60"/>
      <x:c r="F49" t="str">
        <x:v>سمنة</x:v>
      </x:c>
      <x:c r="G49" t="str">
        <x:v>ING-DAIRY-GHEE</x:v>
      </x:c>
      <x:c r="H49" t="str">
        <x:v>كغ</x:v>
      </x:c>
      <x:c r="I49" s="61"/>
    </x:row>
    <x:row r="50">
      <x:c r="A50" t="str">
        <x:v>مرتديلا هَب</x:v>
      </x:c>
      <x:c r="B50" t="str"/>
      <x:c r="C50" t="str">
        <x:v>سندويشات هَب</x:v>
      </x:c>
      <x:c r="D50" s="60"/>
      <x:c r="F50" t="str">
        <x:v>بيض</x:v>
      </x:c>
      <x:c r="G50" t="str">
        <x:v>ING-DAIRY-EGG</x:v>
      </x:c>
      <x:c r="H50" t="str">
        <x:v>قطعة</x:v>
      </x:c>
      <x:c r="I50" s="61" t="n">
        <x:v>1500</x:v>
      </x:c>
    </x:row>
    <x:row r="51">
      <x:c r="A51" t="str">
        <x:v>حبش مدخن</x:v>
      </x:c>
      <x:c r="B51" t="str"/>
      <x:c r="C51" t="str">
        <x:v>سندويشات هَب</x:v>
      </x:c>
      <x:c r="D51" s="60"/>
      <x:c r="F51" t="str">
        <x:v>جبنة بيضاء</x:v>
      </x:c>
      <x:c r="G51" t="str">
        <x:v>ING-CHEESE-WHITE</x:v>
      </x:c>
      <x:c r="H51" t="str">
        <x:v>كغ</x:v>
      </x:c>
      <x:c r="I51" s="61"/>
    </x:row>
    <x:row r="52">
      <x:c r="A52" t="str">
        <x:v>تونة متوسطية</x:v>
      </x:c>
      <x:c r="B52" t="str"/>
      <x:c r="C52" t="str">
        <x:v>سندويشات هَب</x:v>
      </x:c>
      <x:c r="D52" s="60"/>
      <x:c r="F52" t="str">
        <x:v>جبنة برغر</x:v>
      </x:c>
      <x:c r="G52" t="str">
        <x:v>ING-CHEESE-BURGER</x:v>
      </x:c>
      <x:c r="H52" t="str">
        <x:v>عبوة</x:v>
      </x:c>
      <x:c r="I52" s="61" t="n">
        <x:v>20000</x:v>
      </x:c>
    </x:row>
    <x:row r="53">
      <x:c r="A53" t="str">
        <x:v>دجاج وثوم</x:v>
      </x:c>
      <x:c r="B53" t="str"/>
      <x:c r="C53" t="str">
        <x:v>سندويشات هَب</x:v>
      </x:c>
      <x:c r="D53" s="60"/>
      <x:c r="F53" t="str">
        <x:v>جبنة موزاريلا</x:v>
      </x:c>
      <x:c r="G53" t="str">
        <x:v>ING-CHEESE-MOZZARELLA</x:v>
      </x:c>
      <x:c r="H53" t="str">
        <x:v>كغ</x:v>
      </x:c>
      <x:c r="I53" s="61"/>
    </x:row>
    <x:row r="54">
      <x:c r="A54" t="str">
        <x:v>دجاج حار</x:v>
      </x:c>
      <x:c r="B54" t="str"/>
      <x:c r="C54" t="str">
        <x:v>سندويشات هَب</x:v>
      </x:c>
      <x:c r="D54" s="60"/>
      <x:c r="F54" t="str">
        <x:v>جبنة حلوم</x:v>
      </x:c>
      <x:c r="G54" t="str">
        <x:v>ING-CHEESE-HALLOUMI</x:v>
      </x:c>
      <x:c r="H54" t="str">
        <x:v>كغ</x:v>
      </x:c>
      <x:c r="I54" s="61"/>
    </x:row>
    <x:row r="55">
      <x:c r="A55" t="str">
        <x:v>زبدة ومربى</x:v>
      </x:c>
      <x:c r="B55" t="str"/>
      <x:c r="C55" t="str">
        <x:v>سندويشات هَب</x:v>
      </x:c>
      <x:c r="D55" s="60"/>
      <x:c r="F55" t="str">
        <x:v>لبنة</x:v>
      </x:c>
      <x:c r="G55" t="str">
        <x:v>ING-DAIRY-LABNEH</x:v>
      </x:c>
      <x:c r="H55" t="str">
        <x:v>كغ</x:v>
      </x:c>
      <x:c r="I55" s="61"/>
    </x:row>
    <x:row r="56">
      <x:c r="A56" t="str">
        <x:v>قهوة تركية</x:v>
      </x:c>
      <x:c r="B56" t="str"/>
      <x:c r="C56" t="str">
        <x:v>قهوة</x:v>
      </x:c>
      <x:c r="D56" s="60"/>
      <x:c r="F56" t="str">
        <x:v>جبنة كريمية</x:v>
      </x:c>
      <x:c r="G56" t="str">
        <x:v>ING-CHEESE-CREAM</x:v>
      </x:c>
      <x:c r="H56" t="str">
        <x:v>كغ</x:v>
      </x:c>
      <x:c r="I56" s="61"/>
    </x:row>
    <x:row r="57">
      <x:c r="A57" t="str">
        <x:v>إسبريسو</x:v>
      </x:c>
      <x:c r="B57" t="str"/>
      <x:c r="C57" t="str">
        <x:v>قهوة</x:v>
      </x:c>
      <x:c r="D57" s="60"/>
      <x:c r="F57" t="str">
        <x:v>جبنة بارميزان</x:v>
      </x:c>
      <x:c r="G57" t="str">
        <x:v>ING-CHEESE-PARMESAN</x:v>
      </x:c>
      <x:c r="H57" t="str">
        <x:v>كغ</x:v>
      </x:c>
      <x:c r="I57" s="61"/>
    </x:row>
    <x:row r="58">
      <x:c r="A58" t="str">
        <x:v>كابتشينو</x:v>
      </x:c>
      <x:c r="B58" t="str"/>
      <x:c r="C58" t="str">
        <x:v>قهوة</x:v>
      </x:c>
      <x:c r="D58" s="60"/>
      <x:c r="F58" t="str">
        <x:v>آيس كريم فانيلا</x:v>
      </x:c>
      <x:c r="G58" t="str">
        <x:v>ING-DAIRY-ICECREAM-VAN</x:v>
      </x:c>
      <x:c r="H58" t="str">
        <x:v>كغ</x:v>
      </x:c>
      <x:c r="I58" s="61"/>
    </x:row>
    <x:row r="59">
      <x:c r="A59" t="str">
        <x:v>لاتيه</x:v>
      </x:c>
      <x:c r="B59" t="str"/>
      <x:c r="C59" t="str">
        <x:v>قهوة</x:v>
      </x:c>
      <x:c r="D59" s="60"/>
      <x:c r="F59" t="str">
        <x:v>شنينة جاهزة</x:v>
      </x:c>
      <x:c r="G59" t="str">
        <x:v>DRK-AYRAN-READY</x:v>
      </x:c>
      <x:c r="H59" t="str">
        <x:v>لتر</x:v>
      </x:c>
      <x:c r="I59" s="61"/>
    </x:row>
    <x:row r="60">
      <x:c r="A60" t="str">
        <x:v>أمريكانو</x:v>
      </x:c>
      <x:c r="B60" t="str"/>
      <x:c r="C60" t="str">
        <x:v>قهوة</x:v>
      </x:c>
      <x:c r="D60" s="60"/>
      <x:c r="F60" t="str">
        <x:v>صدر دجاج</x:v>
      </x:c>
      <x:c r="G60" t="str">
        <x:v>ING-MEAT-CHICKENBREAST</x:v>
      </x:c>
      <x:c r="H60" t="str">
        <x:v>كغ</x:v>
      </x:c>
      <x:c r="I60" s="61" t="n">
        <x:v>35000</x:v>
      </x:c>
    </x:row>
    <x:row r="61">
      <x:c r="A61" t="str">
        <x:v>موكا</x:v>
      </x:c>
      <x:c r="B61" t="str"/>
      <x:c r="C61" t="str">
        <x:v>قهوة</x:v>
      </x:c>
      <x:c r="D61" s="60"/>
      <x:c r="F61" t="str">
        <x:v>دجاج كامل</x:v>
      </x:c>
      <x:c r="G61" t="str">
        <x:v>ING-MEAT-WHOLECHICKEN</x:v>
      </x:c>
      <x:c r="H61" t="str">
        <x:v>كغ</x:v>
      </x:c>
      <x:c r="I61" s="61"/>
    </x:row>
    <x:row r="62">
      <x:c r="A62" t="str">
        <x:v>قهوة سريعة التحضير</x:v>
      </x:c>
      <x:c r="B62" t="str"/>
      <x:c r="C62" t="str">
        <x:v>قهوة</x:v>
      </x:c>
      <x:c r="D62" s="60"/>
      <x:c r="F62" t="str">
        <x:v>لحم بقر مكعبات</x:v>
      </x:c>
      <x:c r="G62" t="str">
        <x:v>ING-MEAT-BEEF-CUBES</x:v>
      </x:c>
      <x:c r="H62" t="str">
        <x:v>كغ</x:v>
      </x:c>
      <x:c r="I62" s="61"/>
    </x:row>
    <x:row r="63">
      <x:c r="A63" t="str">
        <x:v>قهوة مثلجة</x:v>
      </x:c>
      <x:c r="B63" t="str"/>
      <x:c r="C63" t="str">
        <x:v>قهوة باردة</x:v>
      </x:c>
      <x:c r="D63" s="60"/>
      <x:c r="F63" t="str">
        <x:v>لحم بقر مفروم</x:v>
      </x:c>
      <x:c r="G63" t="str">
        <x:v>ING-MEAT-BEEF-GROUND</x:v>
      </x:c>
      <x:c r="H63" t="str">
        <x:v>كغ</x:v>
      </x:c>
      <x:c r="I63" s="61"/>
    </x:row>
    <x:row r="64">
      <x:c r="A64" t="str">
        <x:v>آيس لاتيه</x:v>
      </x:c>
      <x:c r="B64" t="str"/>
      <x:c r="C64" t="str">
        <x:v>قهوة باردة</x:v>
      </x:c>
      <x:c r="D64" s="60"/>
      <x:c r="F64" t="str">
        <x:v>لحم غنم مكعبات</x:v>
      </x:c>
      <x:c r="G64" t="str">
        <x:v>ING-MEAT-LAMB-CUBES</x:v>
      </x:c>
      <x:c r="H64" t="str">
        <x:v>كغ</x:v>
      </x:c>
      <x:c r="I64" s="61"/>
    </x:row>
    <x:row r="65">
      <x:c r="A65" t="str">
        <x:v>آيس موكا</x:v>
      </x:c>
      <x:c r="B65" t="str"/>
      <x:c r="C65" t="str">
        <x:v>قهوة باردة</x:v>
      </x:c>
      <x:c r="D65" s="60"/>
      <x:c r="F65" t="str">
        <x:v>لحم غنم مفروم</x:v>
      </x:c>
      <x:c r="G65" t="str">
        <x:v>ING-MEAT-LAMB-GROUND</x:v>
      </x:c>
      <x:c r="H65" t="str">
        <x:v>كغ</x:v>
      </x:c>
      <x:c r="I65" s="61"/>
    </x:row>
    <x:row r="66">
      <x:c r="A66" t="str">
        <x:v>كركديه ساخن</x:v>
      </x:c>
      <x:c r="B66" t="str"/>
      <x:c r="C66" t="str">
        <x:v>مشروبات ساخنة</x:v>
      </x:c>
      <x:c r="D66" s="60"/>
      <x:c r="F66" t="str">
        <x:v>فخذ خروف</x:v>
      </x:c>
      <x:c r="G66" t="str">
        <x:v>ING-MEAT-LAMB-LEG</x:v>
      </x:c>
      <x:c r="H66" t="str">
        <x:v>كغ</x:v>
      </x:c>
      <x:c r="I66" s="61"/>
    </x:row>
    <x:row r="67">
      <x:c r="A67" t="str">
        <x:v>شاي هندي ساخن</x:v>
      </x:c>
      <x:c r="B67" t="str"/>
      <x:c r="C67" t="str">
        <x:v>مشروبات ساخنة</x:v>
      </x:c>
      <x:c r="D67" s="60"/>
      <x:c r="F67" t="str">
        <x:v>ستيك بقر</x:v>
      </x:c>
      <x:c r="G67" t="str">
        <x:v>ING-MEAT-BEEF-STEAK</x:v>
      </x:c>
      <x:c r="H67" t="str">
        <x:v>كغ</x:v>
      </x:c>
      <x:c r="I67" s="61"/>
    </x:row>
    <x:row r="68">
      <x:c r="A68" t="str">
        <x:v>تمر هندي بارد</x:v>
      </x:c>
      <x:c r="B68" t="str"/>
      <x:c r="C68" t="str">
        <x:v>مشروبات باردة</x:v>
      </x:c>
      <x:c r="D68" s="60"/>
      <x:c r="F68" t="str">
        <x:v>نقانق هوت دوغ</x:v>
      </x:c>
      <x:c r="G68" t="str">
        <x:v>ING-MEAT-HOTDOG</x:v>
      </x:c>
      <x:c r="H68" t="str">
        <x:v>قطعة</x:v>
      </x:c>
      <x:c r="I68" s="61" t="n">
        <x:v>4000</x:v>
      </x:c>
    </x:row>
    <x:row r="69">
      <x:c r="A69" t="str">
        <x:v>عصير بطيخ</x:v>
      </x:c>
      <x:c r="B69" t="str"/>
      <x:c r="C69" t="str">
        <x:v>مشروبات باردة</x:v>
      </x:c>
      <x:c r="D69" s="60"/>
      <x:c r="F69" t="str">
        <x:v>سجق حار</x:v>
      </x:c>
      <x:c r="G69" t="str">
        <x:v>ING-MEAT-SUJUK</x:v>
      </x:c>
      <x:c r="H69" t="str">
        <x:v>كغ</x:v>
      </x:c>
      <x:c r="I69" s="61"/>
    </x:row>
    <x:row r="70">
      <x:c r="A70" t="str">
        <x:v>كمون وليمون</x:v>
      </x:c>
      <x:c r="B70" t="str"/>
      <x:c r="C70" t="str">
        <x:v>مشروبات ساخنة</x:v>
      </x:c>
      <x:c r="D70" s="60"/>
      <x:c r="F70" t="str">
        <x:v>فيليه سمك</x:v>
      </x:c>
      <x:c r="G70" t="str">
        <x:v>ING-FISH-FILLET</x:v>
      </x:c>
      <x:c r="H70" t="str">
        <x:v>كغ</x:v>
      </x:c>
      <x:c r="I70" s="61"/>
    </x:row>
    <x:row r="71">
      <x:c r="A71" t="str">
        <x:v>ميلك شيك</x:v>
      </x:c>
      <x:c r="B71" t="str"/>
      <x:c r="C71" t="str">
        <x:v>مشروبات باردة</x:v>
      </x:c>
      <x:c r="D71" s="60"/>
      <x:c r="F71" t="str">
        <x:v>سمك كامل</x:v>
      </x:c>
      <x:c r="G71" t="str">
        <x:v>ING-FISH-WHOLE</x:v>
      </x:c>
      <x:c r="H71" t="str">
        <x:v>كغ</x:v>
      </x:c>
      <x:c r="I71" s="61"/>
    </x:row>
    <x:row r="72">
      <x:c r="A72" t="str">
        <x:v>سموذي</x:v>
      </x:c>
      <x:c r="B72" t="str"/>
      <x:c r="C72" t="str">
        <x:v>مشروبات باردة</x:v>
      </x:c>
      <x:c r="D72" s="60"/>
      <x:c r="F72" t="str">
        <x:v>كروش</x:v>
      </x:c>
      <x:c r="G72" t="str">
        <x:v>ING-OFFAL-TRIPE</x:v>
      </x:c>
      <x:c r="H72" t="str">
        <x:v>كغ</x:v>
      </x:c>
      <x:c r="I72" s="61"/>
    </x:row>
    <x:row r="73">
      <x:c r="A73" t="str">
        <x:v>كوكتيل فودكا</x:v>
      </x:c>
      <x:c r="B73" t="str"/>
      <x:c r="C73" t="str">
        <x:v>كوكتيلات</x:v>
      </x:c>
      <x:c r="D73" s="60"/>
      <x:c r="F73" t="str">
        <x:v>فوارغ</x:v>
      </x:c>
      <x:c r="G73" t="str">
        <x:v>ING-OFFAL-INTESTINE</x:v>
      </x:c>
      <x:c r="H73" t="str">
        <x:v>كغ</x:v>
      </x:c>
      <x:c r="I73" s="61"/>
    </x:row>
    <x:row r="74">
      <x:c r="A74" t="str">
        <x:v>موهيتو</x:v>
      </x:c>
      <x:c r="B74" t="str"/>
      <x:c r="C74" t="str">
        <x:v>كوكتيلات</x:v>
      </x:c>
      <x:c r="D74" s="60"/>
      <x:c r="F74" t="str">
        <x:v>فلافل جاهزة</x:v>
      </x:c>
      <x:c r="G74" t="str">
        <x:v>ING-PREP-FALAFEL</x:v>
      </x:c>
      <x:c r="H74" t="str">
        <x:v>قطعة</x:v>
      </x:c>
      <x:c r="I74" s="61"/>
    </x:row>
    <x:row r="75">
      <x:c r="A75" t="str">
        <x:v>كوكتيل ويسكي</x:v>
      </x:c>
      <x:c r="B75" t="str"/>
      <x:c r="C75" t="str">
        <x:v>كوكتيلات</x:v>
      </x:c>
      <x:c r="D75" s="60"/>
      <x:c r="F75" t="str">
        <x:v>حمص جاهز</x:v>
      </x:c>
      <x:c r="G75" t="str">
        <x:v>ING-PREP-HUMMUS</x:v>
      </x:c>
      <x:c r="H75" t="str">
        <x:v>كغ</x:v>
      </x:c>
      <x:c r="I75" s="61"/>
    </x:row>
    <x:row r="76">
      <x:c r="A76" t="str">
        <x:v>جين حبق</x:v>
      </x:c>
      <x:c r="B76" t="str"/>
      <x:c r="C76" t="str">
        <x:v>كوكتيلات</x:v>
      </x:c>
      <x:c r="D76" s="60"/>
      <x:c r="F76" t="str">
        <x:v>محمّرة جاهزة</x:v>
      </x:c>
      <x:c r="G76" t="str">
        <x:v>ING-PREP-MUHAMMARA</x:v>
      </x:c>
      <x:c r="H76" t="str">
        <x:v>كغ</x:v>
      </x:c>
      <x:c r="I76" s="61"/>
    </x:row>
    <x:row r="77">
      <x:c r="A77" t="str">
        <x:v>كأس نبيذ</x:v>
      </x:c>
      <x:c r="B77" t="str"/>
      <x:c r="C77" t="str">
        <x:v>مشروبات كحولية</x:v>
      </x:c>
      <x:c r="D77" s="60"/>
      <x:c r="F77" t="str">
        <x:v>طحين أبيض</x:v>
      </x:c>
      <x:c r="G77" t="str">
        <x:v>ING-DRY-WHITEFLOUR</x:v>
      </x:c>
      <x:c r="H77" t="str">
        <x:v>كغ</x:v>
      </x:c>
      <x:c r="I77" s="61" t="n">
        <x:v>10000</x:v>
      </x:c>
    </x:row>
    <x:row r="78">
      <x:c r="A78" t="str">
        <x:v>شوت تيكيلا</x:v>
      </x:c>
      <x:c r="B78" t="str"/>
      <x:c r="C78" t="str">
        <x:v>مشروبات كحولية</x:v>
      </x:c>
      <x:c r="D78" s="60"/>
      <x:c r="F78" t="str">
        <x:v>طحين ذرة</x:v>
      </x:c>
      <x:c r="G78" t="str">
        <x:v>ING-DRY-CORNFLOUR</x:v>
      </x:c>
      <x:c r="H78" t="str">
        <x:v>كغ</x:v>
      </x:c>
      <x:c r="I78" s="61"/>
    </x:row>
    <x:row r="79">
      <x:c r="A79" t="str">
        <x:v>شوت زيتونة وتاباسكو</x:v>
      </x:c>
      <x:c r="B79" t="str"/>
      <x:c r="C79" t="str">
        <x:v>مشروبات كحولية</x:v>
      </x:c>
      <x:c r="D79" s="60"/>
      <x:c r="F79" t="str">
        <x:v>سميد</x:v>
      </x:c>
      <x:c r="G79" t="str">
        <x:v>ING-DRY-SEMOLINA</x:v>
      </x:c>
      <x:c r="H79" t="str">
        <x:v>كغ</x:v>
      </x:c>
      <x:c r="I79" s="61"/>
    </x:row>
    <x:row r="80">
      <x:c r="F80" t="str">
        <x:v>بقسماط / كعك مطحون</x:v>
      </x:c>
      <x:c r="G80" t="str">
        <x:v>ING-DRY-BREADCRUMB</x:v>
      </x:c>
      <x:c r="H80" t="str">
        <x:v>كغ</x:v>
      </x:c>
      <x:c r="I80" s="61"/>
    </x:row>
    <x:row r="81">
      <x:c r="F81" t="str">
        <x:v>رز مصري</x:v>
      </x:c>
      <x:c r="G81" t="str">
        <x:v>ING-RICE-EGYPTIAN</x:v>
      </x:c>
      <x:c r="H81" t="str">
        <x:v>كغ</x:v>
      </x:c>
      <x:c r="I81" s="61" t="n">
        <x:v>18000</x:v>
      </x:c>
    </x:row>
    <x:row r="82">
      <x:c r="F82" t="str">
        <x:v>رز طويل الحبة</x:v>
      </x:c>
      <x:c r="G82" t="str">
        <x:v>ING-RICE-LONG</x:v>
      </x:c>
      <x:c r="H82" t="str">
        <x:v>كغ</x:v>
      </x:c>
      <x:c r="I82" s="61" t="n">
        <x:v>23000</x:v>
      </x:c>
    </x:row>
    <x:row r="83">
      <x:c r="F83" t="str">
        <x:v>رز بسمتي</x:v>
      </x:c>
      <x:c r="G83" t="str">
        <x:v>ING-RICE-BASMATI</x:v>
      </x:c>
      <x:c r="H83" t="str">
        <x:v>كغ</x:v>
      </x:c>
      <x:c r="I83" s="61"/>
    </x:row>
    <x:row r="84">
      <x:c r="F84" t="str">
        <x:v>برغل ناعم</x:v>
      </x:c>
      <x:c r="G84" t="str">
        <x:v>ING-GRAIN-BULGUR-FINE</x:v>
      </x:c>
      <x:c r="H84" t="str">
        <x:v>كغ</x:v>
      </x:c>
      <x:c r="I84" s="61"/>
    </x:row>
    <x:row r="85">
      <x:c r="F85" t="str">
        <x:v>برغل خشن</x:v>
      </x:c>
      <x:c r="G85" t="str">
        <x:v>ING-GRAIN-BULGUR-COARSE</x:v>
      </x:c>
      <x:c r="H85" t="str">
        <x:v>كغ</x:v>
      </x:c>
      <x:c r="I85" s="61"/>
    </x:row>
    <x:row r="86">
      <x:c r="F86" t="str">
        <x:v>فريكة</x:v>
      </x:c>
      <x:c r="G86" t="str">
        <x:v>ING-GRAIN-FREEKEH</x:v>
      </x:c>
      <x:c r="H86" t="str">
        <x:v>كغ</x:v>
      </x:c>
      <x:c r="I86" s="61"/>
    </x:row>
    <x:row r="87">
      <x:c r="F87" t="str">
        <x:v>معكرونة</x:v>
      </x:c>
      <x:c r="G87" t="str">
        <x:v>ING-PASTA-REGULAR</x:v>
      </x:c>
      <x:c r="H87" t="str">
        <x:v>كغ</x:v>
      </x:c>
      <x:c r="I87" s="61"/>
    </x:row>
    <x:row r="88">
      <x:c r="F88" t="str">
        <x:v>شرائح لازانيا</x:v>
      </x:c>
      <x:c r="G88" t="str">
        <x:v>ING-PASTA-LASAGNA</x:v>
      </x:c>
      <x:c r="H88" t="str">
        <x:v>كغ</x:v>
      </x:c>
      <x:c r="I88" s="61"/>
    </x:row>
    <x:row r="89">
      <x:c r="F89" t="str">
        <x:v>نودلز</x:v>
      </x:c>
      <x:c r="G89" t="str">
        <x:v>ING-PASTA-NOODLES</x:v>
      </x:c>
      <x:c r="H89" t="str">
        <x:v>كغ</x:v>
      </x:c>
      <x:c r="I89" s="61"/>
    </x:row>
    <x:row r="90">
      <x:c r="F90" t="str">
        <x:v>نيوكي</x:v>
      </x:c>
      <x:c r="G90" t="str">
        <x:v>ING-PASTA-GNOCCHI</x:v>
      </x:c>
      <x:c r="H90" t="str">
        <x:v>كغ</x:v>
      </x:c>
      <x:c r="I90" s="61"/>
    </x:row>
    <x:row r="91">
      <x:c r="F91" t="str">
        <x:v>مغربية</x:v>
      </x:c>
      <x:c r="G91" t="str">
        <x:v>ING-GRAIN-MOGHRABIEH</x:v>
      </x:c>
      <x:c r="H91" t="str">
        <x:v>كغ</x:v>
      </x:c>
      <x:c r="I91" s="61"/>
    </x:row>
    <x:row r="92">
      <x:c r="F92" t="str">
        <x:v>حمص حب</x:v>
      </x:c>
      <x:c r="G92" t="str">
        <x:v>ING-LEGUME-CHICKPEA</x:v>
      </x:c>
      <x:c r="H92" t="str">
        <x:v>كغ</x:v>
      </x:c>
      <x:c r="I92" s="61"/>
    </x:row>
    <x:row r="93">
      <x:c r="F93" t="str">
        <x:v>حمص معلب</x:v>
      </x:c>
      <x:c r="G93" t="str">
        <x:v>ING-CAN-CHICKPEA</x:v>
      </x:c>
      <x:c r="H93" t="str">
        <x:v>عبوة</x:v>
      </x:c>
      <x:c r="I93" s="61"/>
    </x:row>
    <x:row r="94">
      <x:c r="F94" t="str">
        <x:v>عدس أحمر</x:v>
      </x:c>
      <x:c r="G94" t="str">
        <x:v>ING-LEGUME-LENTIL-RED</x:v>
      </x:c>
      <x:c r="H94" t="str">
        <x:v>كغ</x:v>
      </x:c>
      <x:c r="I94" s="61"/>
    </x:row>
    <x:row r="95">
      <x:c r="F95" t="str">
        <x:v>عدس بني</x:v>
      </x:c>
      <x:c r="G95" t="str">
        <x:v>ING-LEGUME-LENTIL-BROWN</x:v>
      </x:c>
      <x:c r="H95" t="str">
        <x:v>كغ</x:v>
      </x:c>
      <x:c r="I95" s="61"/>
    </x:row>
    <x:row r="96">
      <x:c r="F96" t="str">
        <x:v>فاصوليا بيضاء</x:v>
      </x:c>
      <x:c r="G96" t="str">
        <x:v>ING-LEGUME-WHITEBEAN</x:v>
      </x:c>
      <x:c r="H96" t="str">
        <x:v>كغ</x:v>
      </x:c>
      <x:c r="I96" s="61"/>
    </x:row>
    <x:row r="97">
      <x:c r="F97" t="str">
        <x:v>فاصوليا حمراء</x:v>
      </x:c>
      <x:c r="G97" t="str">
        <x:v>ING-LEGUME-KIDNEYBEAN</x:v>
      </x:c>
      <x:c r="H97" t="str">
        <x:v>كغ</x:v>
      </x:c>
      <x:c r="I97" s="61"/>
    </x:row>
    <x:row r="98">
      <x:c r="F98" t="str">
        <x:v>ذرة فشار</x:v>
      </x:c>
      <x:c r="G98" t="str">
        <x:v>ING-DRY-POPCORN</x:v>
      </x:c>
      <x:c r="H98" t="str">
        <x:v>كغ</x:v>
      </x:c>
      <x:c r="I98" s="61"/>
    </x:row>
    <x:row r="99">
      <x:c r="F99" t="str">
        <x:v>خبز سمون</x:v>
      </x:c>
      <x:c r="G99" t="str">
        <x:v>ING-BREAD-SAMOON</x:v>
      </x:c>
      <x:c r="H99" t="str">
        <x:v>قطعة</x:v>
      </x:c>
      <x:c r="I99" s="61"/>
    </x:row>
    <x:row r="100">
      <x:c r="F100" t="str">
        <x:v>خبز باغيت</x:v>
      </x:c>
      <x:c r="G100" t="str">
        <x:v>ING-BREAD-BAGUETTE</x:v>
      </x:c>
      <x:c r="H100" t="str">
        <x:v>قطعة</x:v>
      </x:c>
      <x:c r="I100" s="61"/>
    </x:row>
    <x:row r="101">
      <x:c r="F101" t="str">
        <x:v>خبز عربي</x:v>
      </x:c>
      <x:c r="G101" t="str">
        <x:v>ING-BREAD-PITA</x:v>
      </x:c>
      <x:c r="H101" t="str">
        <x:v>قطعة</x:v>
      </x:c>
      <x:c r="I101" s="61"/>
    </x:row>
    <x:row r="102">
      <x:c r="F102" t="str">
        <x:v>خبز هوت دوغ</x:v>
      </x:c>
      <x:c r="G102" t="str">
        <x:v>ING-BREAD-HOTDOG</x:v>
      </x:c>
      <x:c r="H102" t="str">
        <x:v>قطعة</x:v>
      </x:c>
      <x:c r="I102" s="61" t="n">
        <x:v>1000</x:v>
      </x:c>
    </x:row>
    <x:row r="103">
      <x:c r="F103" t="str">
        <x:v>خبز برغر</x:v>
      </x:c>
      <x:c r="G103" t="str">
        <x:v>ING-BREAD-BURGER</x:v>
      </x:c>
      <x:c r="H103" t="str">
        <x:v>قطعة</x:v>
      </x:c>
      <x:c r="I103" s="61"/>
    </x:row>
    <x:row r="104">
      <x:c r="F104" t="str">
        <x:v>عجينة بف باستري</x:v>
      </x:c>
      <x:c r="G104" t="str">
        <x:v>ING-DOUGH-PUFF</x:v>
      </x:c>
      <x:c r="H104" t="str">
        <x:v>كغ</x:v>
      </x:c>
      <x:c r="I104" s="61"/>
    </x:row>
    <x:row r="105">
      <x:c r="F105" t="str">
        <x:v>رقائق فيلو</x:v>
      </x:c>
      <x:c r="G105" t="str">
        <x:v>ING-DOUGH-PHYLLO</x:v>
      </x:c>
      <x:c r="H105" t="str">
        <x:v>عبوة</x:v>
      </x:c>
      <x:c r="I105" s="61"/>
    </x:row>
    <x:row r="106">
      <x:c r="F106" t="str">
        <x:v>خميرة خبز جافة</x:v>
      </x:c>
      <x:c r="G106" t="str">
        <x:v>ING-BAKE-YEAST</x:v>
      </x:c>
      <x:c r="H106" t="str">
        <x:v>غ</x:v>
      </x:c>
      <x:c r="I106" s="61"/>
    </x:row>
    <x:row r="107">
      <x:c r="F107" t="str">
        <x:v>بيكنغ باودر</x:v>
      </x:c>
      <x:c r="G107" t="str">
        <x:v>ING-BAKE-POWDER</x:v>
      </x:c>
      <x:c r="H107" t="str">
        <x:v>غ</x:v>
      </x:c>
      <x:c r="I107" s="61"/>
    </x:row>
    <x:row r="108">
      <x:c r="F108" t="str">
        <x:v>نشا ذرة</x:v>
      </x:c>
      <x:c r="G108" t="str">
        <x:v>ING-BAKE-CORNSTARCH</x:v>
      </x:c>
      <x:c r="H108" t="str">
        <x:v>كغ</x:v>
      </x:c>
      <x:c r="I108" s="61"/>
    </x:row>
    <x:row r="109">
      <x:c r="F109" t="str">
        <x:v>طحينية</x:v>
      </x:c>
      <x:c r="G109" t="str">
        <x:v>ING-SAUCE-TAHINI</x:v>
      </x:c>
      <x:c r="H109" t="str">
        <x:v>كغ</x:v>
      </x:c>
      <x:c r="I109" s="61" t="n">
        <x:v>70000</x:v>
      </x:c>
    </x:row>
    <x:row r="110">
      <x:c r="F110" t="str">
        <x:v>مايونيز</x:v>
      </x:c>
      <x:c r="G110" t="str">
        <x:v>ING-SAUCE-MAYO</x:v>
      </x:c>
      <x:c r="H110" t="str">
        <x:v>عبوة</x:v>
      </x:c>
      <x:c r="I110" s="61" t="n">
        <x:v>23000</x:v>
      </x:c>
    </x:row>
    <x:row r="111">
      <x:c r="F111" t="str">
        <x:v>كاتشب</x:v>
      </x:c>
      <x:c r="G111" t="str">
        <x:v>ING-SAUCE-KETCHUP</x:v>
      </x:c>
      <x:c r="H111" t="str">
        <x:v>كغ</x:v>
      </x:c>
      <x:c r="I111" s="61" t="n">
        <x:v>33333.33</x:v>
      </x:c>
    </x:row>
    <x:row r="112">
      <x:c r="F112" t="str">
        <x:v>دبس رمان</x:v>
      </x:c>
      <x:c r="G112" t="str">
        <x:v>ING-SAUCE-POMMOLASSES</x:v>
      </x:c>
      <x:c r="H112" t="str">
        <x:v>كغ</x:v>
      </x:c>
      <x:c r="I112" s="61" t="n">
        <x:v>40000</x:v>
      </x:c>
    </x:row>
    <x:row r="113">
      <x:c r="F113" t="str">
        <x:v>خل أبيض</x:v>
      </x:c>
      <x:c r="G113" t="str">
        <x:v>ING-SAUCE-WHITEVINEGAR</x:v>
      </x:c>
      <x:c r="H113" t="str">
        <x:v>لتر</x:v>
      </x:c>
      <x:c r="I113" s="61" t="n">
        <x:v>16000</x:v>
      </x:c>
    </x:row>
    <x:row r="114">
      <x:c r="F114" t="str">
        <x:v>خل تفاح</x:v>
      </x:c>
      <x:c r="G114" t="str">
        <x:v>ING-SAUCE-APPLEVINEGAR</x:v>
      </x:c>
      <x:c r="H114" t="str">
        <x:v>لتر</x:v>
      </x:c>
      <x:c r="I114" s="61"/>
    </x:row>
    <x:row r="115">
      <x:c r="F115" t="str">
        <x:v>خردل</x:v>
      </x:c>
      <x:c r="G115" t="str">
        <x:v>ING-SAUCE-MUSTARD</x:v>
      </x:c>
      <x:c r="H115" t="str">
        <x:v>كغ</x:v>
      </x:c>
      <x:c r="I115" s="61" t="n">
        <x:v>66666.67</x:v>
      </x:c>
    </x:row>
    <x:row r="116">
      <x:c r="F116" t="str">
        <x:v>مخلل مشكل</x:v>
      </x:c>
      <x:c r="G116" t="str">
        <x:v>ING-PICKLE-MIXED</x:v>
      </x:c>
      <x:c r="H116" t="str">
        <x:v>عبوة</x:v>
      </x:c>
      <x:c r="I116" s="61" t="n">
        <x:v>7000</x:v>
      </x:c>
    </x:row>
    <x:row r="117">
      <x:c r="F117" t="str">
        <x:v>فطر معلب</x:v>
      </x:c>
      <x:c r="G117" t="str">
        <x:v>ING-CAN-MUSHROOM</x:v>
      </x:c>
      <x:c r="H117" t="str">
        <x:v>كغ</x:v>
      </x:c>
      <x:c r="I117" s="61" t="n">
        <x:v>30000</x:v>
      </x:c>
    </x:row>
    <x:row r="118">
      <x:c r="F118" t="str">
        <x:v>شطة / معجون فلفل حار</x:v>
      </x:c>
      <x:c r="G118" t="str">
        <x:v>ING-SAUCE-CHILIPASTE</x:v>
      </x:c>
      <x:c r="H118" t="str">
        <x:v>كغ</x:v>
      </x:c>
      <x:c r="I118" s="61" t="n">
        <x:v>32000</x:v>
      </x:c>
    </x:row>
    <x:row r="119">
      <x:c r="F119" t="str">
        <x:v>رب بندورة</x:v>
      </x:c>
      <x:c r="G119" t="str">
        <x:v>ING-CAN-TOMATOPASTE</x:v>
      </x:c>
      <x:c r="H119" t="str">
        <x:v>كغ</x:v>
      </x:c>
      <x:c r="I119" s="61"/>
    </x:row>
    <x:row r="120">
      <x:c r="F120" t="str">
        <x:v>زيت زيتون</x:v>
      </x:c>
      <x:c r="G120" t="str">
        <x:v>ING-OIL-OLIVE</x:v>
      </x:c>
      <x:c r="H120" t="str">
        <x:v>لتر</x:v>
      </x:c>
      <x:c r="I120" s="61"/>
    </x:row>
    <x:row r="121">
      <x:c r="F121" t="str">
        <x:v>زيت نباتي</x:v>
      </x:c>
      <x:c r="G121" t="str">
        <x:v>ING-OIL-VEGETABLE</x:v>
      </x:c>
      <x:c r="H121" t="str">
        <x:v>لتر</x:v>
      </x:c>
      <x:c r="I121" s="61"/>
    </x:row>
    <x:row r="122">
      <x:c r="F122" t="str">
        <x:v>صلصة صويا</x:v>
      </x:c>
      <x:c r="G122" t="str">
        <x:v>ING-SAUCE-SOY</x:v>
      </x:c>
      <x:c r="H122" t="str">
        <x:v>لتر</x:v>
      </x:c>
      <x:c r="I122" s="61"/>
    </x:row>
    <x:row r="123">
      <x:c r="F123" t="str">
        <x:v>صلصة ورشستر</x:v>
      </x:c>
      <x:c r="G123" t="str">
        <x:v>ING-SAUCE-WORCESTER</x:v>
      </x:c>
      <x:c r="H123" t="str">
        <x:v>لتر</x:v>
      </x:c>
      <x:c r="I123" s="61"/>
    </x:row>
    <x:row r="124">
      <x:c r="F124" t="str">
        <x:v>صوص مدخن</x:v>
      </x:c>
      <x:c r="G124" t="str">
        <x:v>ING-SAUCE-SMOKY</x:v>
      </x:c>
      <x:c r="H124" t="str">
        <x:v>لتر</x:v>
      </x:c>
      <x:c r="I124" s="61"/>
    </x:row>
    <x:row r="125">
      <x:c r="F125" t="str">
        <x:v>تاباسكو</x:v>
      </x:c>
      <x:c r="G125" t="str">
        <x:v>ING-SAUCE-TABASCO</x:v>
      </x:c>
      <x:c r="H125" t="str">
        <x:v>مل</x:v>
      </x:c>
      <x:c r="I125" s="61"/>
    </x:row>
    <x:row r="126">
      <x:c r="F126" t="str">
        <x:v>عسل</x:v>
      </x:c>
      <x:c r="G126" t="str">
        <x:v>ING-SWEET-HONEY</x:v>
      </x:c>
      <x:c r="H126" t="str">
        <x:v>كغ</x:v>
      </x:c>
      <x:c r="I126" s="61"/>
    </x:row>
    <x:row r="127">
      <x:c r="F127" t="str">
        <x:v>مربى</x:v>
      </x:c>
      <x:c r="G127" t="str">
        <x:v>ING-SWEET-JAM</x:v>
      </x:c>
      <x:c r="H127" t="str">
        <x:v>كغ</x:v>
      </x:c>
      <x:c r="I127" s="61"/>
    </x:row>
    <x:row r="128">
      <x:c r="F128" t="str">
        <x:v>دبس عنب</x:v>
      </x:c>
      <x:c r="G128" t="str">
        <x:v>ING-SWEET-GRAPEMOLASSES</x:v>
      </x:c>
      <x:c r="H128" t="str">
        <x:v>كغ</x:v>
      </x:c>
      <x:c r="I128" s="61"/>
    </x:row>
    <x:row r="129">
      <x:c r="F129" t="str">
        <x:v>دبس تمر</x:v>
      </x:c>
      <x:c r="G129" t="str">
        <x:v>ING-SWEET-DATEMOLASSES</x:v>
      </x:c>
      <x:c r="H129" t="str">
        <x:v>كغ</x:v>
      </x:c>
      <x:c r="I129" s="61"/>
    </x:row>
    <x:row r="130">
      <x:c r="F130" t="str">
        <x:v>ماء ورد</x:v>
      </x:c>
      <x:c r="G130" t="str">
        <x:v>ING-FLAVOR-ROSEWATER</x:v>
      </x:c>
      <x:c r="H130" t="str">
        <x:v>لتر</x:v>
      </x:c>
      <x:c r="I130" s="61"/>
    </x:row>
    <x:row r="131">
      <x:c r="F131" t="str">
        <x:v>ماء زهر</x:v>
      </x:c>
      <x:c r="G131" t="str">
        <x:v>ING-FLAVOR-ORANGEBLOSSOM</x:v>
      </x:c>
      <x:c r="H131" t="str">
        <x:v>لتر</x:v>
      </x:c>
      <x:c r="I131" s="61"/>
    </x:row>
    <x:row r="132">
      <x:c r="F132" t="str">
        <x:v>صوص شوكولا</x:v>
      </x:c>
      <x:c r="G132" t="str">
        <x:v>ING-SYRUP-CHOCOLATE</x:v>
      </x:c>
      <x:c r="H132" t="str">
        <x:v>لتر</x:v>
      </x:c>
      <x:c r="I132" s="61"/>
    </x:row>
    <x:row r="133">
      <x:c r="F133" t="str">
        <x:v>سيروب فانيلا</x:v>
      </x:c>
      <x:c r="G133" t="str">
        <x:v>ING-SYRUP-VANILLA</x:v>
      </x:c>
      <x:c r="H133" t="str">
        <x:v>لتر</x:v>
      </x:c>
      <x:c r="I133" s="61"/>
    </x:row>
    <x:row r="134">
      <x:c r="F134" t="str">
        <x:v>سيروب كراميل</x:v>
      </x:c>
      <x:c r="G134" t="str">
        <x:v>ING-SYRUP-CARAMEL</x:v>
      </x:c>
      <x:c r="H134" t="str">
        <x:v>لتر</x:v>
      </x:c>
      <x:c r="I134" s="61"/>
    </x:row>
    <x:row r="135">
      <x:c r="F135" t="str">
        <x:v>غرينادين</x:v>
      </x:c>
      <x:c r="G135" t="str">
        <x:v>ING-SYRUP-GRENADINE</x:v>
      </x:c>
      <x:c r="H135" t="str">
        <x:v>لتر</x:v>
      </x:c>
      <x:c r="I135" s="61"/>
    </x:row>
    <x:row r="136">
      <x:c r="F136" t="str">
        <x:v>ملح</x:v>
      </x:c>
      <x:c r="G136" t="str">
        <x:v>ING-SPICE-SALT</x:v>
      </x:c>
      <x:c r="H136" t="str">
        <x:v>كغ</x:v>
      </x:c>
      <x:c r="I136" s="61"/>
    </x:row>
    <x:row r="137">
      <x:c r="F137" t="str">
        <x:v>فلفل أسود</x:v>
      </x:c>
      <x:c r="G137" t="str">
        <x:v>ING-SPICE-BLACKPEPPER</x:v>
      </x:c>
      <x:c r="H137" t="str">
        <x:v>كغ</x:v>
      </x:c>
      <x:c r="I137" s="61"/>
    </x:row>
    <x:row r="138">
      <x:c r="F138" t="str">
        <x:v>قرفة عيدان</x:v>
      </x:c>
      <x:c r="G138" t="str">
        <x:v>ING-SPICE-CINNAMON-STICK</x:v>
      </x:c>
      <x:c r="H138" t="str">
        <x:v>عبوة</x:v>
      </x:c>
      <x:c r="I138" s="61" t="n">
        <x:v>6000</x:v>
      </x:c>
    </x:row>
    <x:row r="139">
      <x:c r="F139" t="str">
        <x:v>قرفة مطحونة</x:v>
      </x:c>
      <x:c r="G139" t="str">
        <x:v>ING-SPICE-CINNAMON</x:v>
      </x:c>
      <x:c r="H139" t="str">
        <x:v>كغ</x:v>
      </x:c>
      <x:c r="I139" s="61"/>
    </x:row>
    <x:row r="140">
      <x:c r="F140" t="str">
        <x:v>هيل مطحون</x:v>
      </x:c>
      <x:c r="G140" t="str">
        <x:v>ING-SPICE-CARDAMOM</x:v>
      </x:c>
      <x:c r="H140" t="str">
        <x:v>كغ</x:v>
      </x:c>
      <x:c r="I140" s="61" t="n">
        <x:v>1000000</x:v>
      </x:c>
    </x:row>
    <x:row r="141">
      <x:c r="F141" t="str">
        <x:v>سماق</x:v>
      </x:c>
      <x:c r="G141" t="str">
        <x:v>ING-SPICE-SUMAC</x:v>
      </x:c>
      <x:c r="H141" t="str">
        <x:v>كغ</x:v>
      </x:c>
      <x:c r="I141" s="61" t="n">
        <x:v>400000</x:v>
      </x:c>
    </x:row>
    <x:row r="142">
      <x:c r="F142" t="str">
        <x:v>فلفل حلو مطحون</x:v>
      </x:c>
      <x:c r="G142" t="str">
        <x:v>ING-SPICE-PAPRIKA</x:v>
      </x:c>
      <x:c r="H142" t="str">
        <x:v>كغ</x:v>
      </x:c>
      <x:c r="I142" s="61" t="n">
        <x:v>200000</x:v>
      </x:c>
    </x:row>
    <x:row r="143">
      <x:c r="F143" t="str">
        <x:v>ثوم بودرة</x:v>
      </x:c>
      <x:c r="G143" t="str">
        <x:v>ING-SPICE-GARLICPOWDER</x:v>
      </x:c>
      <x:c r="H143" t="str">
        <x:v>كغ</x:v>
      </x:c>
      <x:c r="I143" s="61" t="n">
        <x:v>266666.67</x:v>
      </x:c>
    </x:row>
    <x:row r="144">
      <x:c r="F144" t="str">
        <x:v>كزبرة مطحونة</x:v>
      </x:c>
      <x:c r="G144" t="str">
        <x:v>ING-SPICE-CORIANDER</x:v>
      </x:c>
      <x:c r="H144" t="str">
        <x:v>كغ</x:v>
      </x:c>
      <x:c r="I144" s="61" t="n">
        <x:v>266666.67</x:v>
      </x:c>
    </x:row>
    <x:row r="145">
      <x:c r="F145" t="str">
        <x:v>أوريغانو</x:v>
      </x:c>
      <x:c r="G145" t="str">
        <x:v>ING-SPICE-OREGANO</x:v>
      </x:c>
      <x:c r="H145" t="str">
        <x:v>كغ</x:v>
      </x:c>
      <x:c r="I145" s="61" t="n">
        <x:v>400000</x:v>
      </x:c>
    </x:row>
    <x:row r="146">
      <x:c r="F146" t="str">
        <x:v>مردكوش</x:v>
      </x:c>
      <x:c r="G146" t="str">
        <x:v>ING-SPICE-MARJORAM</x:v>
      </x:c>
      <x:c r="H146" t="str">
        <x:v>كغ</x:v>
      </x:c>
      <x:c r="I146" s="61" t="n">
        <x:v>400000</x:v>
      </x:c>
    </x:row>
    <x:row r="147">
      <x:c r="F147" t="str">
        <x:v>كمون</x:v>
      </x:c>
      <x:c r="G147" t="str">
        <x:v>ING-SPICE-CUMIN</x:v>
      </x:c>
      <x:c r="H147" t="str">
        <x:v>كغ</x:v>
      </x:c>
      <x:c r="I147" s="61"/>
    </x:row>
    <x:row r="148">
      <x:c r="F148" t="str">
        <x:v>كركم</x:v>
      </x:c>
      <x:c r="G148" t="str">
        <x:v>ING-SPICE-TURMERIC</x:v>
      </x:c>
      <x:c r="H148" t="str">
        <x:v>كغ</x:v>
      </x:c>
      <x:c r="I148" s="61"/>
    </x:row>
    <x:row r="149">
      <x:c r="F149" t="str">
        <x:v>كاري</x:v>
      </x:c>
      <x:c r="G149" t="str">
        <x:v>ING-SPICE-CURRY</x:v>
      </x:c>
      <x:c r="H149" t="str">
        <x:v>كغ</x:v>
      </x:c>
      <x:c r="I149" s="61"/>
    </x:row>
    <x:row r="150">
      <x:c r="F150" t="str">
        <x:v>غارام ماسالا</x:v>
      </x:c>
      <x:c r="G150" t="str">
        <x:v>ING-SPICE-GARAMMASALA</x:v>
      </x:c>
      <x:c r="H150" t="str">
        <x:v>كغ</x:v>
      </x:c>
      <x:c r="I150" s="61"/>
    </x:row>
    <x:row r="151">
      <x:c r="F151" t="str">
        <x:v>بهار برياني</x:v>
      </x:c>
      <x:c r="G151" t="str">
        <x:v>ING-SPICE-BIRYANI</x:v>
      </x:c>
      <x:c r="H151" t="str">
        <x:v>كغ</x:v>
      </x:c>
      <x:c r="I151" s="61"/>
    </x:row>
    <x:row r="152">
      <x:c r="F152" t="str">
        <x:v>بهار كبسة</x:v>
      </x:c>
      <x:c r="G152" t="str">
        <x:v>ING-SPICE-KABSA</x:v>
      </x:c>
      <x:c r="H152" t="str">
        <x:v>كغ</x:v>
      </x:c>
      <x:c r="I152" s="61"/>
    </x:row>
    <x:row r="153">
      <x:c r="F153" t="str">
        <x:v>شطة مجروشة</x:v>
      </x:c>
      <x:c r="G153" t="str">
        <x:v>ING-SPICE-CHILIFLAKES</x:v>
      </x:c>
      <x:c r="H153" t="str">
        <x:v>كغ</x:v>
      </x:c>
      <x:c r="I153" s="61"/>
    </x:row>
    <x:row r="154">
      <x:c r="F154" t="str">
        <x:v>جوزة الطيب</x:v>
      </x:c>
      <x:c r="G154" t="str">
        <x:v>ING-SPICE-NUTMEG</x:v>
      </x:c>
      <x:c r="H154" t="str">
        <x:v>غ</x:v>
      </x:c>
      <x:c r="I154" s="61"/>
    </x:row>
    <x:row r="155">
      <x:c r="F155" t="str">
        <x:v>قرنفل</x:v>
      </x:c>
      <x:c r="G155" t="str">
        <x:v>ING-SPICE-CLOVES</x:v>
      </x:c>
      <x:c r="H155" t="str">
        <x:v>غ</x:v>
      </x:c>
      <x:c r="I155" s="61"/>
    </x:row>
    <x:row r="156">
      <x:c r="F156" t="str">
        <x:v>ورق غار</x:v>
      </x:c>
      <x:c r="G156" t="str">
        <x:v>ING-SPICE-BAYLEAF</x:v>
      </x:c>
      <x:c r="H156" t="str">
        <x:v>غ</x:v>
      </x:c>
      <x:c r="I156" s="61"/>
    </x:row>
    <x:row r="157">
      <x:c r="F157" t="str">
        <x:v>نعنع يابس</x:v>
      </x:c>
      <x:c r="G157" t="str">
        <x:v>ING-HERB-DRIEDMINT</x:v>
      </x:c>
      <x:c r="H157" t="str">
        <x:v>كغ</x:v>
      </x:c>
      <x:c r="I157" s="61"/>
    </x:row>
    <x:row r="158">
      <x:c r="F158" t="str">
        <x:v>زعتر يابس</x:v>
      </x:c>
      <x:c r="G158" t="str">
        <x:v>ING-HERB-DRIEDTHYME</x:v>
      </x:c>
      <x:c r="H158" t="str">
        <x:v>كغ</x:v>
      </x:c>
      <x:c r="I158" s="61"/>
    </x:row>
    <x:row r="159">
      <x:c r="F159" t="str">
        <x:v>سمسم</x:v>
      </x:c>
      <x:c r="G159" t="str">
        <x:v>ING-SEED-SESAME</x:v>
      </x:c>
      <x:c r="H159" t="str">
        <x:v>كغ</x:v>
      </x:c>
      <x:c r="I159" s="61"/>
    </x:row>
    <x:row r="160">
      <x:c r="F160" t="str">
        <x:v>حبة البركة</x:v>
      </x:c>
      <x:c r="G160" t="str">
        <x:v>ING-SEED-NIGELLA</x:v>
      </x:c>
      <x:c r="H160" t="str">
        <x:v>كغ</x:v>
      </x:c>
      <x:c r="I160" s="61"/>
    </x:row>
    <x:row r="161">
      <x:c r="F161" t="str">
        <x:v>يانسون</x:v>
      </x:c>
      <x:c r="G161" t="str">
        <x:v>ING-HERB-ANISE</x:v>
      </x:c>
      <x:c r="H161" t="str">
        <x:v>كغ</x:v>
      </x:c>
      <x:c r="I161" s="61"/>
    </x:row>
    <x:row r="162">
      <x:c r="F162" t="str">
        <x:v>شمر</x:v>
      </x:c>
      <x:c r="G162" t="str">
        <x:v>ING-HERB-FENNEL</x:v>
      </x:c>
      <x:c r="H162" t="str">
        <x:v>كغ</x:v>
      </x:c>
      <x:c r="I162" s="61"/>
    </x:row>
    <x:row r="163">
      <x:c r="F163" t="str">
        <x:v>ميرمية مجففة</x:v>
      </x:c>
      <x:c r="G163" t="str">
        <x:v>ING-HERB-SAGE</x:v>
      </x:c>
      <x:c r="H163" t="str">
        <x:v>كغ</x:v>
      </x:c>
      <x:c r="I163" s="61"/>
    </x:row>
    <x:row r="164">
      <x:c r="F164" t="str">
        <x:v>بابونج</x:v>
      </x:c>
      <x:c r="G164" t="str">
        <x:v>ING-HERB-CHAMOMILE</x:v>
      </x:c>
      <x:c r="H164" t="str">
        <x:v>كغ</x:v>
      </x:c>
      <x:c r="I164" s="61"/>
    </x:row>
    <x:row r="165">
      <x:c r="F165" t="str">
        <x:v>مليسة</x:v>
      </x:c>
      <x:c r="G165" t="str">
        <x:v>ING-HERB-LEMONBALM</x:v>
      </x:c>
      <x:c r="H165" t="str">
        <x:v>كغ</x:v>
      </x:c>
      <x:c r="I165" s="61"/>
    </x:row>
    <x:row r="166">
      <x:c r="F166" t="str">
        <x:v>كركديه مجفف</x:v>
      </x:c>
      <x:c r="G166" t="str">
        <x:v>ING-HERB-HIBISCUS</x:v>
      </x:c>
      <x:c r="H166" t="str">
        <x:v>كغ</x:v>
      </x:c>
      <x:c r="I166" s="61"/>
    </x:row>
    <x:row r="167">
      <x:c r="F167" t="str">
        <x:v>عرق سوس</x:v>
      </x:c>
      <x:c r="G167" t="str">
        <x:v>ING-HERB-LICORICE</x:v>
      </x:c>
      <x:c r="H167" t="str">
        <x:v>كغ</x:v>
      </x:c>
      <x:c r="I167" s="61"/>
    </x:row>
    <x:row r="168">
      <x:c r="F168" t="str">
        <x:v>تمر هندي مركز</x:v>
      </x:c>
      <x:c r="G168" t="str">
        <x:v>ING-FRT-TAMARIND</x:v>
      </x:c>
      <x:c r="H168" t="str">
        <x:v>كغ</x:v>
      </x:c>
      <x:c r="I168" s="61"/>
    </x:row>
    <x:row r="169">
      <x:c r="F169" t="str">
        <x:v>قمر الدين</x:v>
      </x:c>
      <x:c r="G169" t="str">
        <x:v>ING-FRT-QAMARALDIN</x:v>
      </x:c>
      <x:c r="H169" t="str">
        <x:v>كغ</x:v>
      </x:c>
      <x:c r="I169" s="61"/>
    </x:row>
    <x:row r="170">
      <x:c r="F170" t="str">
        <x:v>بن تركي</x:v>
      </x:c>
      <x:c r="G170" t="str">
        <x:v>DRK-COF-TURKISH</x:v>
      </x:c>
      <x:c r="H170" t="str">
        <x:v>كغ</x:v>
      </x:c>
      <x:c r="I170" s="61"/>
    </x:row>
    <x:row r="171">
      <x:c r="F171" t="str">
        <x:v>بن إسبريسو</x:v>
      </x:c>
      <x:c r="G171" t="str">
        <x:v>DRK-COF-ESPRESSO</x:v>
      </x:c>
      <x:c r="H171" t="str">
        <x:v>كغ</x:v>
      </x:c>
      <x:c r="I171" s="61"/>
    </x:row>
    <x:row r="172">
      <x:c r="F172" t="str">
        <x:v>قهوة سريعة التحضير</x:v>
      </x:c>
      <x:c r="G172" t="str">
        <x:v>DRK-COF-INSTANT</x:v>
      </x:c>
      <x:c r="H172" t="str">
        <x:v>كغ</x:v>
      </x:c>
      <x:c r="I172" s="61"/>
    </x:row>
    <x:row r="173">
      <x:c r="F173" t="str">
        <x:v>بن عربي فاتح</x:v>
      </x:c>
      <x:c r="G173" t="str">
        <x:v>DRK-COF-ARABIC</x:v>
      </x:c>
      <x:c r="H173" t="str">
        <x:v>كغ</x:v>
      </x:c>
      <x:c r="I173" s="61"/>
    </x:row>
    <x:row r="174">
      <x:c r="F174" t="str">
        <x:v>شاي أسود سائب</x:v>
      </x:c>
      <x:c r="G174" t="str">
        <x:v>DRK-TEA-BLACK-LOOSE</x:v>
      </x:c>
      <x:c r="H174" t="str">
        <x:v>كغ</x:v>
      </x:c>
      <x:c r="I174" s="61" t="n">
        <x:v>250000</x:v>
      </x:c>
    </x:row>
    <x:row r="175">
      <x:c r="F175" t="str">
        <x:v>شاي أحمد عادي – ظرف</x:v>
      </x:c>
      <x:c r="G175" t="str">
        <x:v>DRK-TEA-AHMAD-BAG</x:v>
      </x:c>
      <x:c r="H175" t="str">
        <x:v>حصة</x:v>
      </x:c>
      <x:c r="I175" s="61" t="n">
        <x:v>420</x:v>
      </x:c>
    </x:row>
    <x:row r="176">
      <x:c r="F176" t="str">
        <x:v>شاي أحمد إيرل غراي – ظرف</x:v>
      </x:c>
      <x:c r="G176" t="str">
        <x:v>DRK-TEA-EARLGREY-BAG</x:v>
      </x:c>
      <x:c r="H176" t="str">
        <x:v>حصة</x:v>
      </x:c>
      <x:c r="I176" s="61" t="n">
        <x:v>585</x:v>
      </x:c>
    </x:row>
    <x:row r="177">
      <x:c r="F177" t="str">
        <x:v>شاي أحمد منكه – ظرف</x:v>
      </x:c>
      <x:c r="G177" t="str">
        <x:v>DRK-TEA-FLAVORED-BAG</x:v>
      </x:c>
      <x:c r="H177" t="str">
        <x:v>حصة</x:v>
      </x:c>
      <x:c r="I177" s="61" t="n">
        <x:v>2000</x:v>
      </x:c>
    </x:row>
    <x:row r="178">
      <x:c r="F178" t="str">
        <x:v>شاي أحمد فواكه – ظرف</x:v>
      </x:c>
      <x:c r="G178" t="str">
        <x:v>DRK-TEA-FRUIT-BAG</x:v>
      </x:c>
      <x:c r="H178" t="str">
        <x:v>حصة</x:v>
      </x:c>
      <x:c r="I178" s="61" t="n">
        <x:v>1325</x:v>
      </x:c>
    </x:row>
    <x:row r="179">
      <x:c r="F179" t="str">
        <x:v>شاي هندي / ماسالا</x:v>
      </x:c>
      <x:c r="G179" t="str">
        <x:v>DRK-TEA-MASALA</x:v>
      </x:c>
      <x:c r="H179" t="str">
        <x:v>كغ</x:v>
      </x:c>
      <x:c r="I179" s="61"/>
    </x:row>
    <x:row r="180">
      <x:c r="F180" t="str">
        <x:v>زهورات مشكلة</x:v>
      </x:c>
      <x:c r="G180" t="str">
        <x:v>DRK-HERBAL-ZHOURAT</x:v>
      </x:c>
      <x:c r="H180" t="str">
        <x:v>كغ</x:v>
      </x:c>
      <x:c r="I180" s="61"/>
    </x:row>
    <x:row r="181">
      <x:c r="F181" t="str">
        <x:v>متة</x:v>
      </x:c>
      <x:c r="G181" t="str">
        <x:v>DRK-MATE-YERBA</x:v>
      </x:c>
      <x:c r="H181" t="str">
        <x:v>كغ</x:v>
      </x:c>
      <x:c r="I181" s="61"/>
    </x:row>
    <x:row r="182">
      <x:c r="F182" t="str">
        <x:v>ماتشا – حصة</x:v>
      </x:c>
      <x:c r="G182" t="str">
        <x:v>DRK-MATCHA-PORTION</x:v>
      </x:c>
      <x:c r="H182" t="str">
        <x:v>حصة</x:v>
      </x:c>
      <x:c r="I182" s="61" t="n">
        <x:v>4450</x:v>
      </x:c>
    </x:row>
    <x:row r="183">
      <x:c r="F183" t="str">
        <x:v>هوت شوكليت – ظرف</x:v>
      </x:c>
      <x:c r="G183" t="str">
        <x:v>DRK-CHOCO-SACHET</x:v>
      </x:c>
      <x:c r="H183" t="str">
        <x:v>حصة</x:v>
      </x:c>
      <x:c r="I183" s="61" t="n">
        <x:v>3000</x:v>
      </x:c>
    </x:row>
    <x:row r="184">
      <x:c r="F184" t="str">
        <x:v>كاكاو بودرة</x:v>
      </x:c>
      <x:c r="G184" t="str">
        <x:v>DRK-CHOCO-COCOA</x:v>
      </x:c>
      <x:c r="H184" t="str">
        <x:v>كغ</x:v>
      </x:c>
      <x:c r="I184" s="61"/>
    </x:row>
    <x:row r="185">
      <x:c r="F185" t="str">
        <x:v>جلاب مركز</x:v>
      </x:c>
      <x:c r="G185" t="str">
        <x:v>DRK-LOCAL-JALLAB</x:v>
      </x:c>
      <x:c r="H185" t="str">
        <x:v>لتر</x:v>
      </x:c>
      <x:c r="I185" s="61"/>
    </x:row>
    <x:row r="186">
      <x:c r="F186" t="str">
        <x:v>عصير عنب</x:v>
      </x:c>
      <x:c r="G186" t="str">
        <x:v>DRK-JUICE-GRAPE</x:v>
      </x:c>
      <x:c r="H186" t="str">
        <x:v>لتر</x:v>
      </x:c>
      <x:c r="I186" s="61"/>
    </x:row>
    <x:row r="187">
      <x:c r="F187" t="str">
        <x:v>عصير رمان</x:v>
      </x:c>
      <x:c r="G187" t="str">
        <x:v>DRK-JUICE-POMEGRANATE</x:v>
      </x:c>
      <x:c r="H187" t="str">
        <x:v>لتر</x:v>
      </x:c>
      <x:c r="I187" s="61"/>
    </x:row>
    <x:row r="188">
      <x:c r="F188" t="str">
        <x:v>عصير تفاح</x:v>
      </x:c>
      <x:c r="G188" t="str">
        <x:v>DRK-JUICE-APPLE</x:v>
      </x:c>
      <x:c r="H188" t="str">
        <x:v>لتر</x:v>
      </x:c>
      <x:c r="I188" s="61"/>
    </x:row>
    <x:row r="189">
      <x:c r="F189" t="str">
        <x:v>سفن أب – زجاجة</x:v>
      </x:c>
      <x:c r="G189" t="str">
        <x:v>DRK-SODA-7UP-BTL</x:v>
      </x:c>
      <x:c r="H189" t="str">
        <x:v>زجاجة</x:v>
      </x:c>
      <x:c r="I189" s="61" t="n">
        <x:v>20000</x:v>
      </x:c>
    </x:row>
    <x:row r="190">
      <x:c r="F190" t="str">
        <x:v>بيبسي – زجاجة</x:v>
      </x:c>
      <x:c r="G190" t="str">
        <x:v>DRK-SODA-PEPSI-BTL</x:v>
      </x:c>
      <x:c r="H190" t="str">
        <x:v>زجاجة</x:v>
      </x:c>
      <x:c r="I190" s="61" t="n">
        <x:v>20000</x:v>
      </x:c>
    </x:row>
    <x:row r="191">
      <x:c r="F191" t="str">
        <x:v>سوبرين سفن أب / كولا 2.25 لتر</x:v>
      </x:c>
      <x:c r="G191" t="str">
        <x:v>DRK-SODA-SUPRIN-225</x:v>
      </x:c>
      <x:c r="H191" t="str">
        <x:v>زجاجة</x:v>
      </x:c>
      <x:c r="I191" s="61" t="n">
        <x:v>15000</x:v>
      </x:c>
    </x:row>
    <x:row r="192">
      <x:c r="F192" t="str">
        <x:v>صودا – علبة</x:v>
      </x:c>
      <x:c r="G192" t="str">
        <x:v>DRK-SODA-CAN</x:v>
      </x:c>
      <x:c r="H192" t="str">
        <x:v>قطعة</x:v>
      </x:c>
      <x:c r="I192" s="61"/>
    </x:row>
    <x:row r="193">
      <x:c r="F193" t="str">
        <x:v>مياه غازية</x:v>
      </x:c>
      <x:c r="G193" t="str">
        <x:v>DRK-SODA-WATER</x:v>
      </x:c>
      <x:c r="H193" t="str">
        <x:v>زجاجة</x:v>
      </x:c>
      <x:c r="I193" s="61"/>
    </x:row>
    <x:row r="194">
      <x:c r="F194" t="str">
        <x:v>تونيك ووتر</x:v>
      </x:c>
      <x:c r="G194" t="str">
        <x:v>DRK-TONIC-WATER</x:v>
      </x:c>
      <x:c r="H194" t="str">
        <x:v>زجاجة</x:v>
      </x:c>
      <x:c r="I194" s="61"/>
    </x:row>
    <x:row r="195">
      <x:c r="F195" t="str">
        <x:v>مياه معدنية صغيرة</x:v>
      </x:c>
      <x:c r="G195" t="str">
        <x:v>DRK-WATER-SMALL</x:v>
      </x:c>
      <x:c r="H195" t="str">
        <x:v>زجاجة</x:v>
      </x:c>
      <x:c r="I195" s="61"/>
    </x:row>
    <x:row r="196">
      <x:c r="F196" t="str">
        <x:v>مياه معدنية كبيرة</x:v>
      </x:c>
      <x:c r="G196" t="str">
        <x:v>DRK-WATER-LARGE</x:v>
      </x:c>
      <x:c r="H196" t="str">
        <x:v>زجاجة</x:v>
      </x:c>
      <x:c r="I196" s="61"/>
    </x:row>
    <x:row r="197">
      <x:c r="F197" t="str">
        <x:v>عصير فيوري 1 لتر</x:v>
      </x:c>
      <x:c r="G197" t="str">
        <x:v>DRK-JUICE-FIORI-1L</x:v>
      </x:c>
      <x:c r="H197" t="str">
        <x:v>لتر</x:v>
      </x:c>
      <x:c r="I197" s="61" t="n">
        <x:v>15000</x:v>
      </x:c>
    </x:row>
    <x:row r="198">
      <x:c r="F198" t="str">
        <x:v>عصير فيوري 1.5 لتر</x:v>
      </x:c>
      <x:c r="G198" t="str">
        <x:v>DRK-JUICE-FIORI-15L</x:v>
      </x:c>
      <x:c r="H198" t="str">
        <x:v>زجاجة</x:v>
      </x:c>
      <x:c r="I198" s="61" t="n">
        <x:v>20000</x:v>
      </x:c>
    </x:row>
    <x:row r="199">
      <x:c r="F199" t="str">
        <x:v>ثلج</x:v>
      </x:c>
      <x:c r="G199" t="str">
        <x:v>DRK-ICE</x:v>
      </x:c>
      <x:c r="H199" t="str">
        <x:v>كغ</x:v>
      </x:c>
      <x:c r="I199" s="61" t="n">
        <x:v>4000</x:v>
      </x:c>
    </x:row>
    <x:row r="200">
      <x:c r="F200" t="str">
        <x:v>عرق الريان</x:v>
      </x:c>
      <x:c r="G200" t="str">
        <x:v>DRK-ALC-ARAK-RAYAN</x:v>
      </x:c>
      <x:c r="H200" t="str">
        <x:v>لتر</x:v>
      </x:c>
      <x:c r="I200" s="61" t="n">
        <x:v>52000</x:v>
      </x:c>
    </x:row>
    <x:row r="201">
      <x:c r="F201" t="str">
        <x:v>فودكا سميرنوف</x:v>
      </x:c>
      <x:c r="G201" t="str">
        <x:v>DRK-ALC-VODKA-SMIRNOFF</x:v>
      </x:c>
      <x:c r="H201" t="str">
        <x:v>لتر</x:v>
      </x:c>
      <x:c r="I201" s="61" t="n">
        <x:v>50000</x:v>
      </x:c>
    </x:row>
    <x:row r="202">
      <x:c r="F202" t="str">
        <x:v>بيرة ثقيلة</x:v>
      </x:c>
      <x:c r="G202" t="str">
        <x:v>DRK-ALC-BEER-STRONG</x:v>
      </x:c>
      <x:c r="H202" t="str">
        <x:v>زجاجة</x:v>
      </x:c>
      <x:c r="I202" s="61" t="n">
        <x:v>40000</x:v>
      </x:c>
    </x:row>
    <x:row r="203">
      <x:c r="F203" t="str">
        <x:v>بيرة خفيفة</x:v>
      </x:c>
      <x:c r="G203" t="str">
        <x:v>DRK-ALC-BEER-LIGHT</x:v>
      </x:c>
      <x:c r="H203" t="str">
        <x:v>زجاجة</x:v>
      </x:c>
      <x:c r="I203" s="61" t="n">
        <x:v>35000</x:v>
      </x:c>
    </x:row>
    <x:row r="204">
      <x:c r="F204" t="str">
        <x:v>جين</x:v>
      </x:c>
      <x:c r="G204" t="str">
        <x:v>DRK-ALC-GIN</x:v>
      </x:c>
      <x:c r="H204" t="str">
        <x:v>لتر</x:v>
      </x:c>
      <x:c r="I204" s="61"/>
    </x:row>
    <x:row r="205">
      <x:c r="F205" t="str">
        <x:v>ويسكي</x:v>
      </x:c>
      <x:c r="G205" t="str">
        <x:v>DRK-ALC-WHISKEY</x:v>
      </x:c>
      <x:c r="H205" t="str">
        <x:v>لتر</x:v>
      </x:c>
      <x:c r="I205" s="61"/>
    </x:row>
    <x:row r="206">
      <x:c r="F206" t="str">
        <x:v>روم أبيض</x:v>
      </x:c>
      <x:c r="G206" t="str">
        <x:v>DRK-ALC-RUM-WHITE</x:v>
      </x:c>
      <x:c r="H206" t="str">
        <x:v>لتر</x:v>
      </x:c>
      <x:c r="I206" s="61"/>
    </x:row>
    <x:row r="207">
      <x:c r="F207" t="str">
        <x:v>تيكيلا</x:v>
      </x:c>
      <x:c r="G207" t="str">
        <x:v>DRK-ALC-TEQUILA</x:v>
      </x:c>
      <x:c r="H207" t="str">
        <x:v>لتر</x:v>
      </x:c>
      <x:c r="I207" s="61"/>
    </x:row>
    <x:row r="208">
      <x:c r="F208" t="str">
        <x:v>نبيذ أحمر</x:v>
      </x:c>
      <x:c r="G208" t="str">
        <x:v>DRK-ALC-WINE-RED</x:v>
      </x:c>
      <x:c r="H208" t="str">
        <x:v>زجاجة</x:v>
      </x:c>
      <x:c r="I208" s="61"/>
    </x:row>
    <x:row r="209">
      <x:c r="F209" t="str">
        <x:v>نبيذ أبيض</x:v>
      </x:c>
      <x:c r="G209" t="str">
        <x:v>DRK-ALC-WINE-WHITE</x:v>
      </x:c>
      <x:c r="H209" t="str">
        <x:v>زجاجة</x:v>
      </x:c>
      <x:c r="I209" s="61"/>
    </x:row>
    <x:row r="210">
      <x:c r="F210" t="str">
        <x:v>زيتون أخضر</x:v>
      </x:c>
      <x:c r="G210" t="str">
        <x:v>ING-PICKLE-GREENOLIVE</x:v>
      </x:c>
      <x:c r="H210" t="str">
        <x:v>كغ</x:v>
      </x:c>
      <x:c r="I210" s="61"/>
    </x:row>
    <x:row r="211">
      <x:c r="F211" t="str">
        <x:v>سكر</x:v>
      </x:c>
      <x:c r="G211" t="str">
        <x:v>ING-SWEET-SUGAR</x:v>
      </x:c>
      <x:c r="H211" t="str">
        <x:v>كغ</x:v>
      </x:c>
      <x:c r="I211" s="61" t="n">
        <x:v>10000</x:v>
      </x:c>
    </x:row>
    <x:row r="212">
      <x:c r="F212" t="str">
        <x:v>فستق</x:v>
      </x:c>
      <x:c r="G212" t="str">
        <x:v>ING-NUT-PISTACHIO</x:v>
      </x:c>
      <x:c r="H212" t="str">
        <x:v>كغ</x:v>
      </x:c>
      <x:c r="I212" s="61" t="n">
        <x:v>75000</x:v>
      </x:c>
    </x:row>
    <x:row r="213">
      <x:c r="F213" t="str">
        <x:v>فول سوداني</x:v>
      </x:c>
      <x:c r="G213" t="str">
        <x:v>ING-NUT-PEANUT</x:v>
      </x:c>
      <x:c r="H213" t="str">
        <x:v>كغ</x:v>
      </x:c>
      <x:c r="I213" s="61"/>
    </x:row>
    <x:row r="214">
      <x:c r="F214" t="str">
        <x:v>مكسرات مشكلة</x:v>
      </x:c>
      <x:c r="G214" t="str">
        <x:v>ING-NUT-MIXED</x:v>
      </x:c>
      <x:c r="H214" t="str">
        <x:v>كغ</x:v>
      </x:c>
      <x:c r="I214" s="61" t="n">
        <x:v>50000</x:v>
      </x:c>
    </x:row>
    <x:row r="215">
      <x:c r="F215" t="str">
        <x:v>ذرة محمصة</x:v>
      </x:c>
      <x:c r="G215" t="str">
        <x:v>ING-SNACK-ROASTEDCORN</x:v>
      </x:c>
      <x:c r="H215" t="str">
        <x:v>كغ</x:v>
      </x:c>
      <x:c r="I215" s="61" t="n">
        <x:v>50000</x:v>
      </x:c>
    </x:row>
    <x:row r="216">
      <x:c r="F216" t="str">
        <x:v>شيبس بطاطا</x:v>
      </x:c>
      <x:c r="G216" t="str">
        <x:v>DRK-SNACK-CHIPS</x:v>
      </x:c>
      <x:c r="H216" t="str">
        <x:v>عبوة</x:v>
      </x:c>
      <x:c r="I216" s="61"/>
    </x:row>
    <x:row r="217">
      <x:c r="F217" t="str">
        <x:v>بسكويت</x:v>
      </x:c>
      <x:c r="G217" t="str">
        <x:v>DRK-SNACK-BISCUIT</x:v>
      </x:c>
      <x:c r="H217" t="str">
        <x:v>عبوة</x:v>
      </x:c>
      <x:c r="I217" s="61"/>
    </x:row>
    <x:row r="218">
      <x:c r="F218" t="str">
        <x:v>ألواح شوكولا</x:v>
      </x:c>
      <x:c r="G218" t="str">
        <x:v>DRK-SNACK-CHOCBAR</x:v>
      </x:c>
      <x:c r="H218" t="str">
        <x:v>قطعة</x:v>
      </x:c>
      <x:c r="I218" s="61"/>
    </x:row>
    <x:row r="219">
      <x:c r="F219" t="str">
        <x:v>حلويات صغيرة</x:v>
      </x:c>
      <x:c r="G219" t="str">
        <x:v>DRK-SNACK-CANDY</x:v>
      </x:c>
      <x:c r="H219" t="str">
        <x:v>قطعة</x:v>
      </x:c>
      <x:c r="I219" s="61"/>
    </x:row>
    <x:row r="220">
      <x:c r="F220" t="str">
        <x:v>صنوبر</x:v>
      </x:c>
      <x:c r="G220" t="str">
        <x:v>ING-NUT-PINENUT</x:v>
      </x:c>
      <x:c r="H220" t="str">
        <x:v>كغ</x:v>
      </x:c>
      <x:c r="I220" s="61"/>
    </x:row>
    <x:row r="221">
      <x:c r="F221" t="str">
        <x:v>زبيب</x:v>
      </x:c>
      <x:c r="G221" t="str">
        <x:v>ING-DRY-RAISIN</x:v>
      </x:c>
      <x:c r="H221" t="str">
        <x:v>كغ</x:v>
      </x:c>
      <x:c r="I221" s="61"/>
    </x:row>
    <x:row r="222">
      <x:c r="F222" t="str">
        <x:v>أكواب ساخنة صغيرة</x:v>
      </x:c>
      <x:c r="G222" t="str">
        <x:v>PKG-CUP-HOT-S</x:v>
      </x:c>
      <x:c r="H222" t="str">
        <x:v>عبوة</x:v>
      </x:c>
      <x:c r="I222" s="61"/>
    </x:row>
    <x:row r="223">
      <x:c r="F223" t="str">
        <x:v>أكواب ساخنة كبيرة</x:v>
      </x:c>
      <x:c r="G223" t="str">
        <x:v>PKG-CUP-HOT-L</x:v>
      </x:c>
      <x:c r="H223" t="str">
        <x:v>عبوة</x:v>
      </x:c>
      <x:c r="I223" s="61"/>
    </x:row>
    <x:row r="224">
      <x:c r="F224" t="str">
        <x:v>أكواب باردة</x:v>
      </x:c>
      <x:c r="G224" t="str">
        <x:v>PKG-CUP-COLD</x:v>
      </x:c>
      <x:c r="H224" t="str">
        <x:v>عبوة</x:v>
      </x:c>
      <x:c r="I224" s="61"/>
    </x:row>
    <x:row r="225">
      <x:c r="F225" t="str">
        <x:v>أغطية أكواب ساخنة</x:v>
      </x:c>
      <x:c r="G225" t="str">
        <x:v>PKG-LID-HOT</x:v>
      </x:c>
      <x:c r="H225" t="str">
        <x:v>عبوة</x:v>
      </x:c>
      <x:c r="I225" s="61"/>
    </x:row>
    <x:row r="226">
      <x:c r="F226" t="str">
        <x:v>أغطية أكواب باردة</x:v>
      </x:c>
      <x:c r="G226" t="str">
        <x:v>PKG-LID-COLD</x:v>
      </x:c>
      <x:c r="H226" t="str">
        <x:v>عبوة</x:v>
      </x:c>
      <x:c r="I226" s="61"/>
    </x:row>
    <x:row r="227">
      <x:c r="F227" t="str">
        <x:v>شفاطات</x:v>
      </x:c>
      <x:c r="G227" t="str">
        <x:v>PKG-STRAW</x:v>
      </x:c>
      <x:c r="H227" t="str">
        <x:v>عبوة</x:v>
      </x:c>
      <x:c r="I227" s="61"/>
    </x:row>
    <x:row r="228">
      <x:c r="F228" t="str">
        <x:v>عيدان تحريك</x:v>
      </x:c>
      <x:c r="G228" t="str">
        <x:v>PKG-STIRRER</x:v>
      </x:c>
      <x:c r="H228" t="str">
        <x:v>عبوة</x:v>
      </x:c>
      <x:c r="I228" s="61"/>
    </x:row>
    <x:row r="229">
      <x:c r="F229" t="str">
        <x:v>مناديل سفرة</x:v>
      </x:c>
      <x:c r="G229" t="str">
        <x:v>PKG-NAPKIN</x:v>
      </x:c>
      <x:c r="H229" t="str">
        <x:v>عبوة</x:v>
      </x:c>
      <x:c r="I229" s="61"/>
    </x:row>
    <x:row r="230">
      <x:c r="F230" t="str">
        <x:v>ورق سندويش</x:v>
      </x:c>
      <x:c r="G230" t="str">
        <x:v>PKG-SANDWICH-PAPER</x:v>
      </x:c>
      <x:c r="H230" t="str">
        <x:v>عبوة</x:v>
      </x:c>
      <x:c r="I230" s="61"/>
    </x:row>
    <x:row r="231">
      <x:c r="F231" t="str">
        <x:v>ورق مقاوم للدهون</x:v>
      </x:c>
      <x:c r="G231" t="str">
        <x:v>PKG-GREASEPAPER</x:v>
      </x:c>
      <x:c r="H231" t="str">
        <x:v>عبوة</x:v>
      </x:c>
      <x:c r="I231" s="61"/>
    </x:row>
    <x:row r="232">
      <x:c r="F232" t="str">
        <x:v>علب طعام سفري</x:v>
      </x:c>
      <x:c r="G232" t="str">
        <x:v>PKG-FOOD-BOX</x:v>
      </x:c>
      <x:c r="H232" t="str">
        <x:v>عبوة</x:v>
      </x:c>
      <x:c r="I232" s="61"/>
    </x:row>
    <x:row r="233">
      <x:c r="F233" t="str">
        <x:v>أكياس ورقية</x:v>
      </x:c>
      <x:c r="G233" t="str">
        <x:v>PKG-PAPER-BAG</x:v>
      </x:c>
      <x:c r="H233" t="str">
        <x:v>عبوة</x:v>
      </x:c>
      <x:c r="I233" s="61"/>
    </x:row>
    <x:row r="234">
      <x:c r="F234" t="str">
        <x:v>ورق ألمنيوم</x:v>
      </x:c>
      <x:c r="G234" t="str">
        <x:v>PKG-FOIL</x:v>
      </x:c>
      <x:c r="H234" t="str">
        <x:v>عبوة</x:v>
      </x:c>
      <x:c r="I234" s="61"/>
    </x:row>
    <x:row r="235">
      <x:c r="F235" t="str">
        <x:v>نايلون تغليف</x:v>
      </x:c>
      <x:c r="G235" t="str">
        <x:v>PKG-CLINGFILM</x:v>
      </x:c>
      <x:c r="H235" t="str">
        <x:v>عبوة</x:v>
      </x:c>
      <x:c r="I235" s="61"/>
    </x:row>
    <x:row r="236">
      <x:c r="F236" t="str">
        <x:v>قفازات استخدام واحد</x:v>
      </x:c>
      <x:c r="G236" t="str">
        <x:v>PKG-GLOVES</x:v>
      </x:c>
      <x:c r="H236" t="str">
        <x:v>عبوة</x:v>
      </x:c>
      <x:c r="I236" s="61"/>
    </x:row>
    <x:row r="237">
      <x:c r="F237" t="str">
        <x:v>أعواد أسنان</x:v>
      </x:c>
      <x:c r="G237" t="str">
        <x:v>PKG-TOOTHPICK</x:v>
      </x:c>
      <x:c r="H237" t="str">
        <x:v>عبوة</x:v>
      </x:c>
      <x:c r="I237" s="61"/>
    </x:row>
    <x:row r="238">
      <x:c r="F238" t="str">
        <x:v>ملصقات المنتجات</x:v>
      </x:c>
      <x:c r="G238" t="str">
        <x:v>PKG-STICKER</x:v>
      </x:c>
      <x:c r="H238" t="str">
        <x:v>عبوة</x:v>
      </x:c>
      <x:c r="I238" s="61"/>
    </x:row>
    <x:row r="239">
      <x:c r="F239" t="str">
        <x:v>رول إيصالات</x:v>
      </x:c>
      <x:c r="G239" t="str">
        <x:v>EQP-RECEIPT-ROLL</x:v>
      </x:c>
      <x:c r="H239" t="str">
        <x:v>قطعة</x:v>
      </x:c>
      <x:c r="I239" s="61"/>
    </x:row>
    <x:row r="240">
      <x:c r="F240" t="str">
        <x:v>محارم</x:v>
      </x:c>
      <x:c r="G240" t="str">
        <x:v>CLN-TISSUE-BOX</x:v>
      </x:c>
      <x:c r="H240" t="str">
        <x:v>صندوق</x:v>
      </x:c>
      <x:c r="I240" s="61" t="n">
        <x:v>15000</x:v>
      </x:c>
    </x:row>
    <x:row r="241">
      <x:c r="F241" t="str">
        <x:v>سائل جلي بوفالو</x:v>
      </x:c>
      <x:c r="G241" t="str">
        <x:v>CLN-DISH-BUFFALO</x:v>
      </x:c>
      <x:c r="H241" t="str">
        <x:v>عبوة</x:v>
      </x:c>
      <x:c r="I241" s="61" t="n">
        <x:v>14000</x:v>
      </x:c>
    </x:row>
    <x:row r="242">
      <x:c r="F242" t="str">
        <x:v>معطر بوفالو</x:v>
      </x:c>
      <x:c r="G242" t="str">
        <x:v>CLN-AIR-BUFFALO</x:v>
      </x:c>
      <x:c r="H242" t="str">
        <x:v>عبوة</x:v>
      </x:c>
      <x:c r="I242" s="61" t="n">
        <x:v>15000</x:v>
      </x:c>
    </x:row>
    <x:row r="243">
      <x:c r="F243" t="str">
        <x:v>كلور نورة</x:v>
      </x:c>
      <x:c r="G243" t="str">
        <x:v>CLN-BLEACH-NOURA</x:v>
      </x:c>
      <x:c r="H243" t="str">
        <x:v>زجاجة</x:v>
      </x:c>
      <x:c r="I243" s="61" t="n">
        <x:v>2000</x:v>
      </x:c>
    </x:row>
    <x:row r="244">
      <x:c r="F244" t="str">
        <x:v>منظف أرضيات</x:v>
      </x:c>
      <x:c r="G244" t="str">
        <x:v>CLN-FLOOR</x:v>
      </x:c>
      <x:c r="H244" t="str">
        <x:v>لتر</x:v>
      </x:c>
      <x:c r="I244" s="61"/>
    </x:row>
    <x:row r="245">
      <x:c r="F245" t="str">
        <x:v>معقم أسطح</x:v>
      </x:c>
      <x:c r="G245" t="str">
        <x:v>CLN-SURFACE-DISINFECT</x:v>
      </x:c>
      <x:c r="H245" t="str">
        <x:v>لتر</x:v>
      </x:c>
      <x:c r="I245" s="61"/>
    </x:row>
    <x:row r="246">
      <x:c r="F246" t="str">
        <x:v>صابون يدين</x:v>
      </x:c>
      <x:c r="G246" t="str">
        <x:v>CLN-HANDSOAP</x:v>
      </x:c>
      <x:c r="H246" t="str">
        <x:v>لتر</x:v>
      </x:c>
      <x:c r="I246" s="61"/>
    </x:row>
    <x:row r="247">
      <x:c r="F247" t="str">
        <x:v>مناديل مطبخ</x:v>
      </x:c>
      <x:c r="G247" t="str">
        <x:v>CLN-KITCHEN-TOWEL</x:v>
      </x:c>
      <x:c r="H247" t="str">
        <x:v>عبوة</x:v>
      </x:c>
      <x:c r="I247" s="61"/>
    </x:row>
    <x:row r="248">
      <x:c r="F248" t="str">
        <x:v>إسفنج جلي</x:v>
      </x:c>
      <x:c r="G248" t="str">
        <x:v>CLN-SPONGE</x:v>
      </x:c>
      <x:c r="H248" t="str">
        <x:v>قطعة</x:v>
      </x:c>
      <x:c r="I248" s="61"/>
    </x:row>
    <x:row r="249">
      <x:c r="F249" t="str">
        <x:v>أكياس قمامة</x:v>
      </x:c>
      <x:c r="G249" t="str">
        <x:v>CLN-GARBAGE-BAG</x:v>
      </x:c>
      <x:c r="H249" t="str">
        <x:v>عبوة</x:v>
      </x:c>
      <x:c r="I249" s="61"/>
    </x:row>
    <x:row r="250">
      <x:c r="F250" t="str">
        <x:v>فلاتر قهوة ورقية</x:v>
      </x:c>
      <x:c r="G250" t="str">
        <x:v>EQP-COFFEE-FILTER</x:v>
      </x:c>
      <x:c r="H250" t="str">
        <x:v>عبوة</x:v>
      </x:c>
      <x:c r="I250" s="61"/>
    </x:row>
    <x:row r="251">
      <x:c r="F251" t="str">
        <x:v>فحم للشواية</x:v>
      </x:c>
      <x:c r="G251" t="str">
        <x:v>EQP-CHARCOAL</x:v>
      </x:c>
      <x:c r="H251" t="str">
        <x:v>كغ</x:v>
      </x:c>
      <x:c r="I251" s="61"/>
    </x:row>
    <x:row r="252">
      <x:c r="F252" t="str">
        <x:v>غاز طبخ / تعبئة أسطوانة</x:v>
      </x:c>
      <x:c r="G252" t="str">
        <x:v>EQP-GAS-REFILL</x:v>
      </x:c>
      <x:c r="H252" t="str">
        <x:v>عبوة</x:v>
      </x:c>
      <x:c r="I252" s="61"/>
    </x:row>
    <x:row r="253">
      <x:c r="F253" t="str">
        <x:v>خرطوشة فلتر مياه</x:v>
      </x:c>
      <x:c r="G253" t="str">
        <x:v>EQP-WATER-FILTER</x:v>
      </x:c>
      <x:c r="H253" t="str">
        <x:v>قطعة</x:v>
      </x:c>
      <x:c r="I253" s="61"/>
    </x:row>
  </x:sheetData>
  <x:pageMargins left="0.7" right="0.7" top="0.75" bottom="0.75" header="0.3" footer="0.3"/>
</x:worksheet>
</file>