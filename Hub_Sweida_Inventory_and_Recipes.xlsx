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مواد المخزون" sheetId="1" r:id="rId5"/>
    <sheet state="visible" name="دليل الإدخال" sheetId="2" r:id="rId6"/>
    <sheet state="visible" name="المصادر" sheetId="3" r:id="rId7"/>
    <sheet state="visible" name="وصفات المنتجات" sheetId="4" r:id="rId8"/>
    <sheet state="visible" name="قائمة المنتجات" sheetId="5" r:id="rId9"/>
    <sheet state="visible" name="دليل الوصفات" sheetId="6" r:id="rId10"/>
    <sheet state="visible" name="مواد ناقصة للوصفات" sheetId="7" r:id="rId11"/>
    <sheet state="visible" name="مراجع الوصفات" sheetId="8" r:id="rId12"/>
  </sheets>
  <definedNames/>
  <calcPr/>
</workbook>
</file>

<file path=xl/sharedStrings.xml><?xml version="1.0" encoding="utf-8"?>
<sst xmlns="http://schemas.openxmlformats.org/spreadsheetml/2006/main" count="3479" uniqueCount="1154">
  <si>
    <t>مادة مخزون</t>
  </si>
  <si>
    <t>Name EN</t>
  </si>
  <si>
    <t>Code</t>
  </si>
  <si>
    <t>نوع المادة</t>
  </si>
  <si>
    <t>وحدة القياس</t>
  </si>
  <si>
    <t>الكمية الحالية</t>
  </si>
  <si>
    <t>حد التنبيه</t>
  </si>
  <si>
    <t>الكلفة التقديرية للوحدة</t>
  </si>
  <si>
    <t>المورد المفضل</t>
  </si>
  <si>
    <t>ملاحظات</t>
  </si>
  <si>
    <t>بطاطا</t>
  </si>
  <si>
    <t>Potato</t>
  </si>
  <si>
    <t>ING-VEG-POTATO</t>
  </si>
  <si>
    <t>مكوّن</t>
  </si>
  <si>
    <t>كغ</t>
  </si>
  <si>
    <t>مرجع سعر المشروع: 7,000 ل.س/كغ.</t>
  </si>
  <si>
    <t>بصل</t>
  </si>
  <si>
    <t>Onion</t>
  </si>
  <si>
    <t>ING-VEG-ONION</t>
  </si>
  <si>
    <t>مرجع سعر المشروع: 12,000 ل.س/كغ.</t>
  </si>
  <si>
    <t>كوسا</t>
  </si>
  <si>
    <t>Zucchini</t>
  </si>
  <si>
    <t>ING-VEG-ZUCCHINI</t>
  </si>
  <si>
    <t>مرجع سعر المشروع: 8,000 ل.س/كغ.</t>
  </si>
  <si>
    <t>ليمون</t>
  </si>
  <si>
    <t>Lemon</t>
  </si>
  <si>
    <t>ING-FRT-LEMON</t>
  </si>
  <si>
    <t>مرجع سعر المشروع: 30,000 ل.س/كغ.</t>
  </si>
  <si>
    <t>بندورة</t>
  </si>
  <si>
    <t>Tomato</t>
  </si>
  <si>
    <t>ING-VEG-TOMATO</t>
  </si>
  <si>
    <t>مرجع سعر المشروع: 9,000 ل.س/كغ.</t>
  </si>
  <si>
    <t>فاصوليا خضراء</t>
  </si>
  <si>
    <t>Green Beans</t>
  </si>
  <si>
    <t>ING-VEG-GREENBEAN</t>
  </si>
  <si>
    <t>مرجع سعر المشروع: 15,500 ل.س/كغ.</t>
  </si>
  <si>
    <t>فجل</t>
  </si>
  <si>
    <t>Radish</t>
  </si>
  <si>
    <t>ING-VEG-RADISH</t>
  </si>
  <si>
    <t>عبوة</t>
  </si>
  <si>
    <t>العبوة المقصودة جرزة، نحو 4–5 حبات.</t>
  </si>
  <si>
    <t>باذنجان</t>
  </si>
  <si>
    <t>Eggplant</t>
  </si>
  <si>
    <t>ING-VEG-EGGPLANT</t>
  </si>
  <si>
    <t>مرجع سعر المشروع: 5,000 ل.س/كغ.</t>
  </si>
  <si>
    <t>فليفلة حارة</t>
  </si>
  <si>
    <t>Hot Pepper</t>
  </si>
  <si>
    <t>ING-VEG-HOTPEPPER</t>
  </si>
  <si>
    <t>مرجع سعر المشروع: 10,000 ل.س/كغ.</t>
  </si>
  <si>
    <t>فليفلة حلوة</t>
  </si>
  <si>
    <t>Bell Pepper</t>
  </si>
  <si>
    <t>ING-VEG-BELLPEPPER</t>
  </si>
  <si>
    <t>خيار / بعجور</t>
  </si>
  <si>
    <t>Cucumber</t>
  </si>
  <si>
    <t>ING-VEG-CUCUMBER</t>
  </si>
  <si>
    <t>مرجع السعر سُجّل باسم بعجور: 5,000 ل.س/كغ.</t>
  </si>
  <si>
    <t>بازيلا خضراء</t>
  </si>
  <si>
    <t>Green Peas</t>
  </si>
  <si>
    <t>ING-VEG-GREENPEAS</t>
  </si>
  <si>
    <t>ملفوف أحمر</t>
  </si>
  <si>
    <t>Red Cabbage</t>
  </si>
  <si>
    <t>ING-VEG-REDCABBAGE</t>
  </si>
  <si>
    <t>مرجع سعر المشروع: 6,000 ل.س/كغ.</t>
  </si>
  <si>
    <t>ملفوف أخضر</t>
  </si>
  <si>
    <t>Green Cabbage</t>
  </si>
  <si>
    <t>ING-VEG-GREENCABBAGE</t>
  </si>
  <si>
    <t>خس</t>
  </si>
  <si>
    <t>Lettuce</t>
  </si>
  <si>
    <t>ING-VEG-LETTUCE</t>
  </si>
  <si>
    <t>العبوة المقصودة جرزة خس.</t>
  </si>
  <si>
    <t>جزر</t>
  </si>
  <si>
    <t>Carrot</t>
  </si>
  <si>
    <t>ING-VEG-CARROT</t>
  </si>
  <si>
    <t>شمندر</t>
  </si>
  <si>
    <t>Beetroot</t>
  </si>
  <si>
    <t>ING-VEG-BEET</t>
  </si>
  <si>
    <t>سبانخ</t>
  </si>
  <si>
    <t>Spinach</t>
  </si>
  <si>
    <t>ING-VEG-SPINACH</t>
  </si>
  <si>
    <t>كرفس</t>
  </si>
  <si>
    <t>Celery</t>
  </si>
  <si>
    <t>ING-HERB-CELERY</t>
  </si>
  <si>
    <t>بصل أخضر</t>
  </si>
  <si>
    <t>Spring Onion</t>
  </si>
  <si>
    <t>ING-HERB-SPRINGONION</t>
  </si>
  <si>
    <t>ثوم طازج</t>
  </si>
  <si>
    <t>Fresh Garlic</t>
  </si>
  <si>
    <t>ING-VEG-GARLIC</t>
  </si>
  <si>
    <t>فطر طازج</t>
  </si>
  <si>
    <t>Fresh Mushroom</t>
  </si>
  <si>
    <t>ING-VEG-MUSHROOM</t>
  </si>
  <si>
    <t>ذرة حلوة</t>
  </si>
  <si>
    <t>Sweet Corn</t>
  </si>
  <si>
    <t>ING-VEG-SWEETCORN</t>
  </si>
  <si>
    <t>عرانيس ذرة</t>
  </si>
  <si>
    <t>Corn on the Cob</t>
  </si>
  <si>
    <t>ING-VEG-CORNCOB</t>
  </si>
  <si>
    <t>قطعة</t>
  </si>
  <si>
    <t>ورق عنب</t>
  </si>
  <si>
    <t>Grape Leaves</t>
  </si>
  <si>
    <t>ING-VEG-GRAPELEAF</t>
  </si>
  <si>
    <t>نعنع طازج</t>
  </si>
  <si>
    <t>Fresh Mint</t>
  </si>
  <si>
    <t>ING-HERB-MINT</t>
  </si>
  <si>
    <t>سُجّل السعر لجرزة نعنع أو بقدونس: 1,500 ل.س.</t>
  </si>
  <si>
    <t>بقدونس</t>
  </si>
  <si>
    <t>Parsley</t>
  </si>
  <si>
    <t>ING-HERB-PARSLEY</t>
  </si>
  <si>
    <t>كزبرة خضراء</t>
  </si>
  <si>
    <t>Fresh Coriander</t>
  </si>
  <si>
    <t>ING-HERB-CILANTRO</t>
  </si>
  <si>
    <t>حبق / ريحان</t>
  </si>
  <si>
    <t>Fresh Basil</t>
  </si>
  <si>
    <t>ING-HERB-BASIL</t>
  </si>
  <si>
    <t>أساسي لسندويشات حبق ومشروب الجن بالحبق.</t>
  </si>
  <si>
    <t>زعتر بري طازج</t>
  </si>
  <si>
    <t>Fresh Wild Thyme</t>
  </si>
  <si>
    <t>ING-HERB-WILDTHYME</t>
  </si>
  <si>
    <t>مرجع سعر المشروع: 3,000 ل.س/جرزة.</t>
  </si>
  <si>
    <t>ترخون</t>
  </si>
  <si>
    <t>Tarragon</t>
  </si>
  <si>
    <t>ING-HERB-TARRAGON</t>
  </si>
  <si>
    <t>شبت</t>
  </si>
  <si>
    <t>Dill</t>
  </si>
  <si>
    <t>ING-HERB-DILL</t>
  </si>
  <si>
    <t>تفاح</t>
  </si>
  <si>
    <t>Apple</t>
  </si>
  <si>
    <t>ING-FRT-APPLE</t>
  </si>
  <si>
    <t>للعصير، شاي التفاح، السموذي والحلويات.</t>
  </si>
  <si>
    <t>بطيخ أحمر</t>
  </si>
  <si>
    <t>Watermelon</t>
  </si>
  <si>
    <t>ING-FRT-WATERMELON</t>
  </si>
  <si>
    <t>لعصير البطيخ.</t>
  </si>
  <si>
    <t>رمان</t>
  </si>
  <si>
    <t>Pomegranate</t>
  </si>
  <si>
    <t>ING-FRT-POMEGRANATE</t>
  </si>
  <si>
    <t>برتقال</t>
  </si>
  <si>
    <t>Orange</t>
  </si>
  <si>
    <t>ING-FRT-ORANGE</t>
  </si>
  <si>
    <t>موز</t>
  </si>
  <si>
    <t>Banana</t>
  </si>
  <si>
    <t>ING-FRT-BANANA</t>
  </si>
  <si>
    <t>للميلك شيك والسموذي.</t>
  </si>
  <si>
    <t>فريز</t>
  </si>
  <si>
    <t>Strawberry</t>
  </si>
  <si>
    <t>ING-FRT-STRAWBERRY</t>
  </si>
  <si>
    <t>مشمش</t>
  </si>
  <si>
    <t>Apricot</t>
  </si>
  <si>
    <t>ING-FRT-APRICOT</t>
  </si>
  <si>
    <t>تين</t>
  </si>
  <si>
    <t>Fig</t>
  </si>
  <si>
    <t>ING-FRT-FIG</t>
  </si>
  <si>
    <t>عنب</t>
  </si>
  <si>
    <t>Grapes</t>
  </si>
  <si>
    <t>ING-FRT-GRAPES</t>
  </si>
  <si>
    <t>للعصير، الجلاب، الدبس والمنتجات الموسمية.</t>
  </si>
  <si>
    <t>لبن مبستر</t>
  </si>
  <si>
    <t>Pasteurized Yogurt</t>
  </si>
  <si>
    <t>ING-DAIRY-YOGURT-PAST</t>
  </si>
  <si>
    <t>مرجع سعر المشروع: 15,000 ل.س/كغ.</t>
  </si>
  <si>
    <t>لبن بلدي</t>
  </si>
  <si>
    <t>Local Yogurt</t>
  </si>
  <si>
    <t>ING-DAIRY-YOGURT-LOCAL</t>
  </si>
  <si>
    <t>عبوة 700 غ.</t>
  </si>
  <si>
    <t>حليب</t>
  </si>
  <si>
    <t>Milk</t>
  </si>
  <si>
    <t>ING-DAIRY-MILK</t>
  </si>
  <si>
    <t>لتر</t>
  </si>
  <si>
    <t>مرجع سعر المشروع: 15,000 ل.س/لتر.</t>
  </si>
  <si>
    <t>كريمة طبخ</t>
  </si>
  <si>
    <t>Cooking Cream</t>
  </si>
  <si>
    <t>ING-DAIRY-COOKCREAM</t>
  </si>
  <si>
    <t>كريمة خفق</t>
  </si>
  <si>
    <t>Whipping Cream</t>
  </si>
  <si>
    <t>ING-DAIRY-WHIPCREAM</t>
  </si>
  <si>
    <t>زبدة</t>
  </si>
  <si>
    <t>Butter</t>
  </si>
  <si>
    <t>ING-DAIRY-BUTTER</t>
  </si>
  <si>
    <t>سمنة</t>
  </si>
  <si>
    <t>Ghee</t>
  </si>
  <si>
    <t>ING-DAIRY-GHEE</t>
  </si>
  <si>
    <t>بيض</t>
  </si>
  <si>
    <t>Egg</t>
  </si>
  <si>
    <t>ING-DAIRY-EGG</t>
  </si>
  <si>
    <t>صحن 30 بيضة = 45,000 ل.س؛ الكلفة المحسوبة للبيضة 1,500 ل.س.</t>
  </si>
  <si>
    <t>جبنة بيضاء</t>
  </si>
  <si>
    <t>White Cheese</t>
  </si>
  <si>
    <t>ING-CHEESE-WHITE</t>
  </si>
  <si>
    <t>لسندويش حبق، الفطور والمازات.</t>
  </si>
  <si>
    <t>جبنة برغر</t>
  </si>
  <si>
    <t>Burger Cheese</t>
  </si>
  <si>
    <t>ING-CHEESE-BURGER</t>
  </si>
  <si>
    <t>وزن العبوة غير محدد في المرجع.</t>
  </si>
  <si>
    <t>جبنة موزاريلا</t>
  </si>
  <si>
    <t>Mozzarella</t>
  </si>
  <si>
    <t>ING-CHEESE-MOZZARELLA</t>
  </si>
  <si>
    <t>جبنة حلوم</t>
  </si>
  <si>
    <t>Halloumi</t>
  </si>
  <si>
    <t>ING-CHEESE-HALLOUMI</t>
  </si>
  <si>
    <t>لـ Crunchy Halloumi Dog والسندويشات.</t>
  </si>
  <si>
    <t>لبنة</t>
  </si>
  <si>
    <t>Labneh</t>
  </si>
  <si>
    <t>ING-DAIRY-LABNEH</t>
  </si>
  <si>
    <t>جبنة كريمية</t>
  </si>
  <si>
    <t>Cream Cheese</t>
  </si>
  <si>
    <t>ING-CHEESE-CREAM</t>
  </si>
  <si>
    <t>جبنة بارميزان</t>
  </si>
  <si>
    <t>Parmesan</t>
  </si>
  <si>
    <t>ING-CHEESE-PARMESAN</t>
  </si>
  <si>
    <t>آيس كريم فانيلا</t>
  </si>
  <si>
    <t>Vanilla Ice Cream</t>
  </si>
  <si>
    <t>ING-DAIRY-ICECREAM-VAN</t>
  </si>
  <si>
    <t>للميلك شيك والحلويات.</t>
  </si>
  <si>
    <t>شنينة جاهزة</t>
  </si>
  <si>
    <t>Ready Ayran</t>
  </si>
  <si>
    <t>DRK-AYRAN-READY</t>
  </si>
  <si>
    <t>مشروبات ومستلزمات</t>
  </si>
  <si>
    <t>يمكن تحضيرها داخلياً من اللبن والماء والملح بدل شرائها.</t>
  </si>
  <si>
    <t>صدر دجاج</t>
  </si>
  <si>
    <t>Chicken Breast</t>
  </si>
  <si>
    <t>ING-MEAT-CHICKENBREAST</t>
  </si>
  <si>
    <t>السعر الذي ناقشناه للدجاج: نحو 35,000 ل.س/كغ.</t>
  </si>
  <si>
    <t>دجاج كامل</t>
  </si>
  <si>
    <t>Whole Chicken</t>
  </si>
  <si>
    <t>ING-MEAT-WHOLECHICKEN</t>
  </si>
  <si>
    <t>لحم بقر مكعبات</t>
  </si>
  <si>
    <t>Beef Cubes</t>
  </si>
  <si>
    <t>ING-MEAT-BEEF-CUBES</t>
  </si>
  <si>
    <t>لحم بقر مفروم</t>
  </si>
  <si>
    <t>Ground Beef</t>
  </si>
  <si>
    <t>ING-MEAT-BEEF-GROUND</t>
  </si>
  <si>
    <t>لحم غنم مكعبات</t>
  </si>
  <si>
    <t>Lamb Cubes</t>
  </si>
  <si>
    <t>ING-MEAT-LAMB-CUBES</t>
  </si>
  <si>
    <t>لحم غنم مفروم</t>
  </si>
  <si>
    <t>Ground Lamb</t>
  </si>
  <si>
    <t>ING-MEAT-LAMB-GROUND</t>
  </si>
  <si>
    <t>فخذ خروف</t>
  </si>
  <si>
    <t>Lamb Leg</t>
  </si>
  <si>
    <t>ING-MEAT-LAMB-LEG</t>
  </si>
  <si>
    <t>ستيك بقر</t>
  </si>
  <si>
    <t>Beef Steak</t>
  </si>
  <si>
    <t>ING-MEAT-BEEF-STEAK</t>
  </si>
  <si>
    <t>نقانق هوت دوغ</t>
  </si>
  <si>
    <t>Hot Dog Sausage</t>
  </si>
  <si>
    <t>ING-MEAT-HOTDOG</t>
  </si>
  <si>
    <t>الكلفة التقريبية التي ناقشناها: 4,000 ل.س للحبة.</t>
  </si>
  <si>
    <t>سجق حار</t>
  </si>
  <si>
    <t>Spicy Sausage</t>
  </si>
  <si>
    <t>ING-MEAT-SUJUK</t>
  </si>
  <si>
    <t>فيليه سمك</t>
  </si>
  <si>
    <t>Fish Fillet</t>
  </si>
  <si>
    <t>ING-FISH-FILLET</t>
  </si>
  <si>
    <t>سمك كامل</t>
  </si>
  <si>
    <t>Whole Fish</t>
  </si>
  <si>
    <t>ING-FISH-WHOLE</t>
  </si>
  <si>
    <t>كروش</t>
  </si>
  <si>
    <t>Tripe</t>
  </si>
  <si>
    <t>ING-OFFAL-TRIPE</t>
  </si>
  <si>
    <t>فوارغ</t>
  </si>
  <si>
    <t>Stuffed Intestine Casing</t>
  </si>
  <si>
    <t>ING-OFFAL-INTESTINE</t>
  </si>
  <si>
    <t>فلافل جاهزة</t>
  </si>
  <si>
    <t>Prepared Falafel</t>
  </si>
  <si>
    <t>ING-PREP-FALAFEL</t>
  </si>
  <si>
    <t>يُضاف فقط إن كانت تُشترى جاهزة؛ وإلا تُدار كوصفة/دفعة إنتاج.</t>
  </si>
  <si>
    <t>حمص جاهز</t>
  </si>
  <si>
    <t>Prepared Hummus</t>
  </si>
  <si>
    <t>ING-PREP-HUMMUS</t>
  </si>
  <si>
    <t>يُضاف فقط إن كان يُشترى جاهزاً؛ وإلا يُدار كوصفة/دفعة إنتاج.</t>
  </si>
  <si>
    <t>محمّرة جاهزة</t>
  </si>
  <si>
    <t>Prepared Muhammara</t>
  </si>
  <si>
    <t>ING-PREP-MUHAMMARA</t>
  </si>
  <si>
    <t>الاسم المعتمد محمّرة، وليس حمرة. تُضاف إن كانت تُشترى جاهزة.</t>
  </si>
  <si>
    <t>طحين أبيض</t>
  </si>
  <si>
    <t>White Flour</t>
  </si>
  <si>
    <t>ING-DRY-WHITEFLOUR</t>
  </si>
  <si>
    <t>طحين ذرة</t>
  </si>
  <si>
    <t>Corn Flour</t>
  </si>
  <si>
    <t>ING-DRY-CORNFLOUR</t>
  </si>
  <si>
    <t>سميد</t>
  </si>
  <si>
    <t>Semolina</t>
  </si>
  <si>
    <t>ING-DRY-SEMOLINA</t>
  </si>
  <si>
    <t>بقسماط / كعك مطحون</t>
  </si>
  <si>
    <t>Breadcrumbs</t>
  </si>
  <si>
    <t>ING-DRY-BREADCRUMB</t>
  </si>
  <si>
    <t>رز مصري</t>
  </si>
  <si>
    <t>Egyptian Rice</t>
  </si>
  <si>
    <t>ING-RICE-EGYPTIAN</t>
  </si>
  <si>
    <t>مرجع سعر المشروع: 18,000 ل.س/كغ.</t>
  </si>
  <si>
    <t>رز طويل الحبة</t>
  </si>
  <si>
    <t>Long Grain Rice</t>
  </si>
  <si>
    <t>ING-RICE-LONG</t>
  </si>
  <si>
    <t>مرجع السعر: رز طويل سيدي هشام 23,000 ل.س/كغ.</t>
  </si>
  <si>
    <t>رز بسمتي</t>
  </si>
  <si>
    <t>Basmati Rice</t>
  </si>
  <si>
    <t>ING-RICE-BASMATI</t>
  </si>
  <si>
    <t>برغل ناعم</t>
  </si>
  <si>
    <t>Fine Bulgur</t>
  </si>
  <si>
    <t>ING-GRAIN-BULGUR-FINE</t>
  </si>
  <si>
    <t>برغل خشن</t>
  </si>
  <si>
    <t>Coarse Bulgur</t>
  </si>
  <si>
    <t>ING-GRAIN-BULGUR-COARSE</t>
  </si>
  <si>
    <t>فريكة</t>
  </si>
  <si>
    <t>Freekeh</t>
  </si>
  <si>
    <t>ING-GRAIN-FREEKEH</t>
  </si>
  <si>
    <t>معكرونة</t>
  </si>
  <si>
    <t>Pasta</t>
  </si>
  <si>
    <t>ING-PASTA-REGULAR</t>
  </si>
  <si>
    <t>شرائح لازانيا</t>
  </si>
  <si>
    <t>Lasagna Sheets</t>
  </si>
  <si>
    <t>ING-PASTA-LASAGNA</t>
  </si>
  <si>
    <t>نودلز</t>
  </si>
  <si>
    <t>Noodles</t>
  </si>
  <si>
    <t>ING-PASTA-NOODLES</t>
  </si>
  <si>
    <t>نيوكي</t>
  </si>
  <si>
    <t>Gnocchi</t>
  </si>
  <si>
    <t>ING-PASTA-GNOCCHI</t>
  </si>
  <si>
    <t>مغربية</t>
  </si>
  <si>
    <t>Moghrabieh Pearls</t>
  </si>
  <si>
    <t>ING-GRAIN-MOGHRABIEH</t>
  </si>
  <si>
    <t>حمص حب</t>
  </si>
  <si>
    <t>Chickpeas</t>
  </si>
  <si>
    <t>ING-LEGUME-CHICKPEA</t>
  </si>
  <si>
    <t>حمص معلب</t>
  </si>
  <si>
    <t>Canned Chickpeas</t>
  </si>
  <si>
    <t>ING-CAN-CHICKPEA</t>
  </si>
  <si>
    <t>عدس أحمر</t>
  </si>
  <si>
    <t>Red Lentils</t>
  </si>
  <si>
    <t>ING-LEGUME-LENTIL-RED</t>
  </si>
  <si>
    <t>عدس بني</t>
  </si>
  <si>
    <t>Brown Lentils</t>
  </si>
  <si>
    <t>ING-LEGUME-LENTIL-BROWN</t>
  </si>
  <si>
    <t>فاصوليا بيضاء</t>
  </si>
  <si>
    <t>White Beans</t>
  </si>
  <si>
    <t>ING-LEGUME-WHITEBEAN</t>
  </si>
  <si>
    <t>فاصوليا حمراء</t>
  </si>
  <si>
    <t>Kidney Beans</t>
  </si>
  <si>
    <t>ING-LEGUME-KIDNEYBEAN</t>
  </si>
  <si>
    <t>ذرة فشار</t>
  </si>
  <si>
    <t>Popcorn Kernels</t>
  </si>
  <si>
    <t>ING-DRY-POPCORN</t>
  </si>
  <si>
    <t>خبز سمون</t>
  </si>
  <si>
    <t>Samoon Bread</t>
  </si>
  <si>
    <t>ING-BREAD-SAMOON</t>
  </si>
  <si>
    <t>خيار خبز أساسي للسندويشات.</t>
  </si>
  <si>
    <t>خبز باغيت</t>
  </si>
  <si>
    <t>Baguette</t>
  </si>
  <si>
    <t>ING-BREAD-BAGUETTE</t>
  </si>
  <si>
    <t>خبز عربي</t>
  </si>
  <si>
    <t>Arabic Flatbread</t>
  </si>
  <si>
    <t>ING-BREAD-PITA</t>
  </si>
  <si>
    <t>خيار الخبز العادي.</t>
  </si>
  <si>
    <t>خبز هوت دوغ</t>
  </si>
  <si>
    <t>Hot Dog Bun</t>
  </si>
  <si>
    <t>ING-BREAD-HOTDOG</t>
  </si>
  <si>
    <t>الكلفة التقريبية التي ناقشناها: 1,000 ل.س للحبة.</t>
  </si>
  <si>
    <t>خبز برغر</t>
  </si>
  <si>
    <t>Burger Bun</t>
  </si>
  <si>
    <t>ING-BREAD-BURGER</t>
  </si>
  <si>
    <t>عجينة بف باستري</t>
  </si>
  <si>
    <t>Puff Pastry</t>
  </si>
  <si>
    <t>ING-DOUGH-PUFF</t>
  </si>
  <si>
    <t>للكيش والبوريك وبعض المعجنات.</t>
  </si>
  <si>
    <t>رقائق فيلو</t>
  </si>
  <si>
    <t>Phyllo Pastry</t>
  </si>
  <si>
    <t>ING-DOUGH-PHYLLO</t>
  </si>
  <si>
    <t>خميرة خبز جافة</t>
  </si>
  <si>
    <t>Dry Baker's Yeast</t>
  </si>
  <si>
    <t>ING-BAKE-YEAST</t>
  </si>
  <si>
    <t>غ</t>
  </si>
  <si>
    <t>بيكنغ باودر</t>
  </si>
  <si>
    <t>Baking Powder</t>
  </si>
  <si>
    <t>ING-BAKE-POWDER</t>
  </si>
  <si>
    <t>نشا ذرة</t>
  </si>
  <si>
    <t>Corn Starch</t>
  </si>
  <si>
    <t>ING-BAKE-CORNSTARCH</t>
  </si>
  <si>
    <t>طحينية</t>
  </si>
  <si>
    <t>Tahini</t>
  </si>
  <si>
    <t>ING-SAUCE-TAHINI</t>
  </si>
  <si>
    <t>عبوة 400 غ = 28,000 ل.س؛ الكلفة المحسوبة 70,000 ل.س/كغ.</t>
  </si>
  <si>
    <t>مايونيز</t>
  </si>
  <si>
    <t>Mayonnaise</t>
  </si>
  <si>
    <t>ING-SAUCE-MAYO</t>
  </si>
  <si>
    <t>ورد وزن 280–400 غ في مراجع مختلفة؛ تحقق من الوزن قبل تحويل الكلفة إلى كغ.</t>
  </si>
  <si>
    <t>كاتشب</t>
  </si>
  <si>
    <t>Ketchup</t>
  </si>
  <si>
    <t>ING-SAUCE-KETCHUP</t>
  </si>
  <si>
    <t>عبوة 600 غ ≈ 20,000 ل.س؛ الكلفة المحسوبة 33,333.33 ل.س/كغ.</t>
  </si>
  <si>
    <t>دبس رمان</t>
  </si>
  <si>
    <t>Pomegranate Molasses</t>
  </si>
  <si>
    <t>ING-SAUCE-POMMOLASSES</t>
  </si>
  <si>
    <t>عبوة 250 غ = 10,000 ل.س؛ الكلفة المحسوبة 40,000 ل.س/كغ.</t>
  </si>
  <si>
    <t>خل أبيض</t>
  </si>
  <si>
    <t>White Vinegar</t>
  </si>
  <si>
    <t>ING-SAUCE-WHITEVINEGAR</t>
  </si>
  <si>
    <t>عبوة 500 مل = 8,000 ل.س؛ الكلفة المحسوبة 16,000 ل.س/لتر.</t>
  </si>
  <si>
    <t>خل تفاح</t>
  </si>
  <si>
    <t>Apple Cider Vinegar</t>
  </si>
  <si>
    <t>ING-SAUCE-APPLEVINEGAR</t>
  </si>
  <si>
    <t>خردل</t>
  </si>
  <si>
    <t>Mustard</t>
  </si>
  <si>
    <t>ING-SAUCE-MUSTARD</t>
  </si>
  <si>
    <t>عبوة 300 غ = 20,000 ل.س؛ الكلفة المحسوبة 66,666.67 ل.س/كغ.</t>
  </si>
  <si>
    <t>مخلل مشكل</t>
  </si>
  <si>
    <t>Mixed Pickles</t>
  </si>
  <si>
    <t>ING-PICKLE-MIXED</t>
  </si>
  <si>
    <t>كيس صغير.</t>
  </si>
  <si>
    <t>فطر معلب</t>
  </si>
  <si>
    <t>Canned Mushrooms</t>
  </si>
  <si>
    <t>ING-CAN-MUSHROOM</t>
  </si>
  <si>
    <t>عبوة 400 غ = 12,000 ل.س؛ الكلفة المحسوبة 30,000 ل.س/كغ.</t>
  </si>
  <si>
    <t>شطة / معجون فلفل حار</t>
  </si>
  <si>
    <t>Chili Paste</t>
  </si>
  <si>
    <t>ING-SAUCE-CHILIPASTE</t>
  </si>
  <si>
    <t>عبوة 250 غ = 8,000 ل.س؛ الكلفة المحسوبة 32,000 ل.س/كغ.</t>
  </si>
  <si>
    <t>رب بندورة</t>
  </si>
  <si>
    <t>Tomato Paste</t>
  </si>
  <si>
    <t>ING-CAN-TOMATOPASTE</t>
  </si>
  <si>
    <t>زيت زيتون</t>
  </si>
  <si>
    <t>Olive Oil</t>
  </si>
  <si>
    <t>ING-OIL-OLIVE</t>
  </si>
  <si>
    <t>للسندويشات، المازة والأطباق اليومية.</t>
  </si>
  <si>
    <t>زيت نباتي</t>
  </si>
  <si>
    <t>Vegetable Oil</t>
  </si>
  <si>
    <t>ING-OIL-VEGETABLE</t>
  </si>
  <si>
    <t>صلصة صويا</t>
  </si>
  <si>
    <t>Soy Sauce</t>
  </si>
  <si>
    <t>ING-SAUCE-SOY</t>
  </si>
  <si>
    <t>للنودلز والرز المقلي.</t>
  </si>
  <si>
    <t>صلصة ورشستر</t>
  </si>
  <si>
    <t>Worcestershire Sauce</t>
  </si>
  <si>
    <t>ING-SAUCE-WORCESTER</t>
  </si>
  <si>
    <t>صوص مدخن</t>
  </si>
  <si>
    <t>Smoky Sauce</t>
  </si>
  <si>
    <t>ING-SAUCE-SMOKY</t>
  </si>
  <si>
    <t>لبرميل حبق والهوت دوغ.</t>
  </si>
  <si>
    <t>تاباسكو</t>
  </si>
  <si>
    <t>Tabasco Sauce</t>
  </si>
  <si>
    <t>ING-SAUCE-TABASCO</t>
  </si>
  <si>
    <t>مل</t>
  </si>
  <si>
    <t>للشوت مع الزيتونة وبعض الكوكتيلات.</t>
  </si>
  <si>
    <t>عسل</t>
  </si>
  <si>
    <t>Honey</t>
  </si>
  <si>
    <t>ING-SWEET-HONEY</t>
  </si>
  <si>
    <t>مربى</t>
  </si>
  <si>
    <t>Jam</t>
  </si>
  <si>
    <t>ING-SWEET-JAM</t>
  </si>
  <si>
    <t>دبس عنب</t>
  </si>
  <si>
    <t>Grape Molasses</t>
  </si>
  <si>
    <t>ING-SWEET-GRAPEMOLASSES</t>
  </si>
  <si>
    <t>للجلاب، دبس وليمون والمشروبات المحلية.</t>
  </si>
  <si>
    <t>دبس تمر</t>
  </si>
  <si>
    <t>Date Molasses</t>
  </si>
  <si>
    <t>ING-SWEET-DATEMOLASSES</t>
  </si>
  <si>
    <t>ماء ورد</t>
  </si>
  <si>
    <t>Rose Water</t>
  </si>
  <si>
    <t>ING-FLAVOR-ROSEWATER</t>
  </si>
  <si>
    <t>ماء زهر</t>
  </si>
  <si>
    <t>Orange Blossom Water</t>
  </si>
  <si>
    <t>ING-FLAVOR-ORANGEBLOSSOM</t>
  </si>
  <si>
    <t>صوص شوكولا</t>
  </si>
  <si>
    <t>Chocolate Sauce</t>
  </si>
  <si>
    <t>ING-SYRUP-CHOCOLATE</t>
  </si>
  <si>
    <t>سيروب فانيلا</t>
  </si>
  <si>
    <t>Vanilla Syrup</t>
  </si>
  <si>
    <t>ING-SYRUP-VANILLA</t>
  </si>
  <si>
    <t>سيروب كراميل</t>
  </si>
  <si>
    <t>Caramel Syrup</t>
  </si>
  <si>
    <t>ING-SYRUP-CARAMEL</t>
  </si>
  <si>
    <t>غرينادين</t>
  </si>
  <si>
    <t>Grenadine Syrup</t>
  </si>
  <si>
    <t>ING-SYRUP-GRENADINE</t>
  </si>
  <si>
    <t>ملح</t>
  </si>
  <si>
    <t>Salt</t>
  </si>
  <si>
    <t>ING-SPICE-SALT</t>
  </si>
  <si>
    <t>فلفل أسود</t>
  </si>
  <si>
    <t>Black Pepper</t>
  </si>
  <si>
    <t>ING-SPICE-BLACKPEPPER</t>
  </si>
  <si>
    <t>قرفة عيدان</t>
  </si>
  <si>
    <t>Cinnamon Sticks</t>
  </si>
  <si>
    <t>ING-SPICE-CINNAMON-STICK</t>
  </si>
  <si>
    <t>وزن العبوة غير محدد.</t>
  </si>
  <si>
    <t>قرفة مطحونة</t>
  </si>
  <si>
    <t>Ground Cinnamon</t>
  </si>
  <si>
    <t>ING-SPICE-CINNAMON</t>
  </si>
  <si>
    <t>هيل مطحون</t>
  </si>
  <si>
    <t>Ground Cardamom</t>
  </si>
  <si>
    <t>ING-SPICE-CARDAMOM</t>
  </si>
  <si>
    <t>15 غ = 15,000 ل.س؛ الكلفة المحسوبة 1,000,000 ل.س/كغ.</t>
  </si>
  <si>
    <t>سماق</t>
  </si>
  <si>
    <t>Sumac</t>
  </si>
  <si>
    <t>ING-SPICE-SUMAC</t>
  </si>
  <si>
    <t>20 غ = 8,000 ل.س؛ الكلفة المحسوبة 400,000 ل.س/كغ.</t>
  </si>
  <si>
    <t>فلفل حلو مطحون</t>
  </si>
  <si>
    <t>Sweet Paprika</t>
  </si>
  <si>
    <t>ING-SPICE-PAPRIKA</t>
  </si>
  <si>
    <t>40 غ = 8,000 ل.س؛ الكلفة المحسوبة 200,000 ل.س/كغ.</t>
  </si>
  <si>
    <t>ثوم بودرة</t>
  </si>
  <si>
    <t>Garlic Powder</t>
  </si>
  <si>
    <t>ING-SPICE-GARLICPOWDER</t>
  </si>
  <si>
    <t>30 غ = 8,000 ل.س؛ الكلفة المحسوبة 266,666.67 ل.س/كغ.</t>
  </si>
  <si>
    <t>كزبرة مطحونة</t>
  </si>
  <si>
    <t>Ground Coriander</t>
  </si>
  <si>
    <t>ING-SPICE-CORIANDER</t>
  </si>
  <si>
    <t>15 غ = 4,000 ل.س؛ الكلفة المحسوبة 266,666.67 ل.س/كغ.</t>
  </si>
  <si>
    <t>أوريغانو</t>
  </si>
  <si>
    <t>Oregano</t>
  </si>
  <si>
    <t>ING-SPICE-OREGANO</t>
  </si>
  <si>
    <t>15 غ = 6,000 ل.س؛ الكلفة المحسوبة 400,000 ل.س/كغ.</t>
  </si>
  <si>
    <t>مردكوش</t>
  </si>
  <si>
    <t>Marjoram</t>
  </si>
  <si>
    <t>ING-SPICE-MARJORAM</t>
  </si>
  <si>
    <t>كمون</t>
  </si>
  <si>
    <t>Cumin</t>
  </si>
  <si>
    <t>ING-SPICE-CUMIN</t>
  </si>
  <si>
    <t>لشراب الكمون والليمون وللطبخ.</t>
  </si>
  <si>
    <t>كركم</t>
  </si>
  <si>
    <t>Turmeric</t>
  </si>
  <si>
    <t>ING-SPICE-TURMERIC</t>
  </si>
  <si>
    <t>كاري</t>
  </si>
  <si>
    <t>Curry Powder</t>
  </si>
  <si>
    <t>ING-SPICE-CURRY</t>
  </si>
  <si>
    <t>غارام ماسالا</t>
  </si>
  <si>
    <t>Garam Masala</t>
  </si>
  <si>
    <t>ING-SPICE-GARAMMASALA</t>
  </si>
  <si>
    <t>بهار برياني</t>
  </si>
  <si>
    <t>Biryani Spice</t>
  </si>
  <si>
    <t>ING-SPICE-BIRYANI</t>
  </si>
  <si>
    <t>بهار كبسة</t>
  </si>
  <si>
    <t>Kabsa Spice</t>
  </si>
  <si>
    <t>ING-SPICE-KABSA</t>
  </si>
  <si>
    <t>شطة مجروشة</t>
  </si>
  <si>
    <t>Chili Flakes</t>
  </si>
  <si>
    <t>ING-SPICE-CHILIFLAKES</t>
  </si>
  <si>
    <t>جوزة الطيب</t>
  </si>
  <si>
    <t>Nutmeg</t>
  </si>
  <si>
    <t>ING-SPICE-NUTMEG</t>
  </si>
  <si>
    <t>قرنفل</t>
  </si>
  <si>
    <t>Cloves</t>
  </si>
  <si>
    <t>ING-SPICE-CLOVES</t>
  </si>
  <si>
    <t>ورق غار</t>
  </si>
  <si>
    <t>Bay Leaves</t>
  </si>
  <si>
    <t>ING-SPICE-BAYLEAF</t>
  </si>
  <si>
    <t>نعنع يابس</t>
  </si>
  <si>
    <t>Dried Mint</t>
  </si>
  <si>
    <t>ING-HERB-DRIEDMINT</t>
  </si>
  <si>
    <t>زعتر يابس</t>
  </si>
  <si>
    <t>Dried Thyme</t>
  </si>
  <si>
    <t>ING-HERB-DRIEDTHYME</t>
  </si>
  <si>
    <t>سمسم</t>
  </si>
  <si>
    <t>Sesame Seeds</t>
  </si>
  <si>
    <t>ING-SEED-SESAME</t>
  </si>
  <si>
    <t>حبة البركة</t>
  </si>
  <si>
    <t>Nigella Seeds</t>
  </si>
  <si>
    <t>ING-SEED-NIGELLA</t>
  </si>
  <si>
    <t>يانسون</t>
  </si>
  <si>
    <t>Anise Seeds</t>
  </si>
  <si>
    <t>ING-HERB-ANISE</t>
  </si>
  <si>
    <t>شمر</t>
  </si>
  <si>
    <t>Fennel Seeds</t>
  </si>
  <si>
    <t>ING-HERB-FENNEL</t>
  </si>
  <si>
    <t>ميرمية مجففة</t>
  </si>
  <si>
    <t>Dried Sage</t>
  </si>
  <si>
    <t>ING-HERB-SAGE</t>
  </si>
  <si>
    <t>للزهورات والشاي بالميرمية.</t>
  </si>
  <si>
    <t>بابونج</t>
  </si>
  <si>
    <t>Chamomile</t>
  </si>
  <si>
    <t>ING-HERB-CHAMOMILE</t>
  </si>
  <si>
    <t>مليسة</t>
  </si>
  <si>
    <t>Lemon Balm</t>
  </si>
  <si>
    <t>ING-HERB-LEMONBALM</t>
  </si>
  <si>
    <t>كركديه مجفف</t>
  </si>
  <si>
    <t>Dried Hibiscus</t>
  </si>
  <si>
    <t>ING-HERB-HIBISCUS</t>
  </si>
  <si>
    <t>للكركديه الساخن والبارد.</t>
  </si>
  <si>
    <t>عرق سوس</t>
  </si>
  <si>
    <t>Licorice Root</t>
  </si>
  <si>
    <t>ING-HERB-LICORICE</t>
  </si>
  <si>
    <t>تمر هندي مركز</t>
  </si>
  <si>
    <t>Tamarind Paste</t>
  </si>
  <si>
    <t>ING-FRT-TAMARIND</t>
  </si>
  <si>
    <t>قمر الدين</t>
  </si>
  <si>
    <t>Apricot Leather</t>
  </si>
  <si>
    <t>ING-FRT-QAMARALDIN</t>
  </si>
  <si>
    <t>بن تركي</t>
  </si>
  <si>
    <t>Turkish Coffee</t>
  </si>
  <si>
    <t>DRK-COF-TURKISH</t>
  </si>
  <si>
    <t>بن إسبريسو</t>
  </si>
  <si>
    <t>Espresso Coffee Beans</t>
  </si>
  <si>
    <t>DRK-COF-ESPRESSO</t>
  </si>
  <si>
    <t>للكابتشينو، اللاتيه، الأمريكانو، الموكا والقهوة المثلجة.</t>
  </si>
  <si>
    <t>قهوة سريعة التحضير</t>
  </si>
  <si>
    <t>Instant Coffee</t>
  </si>
  <si>
    <t>DRK-COF-INSTANT</t>
  </si>
  <si>
    <t>بن عربي فاتح</t>
  </si>
  <si>
    <t>Light Roast Arabic Coffee</t>
  </si>
  <si>
    <t>DRK-COF-ARABIC</t>
  </si>
  <si>
    <t>شاي أسود سائب</t>
  </si>
  <si>
    <t>Loose Black Tea</t>
  </si>
  <si>
    <t>DRK-TEA-BLACK-LOOSE</t>
  </si>
  <si>
    <t>شاي رأس الحصان 140 غ = 35,000 ل.س؛ الكلفة المحسوبة 250,000 ل.س/كغ.</t>
  </si>
  <si>
    <t>شاي أحمد عادي – ظرف</t>
  </si>
  <si>
    <t>Ahmad Tea Bag</t>
  </si>
  <si>
    <t>DRK-TEA-AHMAD-BAG</t>
  </si>
  <si>
    <t>حصة</t>
  </si>
  <si>
    <t>100 ظرف = 42,000 ل.س؛ الكلفة للحصة 420 ل.س.</t>
  </si>
  <si>
    <t>شاي أحمد إيرل غراي – ظرف</t>
  </si>
  <si>
    <t>Ahmad Earl Grey Tea Bag</t>
  </si>
  <si>
    <t>DRK-TEA-EARLGREY-BAG</t>
  </si>
  <si>
    <t>100 ظرف = 58,500 ل.س؛ الكلفة للحصة 585 ل.س.</t>
  </si>
  <si>
    <t>شاي أحمد منكه – ظرف</t>
  </si>
  <si>
    <t>Ahmad Flavored Tea Bag</t>
  </si>
  <si>
    <t>DRK-TEA-FLAVORED-BAG</t>
  </si>
  <si>
    <t>20 ظرف = 40,000 ل.س؛ الكلفة للحصة 2,000 ل.س.</t>
  </si>
  <si>
    <t>شاي أحمد فواكه – ظرف</t>
  </si>
  <si>
    <t>Ahmad Fruit Tea Bag</t>
  </si>
  <si>
    <t>DRK-TEA-FRUIT-BAG</t>
  </si>
  <si>
    <t>20 ظرف = 26,500 ل.س؛ الكلفة للحصة 1,325 ل.س.</t>
  </si>
  <si>
    <t>شاي هندي / ماسالا</t>
  </si>
  <si>
    <t>Indian Masala Tea</t>
  </si>
  <si>
    <t>DRK-TEA-MASALA</t>
  </si>
  <si>
    <t>زهورات مشكلة</t>
  </si>
  <si>
    <t>Mixed Zhourat</t>
  </si>
  <si>
    <t>DRK-HERBAL-ZHOURAT</t>
  </si>
  <si>
    <t>متة</t>
  </si>
  <si>
    <t>Yerba Mate</t>
  </si>
  <si>
    <t>DRK-MATE-YERBA</t>
  </si>
  <si>
    <t>ماتشا – حصة</t>
  </si>
  <si>
    <t>Matcha Portion</t>
  </si>
  <si>
    <t>DRK-MATCHA-PORTION</t>
  </si>
  <si>
    <t>20 ظرف = 89,000 ل.س؛ الكلفة للحصة 4,450 ل.س.</t>
  </si>
  <si>
    <t>هوت شوكليت – ظرف</t>
  </si>
  <si>
    <t>Hot Chocolate Sachet</t>
  </si>
  <si>
    <t>DRK-CHOCO-SACHET</t>
  </si>
  <si>
    <t>مرجع السعر: 3,000 ل.س للظرف.</t>
  </si>
  <si>
    <t>كاكاو بودرة</t>
  </si>
  <si>
    <t>Cocoa Powder</t>
  </si>
  <si>
    <t>DRK-CHOCO-COCOA</t>
  </si>
  <si>
    <t>جلاب مركز</t>
  </si>
  <si>
    <t>Jallab Concentrate</t>
  </si>
  <si>
    <t>DRK-LOCAL-JALLAB</t>
  </si>
  <si>
    <t>عصير عنب</t>
  </si>
  <si>
    <t>Grape Juice</t>
  </si>
  <si>
    <t>DRK-JUICE-GRAPE</t>
  </si>
  <si>
    <t>عصير رمان</t>
  </si>
  <si>
    <t>Pomegranate Juice</t>
  </si>
  <si>
    <t>DRK-JUICE-POMEGRANATE</t>
  </si>
  <si>
    <t>عصير تفاح</t>
  </si>
  <si>
    <t>Apple Juice</t>
  </si>
  <si>
    <t>DRK-JUICE-APPLE</t>
  </si>
  <si>
    <t>سفن أب – زجاجة</t>
  </si>
  <si>
    <t>7UP Bottle</t>
  </si>
  <si>
    <t>DRK-SODA-7UP-BTL</t>
  </si>
  <si>
    <t>زجاجة</t>
  </si>
  <si>
    <t>الحجم غير محدد في المرجع.</t>
  </si>
  <si>
    <t>بيبسي – زجاجة</t>
  </si>
  <si>
    <t>Pepsi Bottle</t>
  </si>
  <si>
    <t>DRK-SODA-PEPSI-BTL</t>
  </si>
  <si>
    <t>سوبرين سفن أب / كولا 2.25 لتر</t>
  </si>
  <si>
    <t>Suprin 7UP/Cola 2.25L</t>
  </si>
  <si>
    <t>DRK-SODA-SUPRIN-225</t>
  </si>
  <si>
    <t>زجاجة 2.25 لتر.</t>
  </si>
  <si>
    <t>صودا – علبة</t>
  </si>
  <si>
    <t>Soda Can</t>
  </si>
  <si>
    <t>DRK-SODA-CAN</t>
  </si>
  <si>
    <t>مياه غازية</t>
  </si>
  <si>
    <t>Soda Water</t>
  </si>
  <si>
    <t>DRK-SODA-WATER</t>
  </si>
  <si>
    <t>تونيك ووتر</t>
  </si>
  <si>
    <t>Tonic Water</t>
  </si>
  <si>
    <t>DRK-TONIC-WATER</t>
  </si>
  <si>
    <t>مياه معدنية صغيرة</t>
  </si>
  <si>
    <t>Small Mineral Water</t>
  </si>
  <si>
    <t>DRK-WATER-SMALL</t>
  </si>
  <si>
    <t>مياه معدنية كبيرة</t>
  </si>
  <si>
    <t>Large Mineral Water</t>
  </si>
  <si>
    <t>DRK-WATER-LARGE</t>
  </si>
  <si>
    <t>عصير فيوري 1 لتر</t>
  </si>
  <si>
    <t>Fiori Juice 1L</t>
  </si>
  <si>
    <t>DRK-JUICE-FIORI-1L</t>
  </si>
  <si>
    <t>عصير فيوري 1.5 لتر</t>
  </si>
  <si>
    <t>Fiori Juice 1.5L</t>
  </si>
  <si>
    <t>DRK-JUICE-FIORI-15L</t>
  </si>
  <si>
    <t>زجاجة 1.5 لتر.</t>
  </si>
  <si>
    <t>ثلج</t>
  </si>
  <si>
    <t>Ice</t>
  </si>
  <si>
    <t>DRK-ICE</t>
  </si>
  <si>
    <t>مرجع سعر المشروع: 4,000 ل.س/كغ.</t>
  </si>
  <si>
    <t>عرق الريان</t>
  </si>
  <si>
    <t>Al Rayan Arak</t>
  </si>
  <si>
    <t>DRK-ALC-ARAK-RAYAN</t>
  </si>
  <si>
    <t>مرجع سعر المشروع: 52,000 ل.س/لتر.</t>
  </si>
  <si>
    <t>فودكا سميرنوف</t>
  </si>
  <si>
    <t>Smirnoff Vodka</t>
  </si>
  <si>
    <t>DRK-ALC-VODKA-SMIRNOFF</t>
  </si>
  <si>
    <t>مرجع سعر المشروع: 50,000 ل.س/لتر.</t>
  </si>
  <si>
    <t>بيرة ثقيلة</t>
  </si>
  <si>
    <t>Strong Beer</t>
  </si>
  <si>
    <t>DRK-ALC-BEER-STRONG</t>
  </si>
  <si>
    <t>بيرة خفيفة</t>
  </si>
  <si>
    <t>Light Beer</t>
  </si>
  <si>
    <t>DRK-ALC-BEER-LIGHT</t>
  </si>
  <si>
    <t>جين</t>
  </si>
  <si>
    <t>Gin</t>
  </si>
  <si>
    <t>DRK-ALC-GIN</t>
  </si>
  <si>
    <t>لكوكتيل الجن بالحبق.</t>
  </si>
  <si>
    <t>ويسكي</t>
  </si>
  <si>
    <t>Whiskey</t>
  </si>
  <si>
    <t>DRK-ALC-WHISKEY</t>
  </si>
  <si>
    <t>روم أبيض</t>
  </si>
  <si>
    <t>White Rum</t>
  </si>
  <si>
    <t>DRK-ALC-RUM-WHITE</t>
  </si>
  <si>
    <t>للموهيتو.</t>
  </si>
  <si>
    <t>تيكيلا</t>
  </si>
  <si>
    <t>Tequila</t>
  </si>
  <si>
    <t>DRK-ALC-TEQUILA</t>
  </si>
  <si>
    <t>نبيذ أحمر</t>
  </si>
  <si>
    <t>Red Wine</t>
  </si>
  <si>
    <t>DRK-ALC-WINE-RED</t>
  </si>
  <si>
    <t>نبيذ أبيض</t>
  </si>
  <si>
    <t>White Wine</t>
  </si>
  <si>
    <t>DRK-ALC-WINE-WHITE</t>
  </si>
  <si>
    <t>زيتون أخضر</t>
  </si>
  <si>
    <t>Green Olives</t>
  </si>
  <si>
    <t>ING-PICKLE-GREENOLIVE</t>
  </si>
  <si>
    <t>للشوت مع تاباسكو وللمازات.</t>
  </si>
  <si>
    <t>سكر</t>
  </si>
  <si>
    <t>Sugar</t>
  </si>
  <si>
    <t>ING-SWEET-SUGAR</t>
  </si>
  <si>
    <t>فستق</t>
  </si>
  <si>
    <t>Pistachios</t>
  </si>
  <si>
    <t>ING-NUT-PISTACHIO</t>
  </si>
  <si>
    <t>مرجع سعر المشروع: 75,000 ل.س/كغ.</t>
  </si>
  <si>
    <t>فول سوداني</t>
  </si>
  <si>
    <t>Peanuts</t>
  </si>
  <si>
    <t>ING-NUT-PEANUT</t>
  </si>
  <si>
    <t>مكسرات مشكلة</t>
  </si>
  <si>
    <t>Mixed Nuts</t>
  </si>
  <si>
    <t>ING-NUT-MIXED</t>
  </si>
  <si>
    <t>سُجّل المرجع كذرة/مكسرات محمصة: 50,000 ل.س/كغ؛ تحقق من الصنف.</t>
  </si>
  <si>
    <t>ذرة محمصة</t>
  </si>
  <si>
    <t>Roasted Corn Nuts</t>
  </si>
  <si>
    <t>ING-SNACK-ROASTEDCORN</t>
  </si>
  <si>
    <t>شيبس بطاطا</t>
  </si>
  <si>
    <t>Potato Chips</t>
  </si>
  <si>
    <t>DRK-SNACK-CHIPS</t>
  </si>
  <si>
    <t>بسكويت</t>
  </si>
  <si>
    <t>Biscuits</t>
  </si>
  <si>
    <t>DRK-SNACK-BISCUIT</t>
  </si>
  <si>
    <t>ألواح شوكولا</t>
  </si>
  <si>
    <t>Chocolate Bars</t>
  </si>
  <si>
    <t>DRK-SNACK-CHOCBAR</t>
  </si>
  <si>
    <t>حلويات صغيرة</t>
  </si>
  <si>
    <t>Candy</t>
  </si>
  <si>
    <t>DRK-SNACK-CANDY</t>
  </si>
  <si>
    <t>صنوبر</t>
  </si>
  <si>
    <t>Pine Nuts</t>
  </si>
  <si>
    <t>ING-NUT-PINENUT</t>
  </si>
  <si>
    <t>للجلاب وبعض الأطباق.</t>
  </si>
  <si>
    <t>زبيب</t>
  </si>
  <si>
    <t>Raisins</t>
  </si>
  <si>
    <t>ING-DRY-RAISIN</t>
  </si>
  <si>
    <t>للجلاب والأرز والأطباق الموسمية.</t>
  </si>
  <si>
    <t>أكواب ساخنة صغيرة</t>
  </si>
  <si>
    <t>Small Hot Cups</t>
  </si>
  <si>
    <t>PKG-CUP-HOT-S</t>
  </si>
  <si>
    <t>تغليف</t>
  </si>
  <si>
    <t>أكواب ساخنة كبيرة</t>
  </si>
  <si>
    <t>Large Hot Cups</t>
  </si>
  <si>
    <t>PKG-CUP-HOT-L</t>
  </si>
  <si>
    <t>أكواب باردة</t>
  </si>
  <si>
    <t>Cold Drink Cups</t>
  </si>
  <si>
    <t>PKG-CUP-COLD</t>
  </si>
  <si>
    <t>أغطية أكواب ساخنة</t>
  </si>
  <si>
    <t>Hot Cup Lids</t>
  </si>
  <si>
    <t>PKG-LID-HOT</t>
  </si>
  <si>
    <t>أغطية أكواب باردة</t>
  </si>
  <si>
    <t>Cold Cup Lids</t>
  </si>
  <si>
    <t>PKG-LID-COLD</t>
  </si>
  <si>
    <t>شفاطات</t>
  </si>
  <si>
    <t>Drinking Straws</t>
  </si>
  <si>
    <t>PKG-STRAW</t>
  </si>
  <si>
    <t>عيدان تحريك</t>
  </si>
  <si>
    <t>Drink Stirrers</t>
  </si>
  <si>
    <t>PKG-STIRRER</t>
  </si>
  <si>
    <t>مناديل سفرة</t>
  </si>
  <si>
    <t>Table Napkins</t>
  </si>
  <si>
    <t>PKG-NAPKIN</t>
  </si>
  <si>
    <t>ورق سندويش</t>
  </si>
  <si>
    <t>Sandwich Wrapping Paper</t>
  </si>
  <si>
    <t>PKG-SANDWICH-PAPER</t>
  </si>
  <si>
    <t>ورق مقاوم للدهون</t>
  </si>
  <si>
    <t>Greaseproof Paper</t>
  </si>
  <si>
    <t>PKG-GREASEPAPER</t>
  </si>
  <si>
    <t>علب طعام سفري</t>
  </si>
  <si>
    <t>Takeaway Food Boxes</t>
  </si>
  <si>
    <t>PKG-FOOD-BOX</t>
  </si>
  <si>
    <t>أكياس ورقية</t>
  </si>
  <si>
    <t>Paper Bags</t>
  </si>
  <si>
    <t>PKG-PAPER-BAG</t>
  </si>
  <si>
    <t>ورق ألمنيوم</t>
  </si>
  <si>
    <t>Aluminium Foil</t>
  </si>
  <si>
    <t>PKG-FOIL</t>
  </si>
  <si>
    <t>نايلون تغليف</t>
  </si>
  <si>
    <t>Cling Film</t>
  </si>
  <si>
    <t>PKG-CLINGFILM</t>
  </si>
  <si>
    <t>قفازات استخدام واحد</t>
  </si>
  <si>
    <t>Disposable Gloves</t>
  </si>
  <si>
    <t>PKG-GLOVES</t>
  </si>
  <si>
    <t>أعواد أسنان</t>
  </si>
  <si>
    <t>Toothpicks</t>
  </si>
  <si>
    <t>PKG-TOOTHPICK</t>
  </si>
  <si>
    <t>ملصقات المنتجات</t>
  </si>
  <si>
    <t>Product Stickers</t>
  </si>
  <si>
    <t>PKG-STICKER</t>
  </si>
  <si>
    <t>رول إيصالات</t>
  </si>
  <si>
    <t>Receipt Paper Roll</t>
  </si>
  <si>
    <t>EQP-RECEIPT-ROLL</t>
  </si>
  <si>
    <t>مستهلكات معدات</t>
  </si>
  <si>
    <t>محارم</t>
  </si>
  <si>
    <t>Tissues</t>
  </si>
  <si>
    <t>CLN-TISSUE-BOX</t>
  </si>
  <si>
    <t>تنظيف</t>
  </si>
  <si>
    <t>صندوق</t>
  </si>
  <si>
    <t>مرجع سعر المشروع: 15,000 ل.س/علبة.</t>
  </si>
  <si>
    <t>سائل جلي بوفالو</t>
  </si>
  <si>
    <t>Buffalo Dishwashing Liquid</t>
  </si>
  <si>
    <t>CLN-DISH-BUFFALO</t>
  </si>
  <si>
    <t>مرجع سعر المشروع: 14,000 ل.س/عبوة.</t>
  </si>
  <si>
    <t>معطر بوفالو</t>
  </si>
  <si>
    <t>Buffalo Air Freshener</t>
  </si>
  <si>
    <t>CLN-AIR-BUFFALO</t>
  </si>
  <si>
    <t>حجم العبوة غير محدد.</t>
  </si>
  <si>
    <t>كلور نورة</t>
  </si>
  <si>
    <t>Noura Bleach</t>
  </si>
  <si>
    <t>CLN-BLEACH-NOURA</t>
  </si>
  <si>
    <t>750 مل + 50% مجاني.</t>
  </si>
  <si>
    <t>منظف أرضيات</t>
  </si>
  <si>
    <t>Floor Cleaner</t>
  </si>
  <si>
    <t>CLN-FLOOR</t>
  </si>
  <si>
    <t>معقم أسطح</t>
  </si>
  <si>
    <t>Surface Disinfectant</t>
  </si>
  <si>
    <t>CLN-SURFACE-DISINFECT</t>
  </si>
  <si>
    <t>صابون يدين</t>
  </si>
  <si>
    <t>Hand Soap</t>
  </si>
  <si>
    <t>CLN-HANDSOAP</t>
  </si>
  <si>
    <t>مناديل مطبخ</t>
  </si>
  <si>
    <t>Kitchen Paper Towels</t>
  </si>
  <si>
    <t>CLN-KITCHEN-TOWEL</t>
  </si>
  <si>
    <t>إسفنج جلي</t>
  </si>
  <si>
    <t>Dish Sponge</t>
  </si>
  <si>
    <t>CLN-SPONGE</t>
  </si>
  <si>
    <t>أكياس قمامة</t>
  </si>
  <si>
    <t>Garbage Bags</t>
  </si>
  <si>
    <t>CLN-GARBAGE-BAG</t>
  </si>
  <si>
    <t>فلاتر قهوة ورقية</t>
  </si>
  <si>
    <t>Paper Coffee Filters</t>
  </si>
  <si>
    <t>EQP-COFFEE-FILTER</t>
  </si>
  <si>
    <t>فحم للشواية</t>
  </si>
  <si>
    <t>Grill Charcoal</t>
  </si>
  <si>
    <t>EQP-CHARCOAL</t>
  </si>
  <si>
    <t>لبرميل الشوي والفعاليات.</t>
  </si>
  <si>
    <t>غاز طبخ / تعبئة أسطوانة</t>
  </si>
  <si>
    <t>Cooking Gas Refill</t>
  </si>
  <si>
    <t>EQP-GAS-REFILL</t>
  </si>
  <si>
    <t>خرطوشة فلتر مياه</t>
  </si>
  <si>
    <t>Water Filter Cartridge</t>
  </si>
  <si>
    <t>EQP-WATER-FILTER</t>
  </si>
  <si>
    <t>دليل إعداد مواد المخزون</t>
  </si>
  <si>
    <t>عدد المواد المقترحة</t>
  </si>
  <si>
    <t>مبدأ القائمة</t>
  </si>
  <si>
    <t>مواد خام، مشروبات جاهزة، تغليف، تنظيف ومستهلكات تشغيل. المنتجات المباعة مثل كابتشينو أو سندويش لا تُضاف هنا؛ تُربط بهذه المواد عبر وصفة المنتج.</t>
  </si>
  <si>
    <t>الأكواد</t>
  </si>
  <si>
    <t>أكواد مقترحة وليست بيانات سابقة. يمكن اعتمادها كما هي أو تعديلها قبل الإدخال.</t>
  </si>
  <si>
    <t>تُركت فارغة لأنها تحتاج جرداً فعلياً. أدخل رصيد الافتتاح بعد العد أو عبر حركة مخزون.</t>
  </si>
  <si>
    <t>تُرك فارغاً. الأفضل تحديده لاحقاً حسب الاستهلاك وزمن التوريد.</t>
  </si>
  <si>
    <t>الكلفة التقديرية</t>
  </si>
  <si>
    <t>معبأة فقط عندما كان السعر معروفاً. عند تحويل سعر عبوة إلى كغ/لتر، تم توضيح الحساب في الملاحظات.</t>
  </si>
  <si>
    <t>تُرك فارغاً لعدم وجود أسماء موردين مؤكدة.</t>
  </si>
  <si>
    <t>ملاحظة المنتجات المحضّرة</t>
  </si>
  <si>
    <t>الحمص، المحمّرة، الفلافل، الشنينة والصوصات المحضّرة تُضاف كمخزون مستقل فقط إذا كانت تُشترى جاهزة أو تُدار كدفعات إنتاج.</t>
  </si>
  <si>
    <t>ملاحظة الأسعار</t>
  </si>
  <si>
    <t>الأسعار تاريخية من مراجع المشروع، ويجب تحديثها قبل الشراء أو احتساب الهامش.</t>
  </si>
  <si>
    <t>نوع المادة — القيمة الظاهرة</t>
  </si>
  <si>
    <t>القيمة التقنية في النظام</t>
  </si>
  <si>
    <t>ingredient</t>
  </si>
  <si>
    <t>drink_supply</t>
  </si>
  <si>
    <t>packaging</t>
  </si>
  <si>
    <t>cleaning</t>
  </si>
  <si>
    <t>equipment_consumable</t>
  </si>
  <si>
    <t>أخرى</t>
  </si>
  <si>
    <t>other</t>
  </si>
  <si>
    <t>وحدة القياس — القيمة الظاهرة</t>
  </si>
  <si>
    <t>kg</t>
  </si>
  <si>
    <t>g</t>
  </si>
  <si>
    <t>liter</t>
  </si>
  <si>
    <t>ml</t>
  </si>
  <si>
    <t>piece</t>
  </si>
  <si>
    <t>pack</t>
  </si>
  <si>
    <t>bottle</t>
  </si>
  <si>
    <t>box</t>
  </si>
  <si>
    <t>portion</t>
  </si>
  <si>
    <t>المصدر</t>
  </si>
  <si>
    <t>الاستخدام</t>
  </si>
  <si>
    <t>https://github.com/Maximad/hub/blob/main/core/models.py</t>
  </si>
  <si>
    <t>الحقول والخيارات الحالية لنموذج InventoryItem.</t>
  </si>
  <si>
    <t>Morning picture request.txt — مرجع الأسعار</t>
  </si>
  <si>
    <t>الأسعار المعروفة للخضار، الألبان، الصوصات، البهارات، المشروبات والتنظيف.</t>
  </si>
  <si>
    <t>Hub / Masharib project conversations</t>
  </si>
  <si>
    <t>منتجات مشاريب، سفرة، السندويشات، Black Barrel، الكيش، المازة والأطباق اليومية.</t>
  </si>
  <si>
    <t>deep-research-report.md</t>
  </si>
  <si>
    <t>المشروبات المحلية: المتة، الجلاب، الزهورات، دبس العنب، الشنينة والكركديه.</t>
  </si>
  <si>
    <t>Hub_Sueda_Concept_Note_AR.docx</t>
  </si>
  <si>
    <t>نطاق التشغيل: مشاريب، سناك، مختبر الطعام والفعاليات.</t>
  </si>
  <si>
    <t>حالة الاستيراد</t>
  </si>
  <si>
    <t>اسم المنتج</t>
  </si>
  <si>
    <t>مفتاح المنتج</t>
  </si>
  <si>
    <t>مادة المخزون</t>
  </si>
  <si>
    <t>كود مادة المخزون</t>
  </si>
  <si>
    <t>الكمية المدخلة</t>
  </si>
  <si>
    <t>وحدة الإدخال</t>
  </si>
  <si>
    <t>وحدة المخزون</t>
  </si>
  <si>
    <t>الكمية الموحّدة</t>
  </si>
  <si>
    <t>نسبة الهدر %</t>
  </si>
  <si>
    <t>نشط</t>
  </si>
  <si>
    <t>كلفة وحدة المخزون</t>
  </si>
  <si>
    <t>كلفة السطر</t>
  </si>
  <si>
    <t>التحقق</t>
  </si>
  <si>
    <t>جاهز للاستيراد</t>
  </si>
  <si>
    <t>شاي عادي</t>
  </si>
  <si>
    <t>نعم</t>
  </si>
  <si>
    <t>لا يشمل السكر لأنه خيار متغيّر.</t>
  </si>
  <si>
    <t>شاي مع نعنع</t>
  </si>
  <si>
    <t>تقدير: 5% من عبوة نعنع؛ راجع حجم العبوة الفعلي.</t>
  </si>
  <si>
    <t>شاي مع ميرمية</t>
  </si>
  <si>
    <t>جرعة تقديرية 2غ.</t>
  </si>
  <si>
    <t>شاي إيرل غراي</t>
  </si>
  <si>
    <t>شاي فواكه / منكه</t>
  </si>
  <si>
    <t>استخدم شاي الفواكه؛ بدّل الكود إلى الشاي المنكّه إذا كان المنتج المقصود.</t>
  </si>
  <si>
    <t>زهورات</t>
  </si>
  <si>
    <t>تقدير 5غ للكاسة.</t>
  </si>
  <si>
    <t>هوت شوكليت بالماء</t>
  </si>
  <si>
    <t>هوت شوكليت بالحليب</t>
  </si>
  <si>
    <t>تقدير 200مل حليب.</t>
  </si>
  <si>
    <t>ماتشا بالماء</t>
  </si>
  <si>
    <t>ماتشا لاتيه ساخن</t>
  </si>
  <si>
    <t>كولا / سفن أب — كاسة</t>
  </si>
  <si>
    <t>يعادل تقريباً 250مل من زجاجة 2.25 لتر.</t>
  </si>
  <si>
    <t>مشروب معلب / غازي</t>
  </si>
  <si>
    <t>عصير كاسة</t>
  </si>
  <si>
    <t>تقدير كاسة 250مل.</t>
  </si>
  <si>
    <t>عصير كبير</t>
  </si>
  <si>
    <t>تقدير كاسة كبيرة 400مل.</t>
  </si>
  <si>
    <t>شنينة / لبن بارد</t>
  </si>
  <si>
    <t>على أساس شنينة جاهزة.</t>
  </si>
  <si>
    <t>دبس وليمون</t>
  </si>
  <si>
    <t>تقدير 30غ دبس عنب.</t>
  </si>
  <si>
    <t>تقدير 35غ ليمون.</t>
  </si>
  <si>
    <t>جلاب الكرمة</t>
  </si>
  <si>
    <t>تقدير 40مل مركز؛ المكسرات خيار ولا تدخل بالوصفة الأساسية.</t>
  </si>
  <si>
    <t>آيس ماتشا لاتيه</t>
  </si>
  <si>
    <t>تقدير 150غ ثلج.</t>
  </si>
  <si>
    <t>كاسة الواجب — متّة مشاريب</t>
  </si>
  <si>
    <t>تقدير 25غ متّة للكاسة.</t>
  </si>
  <si>
    <t>متّة طاولة</t>
  </si>
  <si>
    <t>تقدير 50غ للطاولة.</t>
  </si>
  <si>
    <t>زهرات البازلت</t>
  </si>
  <si>
    <t>تقدير 5غ.</t>
  </si>
  <si>
    <t>شاي تفاح وميرمية</t>
  </si>
  <si>
    <t>تقدير 50غ تفاح.</t>
  </si>
  <si>
    <t>تقدير 2غ ميرمية.</t>
  </si>
  <si>
    <t>عرق الريان — كأس</t>
  </si>
  <si>
    <t>راجع حجم الكأس الفعلي.</t>
  </si>
  <si>
    <t>عرق الريان — كاراف صغير</t>
  </si>
  <si>
    <t>راجع حجم الكاراف الفعلي.</t>
  </si>
  <si>
    <t>عرق الريان — لتر طاولة</t>
  </si>
  <si>
    <t>لبنة وأعشاب</t>
  </si>
  <si>
    <t>بدّل نوع الخبز بحسب المنتج الفعلي.</t>
  </si>
  <si>
    <t>نعنع مرفق تلقائياً مع اللبنة.</t>
  </si>
  <si>
    <t>زيت وزعتر</t>
  </si>
  <si>
    <t>محمّرة</t>
  </si>
  <si>
    <t>تقدير حصة المخلل من العبوة.</t>
  </si>
  <si>
    <t>الجبنة البلدية</t>
  </si>
  <si>
    <t>بيض وجبنة</t>
  </si>
  <si>
    <t>دجاج وثوم</t>
  </si>
  <si>
    <t>الوزن الخام قبل الشوي؛ هدر تقديري 10%.</t>
  </si>
  <si>
    <t>قاعدة صوص الثوم المؤقتة؛ الأفضل إضافة مادة ثومية منفصلة.</t>
  </si>
  <si>
    <t>دجاج حار</t>
  </si>
  <si>
    <t>تقدير حصة المايونيز من العبوة؛ الأفضل تحويل المايونيز إلى كغ أو مل.</t>
  </si>
  <si>
    <t>زبدة ومربى</t>
  </si>
  <si>
    <t>قهوة تركية</t>
  </si>
  <si>
    <t>جرعة تقديرية 7غ.</t>
  </si>
  <si>
    <t>إسبريسو</t>
  </si>
  <si>
    <t>جرعة مزدوجة تقديرية 18غ.</t>
  </si>
  <si>
    <t>كابتشينو</t>
  </si>
  <si>
    <t>لاتيه</t>
  </si>
  <si>
    <t>أمريكانو</t>
  </si>
  <si>
    <t>موكا</t>
  </si>
  <si>
    <t>قهوة مثلجة</t>
  </si>
  <si>
    <t>آيس لاتيه</t>
  </si>
  <si>
    <t>آيس موكا</t>
  </si>
  <si>
    <t>كركديه ساخن</t>
  </si>
  <si>
    <t>شاي هندي ساخن</t>
  </si>
  <si>
    <t>تمر هندي بارد</t>
  </si>
  <si>
    <t>عصير بطيخ</t>
  </si>
  <si>
    <t>كمون وليمون</t>
  </si>
  <si>
    <t>ميلك شيك</t>
  </si>
  <si>
    <t>سموذي</t>
  </si>
  <si>
    <t>وصفة مرجعية بالموز؛ غيّر الفاكهة حسب النكهة.</t>
  </si>
  <si>
    <t>كوكتيل فودكا</t>
  </si>
  <si>
    <t>موهيتو</t>
  </si>
  <si>
    <t>كوكتيل ويسكي</t>
  </si>
  <si>
    <t>جين حبق</t>
  </si>
  <si>
    <t>كأس نبيذ</t>
  </si>
  <si>
    <t>على أساس زجاجة 750مل وكأس 150مل؛ غيّر إلى النبيذ الأبيض عند الحاجة.</t>
  </si>
  <si>
    <t>شوت تيكيلا</t>
  </si>
  <si>
    <t>شوت زيتونة وتاباسكو</t>
  </si>
  <si>
    <t>يمكن استبدال الفودكا بقاعدة المشروب الفعلية.</t>
  </si>
  <si>
    <t>الفئة</t>
  </si>
  <si>
    <t>السعر ل.س</t>
  </si>
  <si>
    <t>المصدر/ملاحظة</t>
  </si>
  <si>
    <t>قطعة كيش اليوم</t>
  </si>
  <si>
    <t>daily_quiche_slice</t>
  </si>
  <si>
    <t>الكيش</t>
  </si>
  <si>
    <t>Seeded Masharib menu</t>
  </si>
  <si>
    <t>صينية كيش كاملة</t>
  </si>
  <si>
    <t>whole_quiche_tray</t>
  </si>
  <si>
    <t>كومبو الصباح</t>
  </si>
  <si>
    <t>morning_combo</t>
  </si>
  <si>
    <t>مازا صغيرة</t>
  </si>
  <si>
    <t>small_mezza</t>
  </si>
  <si>
    <t>المازة</t>
  </si>
  <si>
    <t>مازا مفردة</t>
  </si>
  <si>
    <t>single_mezza</t>
  </si>
  <si>
    <t>طبق 3 مازات</t>
  </si>
  <si>
    <t>three_mezza_plate</t>
  </si>
  <si>
    <t>طبق 5 مازات</t>
  </si>
  <si>
    <t>five_mezza_plate</t>
  </si>
  <si>
    <t>regular_tea</t>
  </si>
  <si>
    <t>مشروبات ساخنة</t>
  </si>
  <si>
    <t>mint_tea</t>
  </si>
  <si>
    <t>sage_tea</t>
  </si>
  <si>
    <t>earl_grey_tea</t>
  </si>
  <si>
    <t>fruit_flavored_tea</t>
  </si>
  <si>
    <t>zhourat</t>
  </si>
  <si>
    <t>hot_chocolate_water</t>
  </si>
  <si>
    <t>hot_chocolate_milk</t>
  </si>
  <si>
    <t>matcha_water</t>
  </si>
  <si>
    <t>hot_matcha_latte</t>
  </si>
  <si>
    <t>cola_7up_glass</t>
  </si>
  <si>
    <t>مشروبات باردة</t>
  </si>
  <si>
    <t>canned_fizzy_drink</t>
  </si>
  <si>
    <t>juice_glass</t>
  </si>
  <si>
    <t>large_juice</t>
  </si>
  <si>
    <t>cold_yogurt_drink</t>
  </si>
  <si>
    <t>dibs_lemon</t>
  </si>
  <si>
    <t>karma_jallab</t>
  </si>
  <si>
    <t>iced_matcha_latte</t>
  </si>
  <si>
    <t>ماتشا سبيشال</t>
  </si>
  <si>
    <t>matcha_special</t>
  </si>
  <si>
    <t>wajib_cup_mate</t>
  </si>
  <si>
    <t>مشروبات توقيع</t>
  </si>
  <si>
    <t>table_mate</t>
  </si>
  <si>
    <t>basalt_zhourat</t>
  </si>
  <si>
    <t>apple_sage_tea</t>
  </si>
  <si>
    <t>صينية كيش + طبق 5 مازات</t>
  </si>
  <si>
    <t>quiche_five_mezza_tray</t>
  </si>
  <si>
    <t>صواني وطلبات طاولة</t>
  </si>
  <si>
    <t>صينية كيش + طبق 7 مازات</t>
  </si>
  <si>
    <t>quiche_seven_mezza_tray</t>
  </si>
  <si>
    <t>طبق 7 مازات كبير</t>
  </si>
  <si>
    <t>large_seven_mezza_plate</t>
  </si>
  <si>
    <t>rayan_arak_glass</t>
  </si>
  <si>
    <t>مناسبات فقط</t>
  </si>
  <si>
    <t>rayan_arak_small_carafe</t>
  </si>
  <si>
    <t>rayan_arak_table_liter</t>
  </si>
  <si>
    <t>light_beer</t>
  </si>
  <si>
    <t>strong_beer</t>
  </si>
  <si>
    <t>كأس عرق + مازتين</t>
  </si>
  <si>
    <t>arak_glass_two_mezza</t>
  </si>
  <si>
    <t>كاراف عرق صغير + 3 مازات</t>
  </si>
  <si>
    <t>small_arak_carafe_three_mezza</t>
  </si>
  <si>
    <t>لتر عرق + طبق 4 مازات</t>
  </si>
  <si>
    <t>arak_liter_four_mezza</t>
  </si>
  <si>
    <t>سندويشات هَب</t>
  </si>
  <si>
    <t>Project product; match by exact Arabic name</t>
  </si>
  <si>
    <t>شلل مشوية</t>
  </si>
  <si>
    <t>Project product; missing inventory item</t>
  </si>
  <si>
    <t>قشقوان محمصة</t>
  </si>
  <si>
    <t>مرتديلا هَب</t>
  </si>
  <si>
    <t>حبش مدخن</t>
  </si>
  <si>
    <t>تونة متوسطية</t>
  </si>
  <si>
    <t>قهوة</t>
  </si>
  <si>
    <t>قهوة باردة</t>
  </si>
  <si>
    <t>كوكتيلات</t>
  </si>
  <si>
    <t>مشروبات كحولية</t>
  </si>
  <si>
    <t>دليل تعبئة واستيراد وصفات المنتجات</t>
  </si>
  <si>
    <t>الفكرة</t>
  </si>
  <si>
    <t>سطر واحد لكل مادة مخزون داخل كل منتج. اختر المنتج والمادة من القوائم، وأدخل الكمية بوحدة سهلة مثل غ أو مل؛ يحوّل الملف الكمية تلقائياً إلى وحدة المخزون.</t>
  </si>
  <si>
    <t>لن يُستورد إلا السطر الذي حالته «جاهز للاستيراد» وتحققه «صالح». الوصفات المبدئية في الملف موسومة غالباً «بحاجة مراجعة» لحمايتك من إدخال تقديرات غير مؤكدة.</t>
  </si>
  <si>
    <t>يُجلب تلقائياً للمنتجات المزروعة في النظام. عند غيابه، يجب أن يطابق المستورد المنتج بالاسم العربي المطابق تماماً وبشرط أن يكون فريداً.</t>
  </si>
  <si>
    <t>اكتب الكمية لكل وحدة مباعة من المنتج، لا كمية الدفعة الكاملة.</t>
  </si>
  <si>
    <t>التحويل التلقائي</t>
  </si>
  <si>
    <t>الملف يحوّل فقط غ↔كغ ومل↔لتر. القطعة/العبوة/الزجاجة/الحصة يجب أن تطابق وحدة المخزون نفسها.</t>
  </si>
  <si>
    <t>نسبة الهدر</t>
  </si>
  <si>
    <t>تؤثر في حساب الكلفة فقط حالياً؛ خصم المخزون في الكود الحالي يستخدم الكمية الأساسية دون إضافة الهدر. لذلك لا تعتمد على نسبة الهدر لزيادة الخصم الفعلي.</t>
  </si>
  <si>
    <t>الماء</t>
  </si>
  <si>
    <t>لا تضف الماء ما لم ترغب فعلياً بتتبعه كمادة مخزون.</t>
  </si>
  <si>
    <t>التغليف</t>
  </si>
  <si>
    <t>لا تضف تغليف السفري إلى الوصفة الأساسية عندما يُستخدم فقط لبعض الطلبات؛ الوصفة تُخصم لكل عملية بيع بغض النظر عن داخل المكان أو سفري.</t>
  </si>
  <si>
    <t>الخيارات</t>
  </si>
  <si>
    <t>المنتجات التي تتغير بالكامل حسب خيار مثل نوع المازا أو ترقية المشروب لا يدعم نموذج الوصفة الحالي وصفة مختلفة لكل خيار. الأفضل إنشاء المنتجات كعناصر مستقلة أو إضافة نموذج وصفات للخيارات.</t>
  </si>
  <si>
    <t>التكرار</t>
  </si>
  <si>
    <t>يجب ألا يتكرر نفس المنتج + مادة المخزون + وحدة القياس؛ قاعدة البيانات تمنع التكرار.</t>
  </si>
  <si>
    <t>الكلفة</t>
  </si>
  <si>
    <t>كلفة السطر = الكمية الموحّدة × كلفة وحدة المخزون × (1 + الهدر%). تبقى فارغة عندما لا توجد كلفة للمادة.</t>
  </si>
  <si>
    <t>الاستيراد المقترح</t>
  </si>
  <si>
    <t>استخدم product key إن وجد، وإلا الاسم العربي الفريد. استخدم كود مادة المخزون دائماً. اقرأ الكمية الموحّدة ووحدة المخزون، وليس الكمية المدخلة مباشرة.</t>
  </si>
  <si>
    <t>مراجع النظام</t>
  </si>
  <si>
    <t>الرابط</t>
  </si>
  <si>
    <t>نموذج ProductRecipeItem وInventoryItem</t>
  </si>
  <si>
    <t>حساب كلفة الوصفة وخصم المخزون</t>
  </si>
  <si>
    <t>https://github.com/Maximad/hub/blob/main/core/stock_recipes.py</t>
  </si>
  <si>
    <t>قائمة منتجات مشاريب المزروعة</t>
  </si>
  <si>
    <t>https://github.com/Maximad/hub/blob/main/core/management/commands/seed_masharib_menu.py</t>
  </si>
  <si>
    <t>المادة الناقصة</t>
  </si>
  <si>
    <t>سبب الإضافة</t>
  </si>
  <si>
    <t>الوحدة المقترحة</t>
  </si>
  <si>
    <t>المنتجات المرتبطة</t>
  </si>
  <si>
    <t>ملاحظة</t>
  </si>
  <si>
    <t>جبنة قشقوان</t>
  </si>
  <si>
    <t>مكوّن مباشر غير موجود في قائمة المخزون</t>
  </si>
  <si>
    <t>أضفها قبل استيراد الوصفة.</t>
  </si>
  <si>
    <t>جبنة شلل / مشللة</t>
  </si>
  <si>
    <t>استخدم الاسم المحلي النهائي المعتمد.</t>
  </si>
  <si>
    <t>مرتديلا</t>
  </si>
  <si>
    <t>تونة معلبة</t>
  </si>
  <si>
    <t>كغ أو عبوة</t>
  </si>
  <si>
    <t>يفضل كغ إن كانت الكلفة والخصم بالوزن.</t>
  </si>
  <si>
    <t>ثومية / صوص ثوم</t>
  </si>
  <si>
    <t>أفضل من تركيب الصوص من اللبنة والثوم في كل وصفة</t>
  </si>
  <si>
    <t>دجاج وثوم، سندويشات أخرى</t>
  </si>
  <si>
    <t>يمكن إنتاجها كدفعة تحضير ومادة مخزون ناتجة.</t>
  </si>
  <si>
    <t>مايونيز بالوزن</t>
  </si>
  <si>
    <t>الوحدة الحالية عبوة تجعل الحصة كسر عبوة غير واضح</t>
  </si>
  <si>
    <t>دجاج حار، سندويشات</t>
  </si>
  <si>
    <t>إما تغيير وحدة مادة المايونيز أو إنشاء مادة جديدة بوحدة كغ.</t>
  </si>
  <si>
    <t>مخلل بالوزن</t>
  </si>
  <si>
    <t>السندويشات والمازات</t>
  </si>
  <si>
    <t>يفضل مادة منفصلة بالوزن للخصم الدقيق.</t>
  </si>
  <si>
    <t>السعر</t>
  </si>
  <si>
    <t>كود المخزون</t>
  </si>
  <si>
    <t>كلفة الوحدة</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</si>
</sst>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9">
    <font>
      <sz val="11.0"/>
      <color rgb="FF000000"/>
      <name val="Carlito"/>
      <scheme val="minor"/>
    </font>
    <font>
      <b/>
      <sz val="11.0"/>
      <color rgb="FFFFFFFF"/>
      <name val="Carlito"/>
    </font>
    <font>
      <sz val="10.0"/>
      <color theme="1"/>
      <name val="Carlito"/>
    </font>
    <font>
      <color theme="1"/>
      <name val="Carlito"/>
      <scheme val="minor"/>
    </font>
    <font>
      <b/>
      <sz val="14.0"/>
      <color rgb="FFFFFFFF"/>
      <name val="Carlito"/>
    </font>
    <font>
      <sz val="11.0"/>
      <color theme="1"/>
      <name val="Carlito"/>
    </font>
    <font>
      <b/>
      <sz val="15.0"/>
      <color rgb="FFFFFFFF"/>
      <name val="Carlito"/>
    </font>
    <font>
      <b/>
      <sz val="11.0"/>
      <color rgb="FF183A36"/>
      <name val="Carlito"/>
    </font>
    <font>
      <sz val="11.0"/>
      <color rgb="FF5C4A1A"/>
      <name val="Carlito"/>
    </font>
  </fonts>
  <fills count="8">
    <fill>
      <patternFill patternType="none"/>
    </fill>
    <fill>
      <patternFill patternType="lightGray"/>
    </fill>
    <fill>
      <patternFill patternType="solid">
        <fgColor rgb="FF0F5F57"/>
        <bgColor rgb="FF0F5F57"/>
      </patternFill>
    </fill>
    <fill>
      <patternFill patternType="solid">
        <fgColor rgb="FFC88A2B"/>
        <bgColor rgb="FFC88A2B"/>
      </patternFill>
    </fill>
    <fill>
      <patternFill patternType="solid">
        <fgColor rgb="FFFFFDF5"/>
        <bgColor rgb="FFFFFDF5"/>
      </patternFill>
    </fill>
    <fill>
      <patternFill patternType="solid">
        <fgColor rgb="FFF1F4F3"/>
        <bgColor rgb="FFF1F4F3"/>
      </patternFill>
    </fill>
    <fill>
      <patternFill patternType="solid">
        <fgColor rgb="FFDDEBE7"/>
        <bgColor rgb="FFDDEBE7"/>
      </patternFill>
    </fill>
    <fill>
      <patternFill patternType="solid">
        <fgColor rgb="FFFFF8E6"/>
        <bgColor rgb="FFFFF8E6"/>
      </patternFill>
    </fill>
  </fills>
  <borders count="9">
    <border/>
    <border>
      <left/>
      <top/>
    </border>
    <border>
      <top/>
    </border>
    <border>
      <right/>
      <top/>
    </border>
    <border>
      <left/>
    </border>
    <border>
      <right/>
    </border>
    <border>
      <left/>
      <bottom/>
    </border>
    <border>
      <bottom/>
    </border>
    <border>
      <right/>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ont="1">
      <alignment horizontal="center" shrinkToFit="0" vertical="center" wrapText="1"/>
    </xf>
    <xf borderId="0" fillId="0" fontId="2" numFmtId="0" xfId="0" applyAlignment="1" applyFont="1">
      <alignment horizontal="right" readingOrder="0" shrinkToFit="0" vertical="center" wrapText="1"/>
    </xf>
    <xf borderId="0" fillId="0" fontId="2" numFmtId="0" xfId="0" applyAlignment="1" applyFont="1">
      <alignment horizontal="left" shrinkToFit="0" vertical="center" wrapText="1"/>
    </xf>
    <xf borderId="0" fillId="0" fontId="2" numFmtId="4" xfId="0" applyAlignment="1" applyFont="1" applyNumberFormat="1">
      <alignment horizontal="right" shrinkToFit="0" vertical="center" wrapText="1"/>
    </xf>
    <xf borderId="0" fillId="0" fontId="2" numFmtId="0" xfId="0" applyAlignment="1" applyFont="1">
      <alignment horizontal="right" shrinkToFit="0" vertical="center" wrapText="1"/>
    </xf>
    <xf borderId="0" fillId="0" fontId="3" numFmtId="0" xfId="0" applyFont="1"/>
    <xf borderId="0" fillId="2" fontId="4" numFmtId="0" xfId="0" applyAlignment="1" applyFont="1">
      <alignment horizontal="center" readingOrder="0" vertical="center"/>
    </xf>
    <xf borderId="0" fillId="0" fontId="5" numFmtId="0" xfId="0" applyAlignment="1" applyFont="1">
      <alignment horizontal="right" readingOrder="0" shrinkToFit="0" vertical="top" wrapText="1"/>
    </xf>
    <xf borderId="0" fillId="0" fontId="5" numFmtId="0" xfId="0" applyAlignment="1" applyFont="1">
      <alignment horizontal="right" shrinkToFit="0" vertical="top" wrapText="1"/>
    </xf>
    <xf borderId="0" fillId="3" fontId="1" numFmtId="0" xfId="0" applyAlignment="1" applyFill="1" applyFont="1">
      <alignment horizontal="right" readingOrder="0" shrinkToFit="0" vertical="top" wrapText="1"/>
    </xf>
    <xf borderId="0" fillId="2" fontId="1" numFmtId="0" xfId="0" applyAlignment="1" applyFont="1">
      <alignment horizontal="center" readingOrder="0"/>
    </xf>
    <xf borderId="0" fillId="0" fontId="5" numFmtId="0" xfId="0" applyAlignment="1" applyFont="1">
      <alignment horizontal="right" shrinkToFit="0" wrapText="1"/>
    </xf>
    <xf borderId="0" fillId="0" fontId="5" numFmtId="0" xfId="0" applyAlignment="1" applyFont="1">
      <alignment horizontal="right" readingOrder="0" shrinkToFit="0" wrapText="1"/>
    </xf>
    <xf borderId="1" fillId="2" fontId="1" numFmtId="0" xfId="0" applyAlignment="1" applyBorder="1" applyFont="1">
      <alignment horizontal="center" readingOrder="0" shrinkToFit="0" vertical="center" wrapText="1"/>
    </xf>
    <xf borderId="2" fillId="2" fontId="1" numFmtId="0" xfId="0" applyAlignment="1" applyBorder="1" applyFont="1">
      <alignment horizontal="center" readingOrder="0" shrinkToFit="0" vertical="center" wrapText="1"/>
    </xf>
    <xf borderId="3" fillId="2" fontId="1" numFmtId="0" xfId="0" applyAlignment="1" applyBorder="1" applyFont="1">
      <alignment horizontal="center" readingOrder="0" shrinkToFit="0" vertical="center" wrapText="1"/>
    </xf>
    <xf borderId="4" fillId="4" fontId="5" numFmtId="0" xfId="0" applyAlignment="1" applyBorder="1" applyFill="1" applyFont="1">
      <alignment readingOrder="0" shrinkToFit="0" wrapText="1"/>
    </xf>
    <xf borderId="0" fillId="4" fontId="5" numFmtId="0" xfId="0" applyAlignment="1" applyFont="1">
      <alignment readingOrder="0" shrinkToFit="0" wrapText="1"/>
    </xf>
    <xf borderId="0" fillId="5" fontId="5" numFmtId="0" xfId="0" applyAlignment="1" applyFill="1" applyFont="1">
      <alignment shrinkToFit="0" wrapText="1"/>
    </xf>
    <xf borderId="0" fillId="4" fontId="5" numFmtId="164" xfId="0" applyAlignment="1" applyFont="1" applyNumberFormat="1">
      <alignment shrinkToFit="0" wrapText="1"/>
    </xf>
    <xf borderId="0" fillId="5" fontId="5" numFmtId="164" xfId="0" applyAlignment="1" applyFont="1" applyNumberFormat="1">
      <alignment shrinkToFit="0" wrapText="1"/>
    </xf>
    <xf borderId="0" fillId="4" fontId="5" numFmtId="2" xfId="0" applyAlignment="1" applyFont="1" applyNumberFormat="1">
      <alignment shrinkToFit="0" wrapText="1"/>
    </xf>
    <xf borderId="0" fillId="5" fontId="5" numFmtId="4" xfId="0" applyAlignment="1" applyFont="1" applyNumberFormat="1">
      <alignment shrinkToFit="0" wrapText="1"/>
    </xf>
    <xf borderId="5" fillId="5" fontId="5" numFmtId="0" xfId="0" applyAlignment="1" applyBorder="1" applyFont="1">
      <alignment shrinkToFit="0" wrapText="1"/>
    </xf>
    <xf borderId="0" fillId="4" fontId="5" numFmtId="0" xfId="0" applyAlignment="1" applyFont="1">
      <alignment shrinkToFit="0" wrapText="1"/>
    </xf>
    <xf borderId="4" fillId="4" fontId="5" numFmtId="0" xfId="0" applyAlignment="1" applyBorder="1" applyFont="1">
      <alignment readingOrder="0" shrinkToFit="0" wrapText="1"/>
    </xf>
    <xf borderId="4" fillId="4" fontId="5" numFmtId="0" xfId="0" applyAlignment="1" applyBorder="1" applyFont="1">
      <alignment shrinkToFit="0" wrapText="1"/>
    </xf>
    <xf borderId="6" fillId="4" fontId="5" numFmtId="0" xfId="0" applyAlignment="1" applyBorder="1" applyFont="1">
      <alignment shrinkToFit="0" wrapText="1"/>
    </xf>
    <xf borderId="7" fillId="4" fontId="5" numFmtId="0" xfId="0" applyAlignment="1" applyBorder="1" applyFont="1">
      <alignment shrinkToFit="0" wrapText="1"/>
    </xf>
    <xf borderId="7" fillId="5" fontId="5" numFmtId="0" xfId="0" applyAlignment="1" applyBorder="1" applyFont="1">
      <alignment shrinkToFit="0" wrapText="1"/>
    </xf>
    <xf borderId="7" fillId="4" fontId="5" numFmtId="164" xfId="0" applyAlignment="1" applyBorder="1" applyFont="1" applyNumberFormat="1">
      <alignment shrinkToFit="0" wrapText="1"/>
    </xf>
    <xf borderId="7" fillId="5" fontId="5" numFmtId="164" xfId="0" applyAlignment="1" applyBorder="1" applyFont="1" applyNumberFormat="1">
      <alignment shrinkToFit="0" wrapText="1"/>
    </xf>
    <xf borderId="7" fillId="4" fontId="5" numFmtId="2" xfId="0" applyAlignment="1" applyBorder="1" applyFont="1" applyNumberFormat="1">
      <alignment shrinkToFit="0" wrapText="1"/>
    </xf>
    <xf borderId="7" fillId="5" fontId="5" numFmtId="4" xfId="0" applyAlignment="1" applyBorder="1" applyFont="1" applyNumberFormat="1">
      <alignment shrinkToFit="0" wrapText="1"/>
    </xf>
    <xf borderId="8" fillId="5" fontId="5" numFmtId="0" xfId="0" applyAlignment="1" applyBorder="1" applyFont="1">
      <alignment shrinkToFit="0" wrapText="1"/>
    </xf>
    <xf borderId="0" fillId="0" fontId="5" numFmtId="0" xfId="0" applyAlignment="1" applyFont="1">
      <alignment readingOrder="0" shrinkToFit="0" wrapText="1"/>
    </xf>
    <xf borderId="0" fillId="0" fontId="5" numFmtId="0" xfId="0" applyAlignment="1" applyFont="1">
      <alignment shrinkToFit="0" wrapText="1"/>
    </xf>
    <xf borderId="0" fillId="0" fontId="5" numFmtId="3" xfId="0" applyAlignment="1" applyFont="1" applyNumberFormat="1">
      <alignment shrinkToFit="0" wrapText="1"/>
    </xf>
    <xf borderId="0" fillId="2" fontId="6" numFmtId="0" xfId="0" applyAlignment="1" applyFont="1">
      <alignment horizontal="center" readingOrder="0" vertical="center"/>
    </xf>
    <xf borderId="0" fillId="6" fontId="7" numFmtId="0" xfId="0" applyAlignment="1" applyFill="1" applyFont="1">
      <alignment horizontal="center" readingOrder="0" shrinkToFit="0" vertical="center" wrapText="1"/>
    </xf>
    <xf borderId="0" fillId="7" fontId="8" numFmtId="0" xfId="0" applyAlignment="1" applyFill="1" applyFont="1">
      <alignment readingOrder="0" shrinkToFit="0" vertical="top" wrapText="1"/>
    </xf>
    <xf borderId="0" fillId="2" fontId="1" numFmtId="0" xfId="0" applyAlignment="1" applyFont="1">
      <alignment horizontal="center" readingOrder="0" shrinkToFit="0" vertical="center" wrapText="1"/>
    </xf>
    <xf borderId="0" fillId="0" fontId="5" numFmtId="0" xfId="0" applyAlignment="1" applyFont="1">
      <alignment readingOrder="0" shrinkToFit="0" wrapText="1"/>
    </xf>
    <xf borderId="0" fillId="0" fontId="5" numFmtId="0" xfId="0" applyAlignment="1" applyFont="1">
      <alignment shrinkToFit="0" wrapText="1"/>
    </xf>
    <xf borderId="0" fillId="0" fontId="3" numFmtId="0" xfId="0" applyAlignment="1" applyFont="1">
      <alignment readingOrder="0"/>
    </xf>
    <xf borderId="0" fillId="0" fontId="5" numFmtId="3" xfId="0" applyFont="1" applyNumberFormat="1"/>
    <xf borderId="0" fillId="0" fontId="5" numFmtId="4" xfId="0" applyFont="1" applyNumberFormat="1"/>
  </cellXfs>
  <cellStyles count="1">
    <cellStyle xfId="0" name="Normal" builtinId="0"/>
  </cellStyles>
  <dxfs count="9">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font/>
      <fill>
        <patternFill patternType="solid">
          <fgColor rgb="FFFFF4E5"/>
          <bgColor rgb="FFFFF4E5"/>
        </patternFill>
      </fill>
      <border/>
    </dxf>
    <dxf>
      <font>
        <b/>
        <color rgb="FF1F6D38"/>
      </font>
      <fill>
        <patternFill patternType="solid">
          <fgColor rgb="FFDFF2E3"/>
          <bgColor rgb="FFDFF2E3"/>
        </patternFill>
      </fill>
      <border/>
    </dxf>
    <dxf>
      <font>
        <color rgb="FF815C00"/>
      </font>
      <fill>
        <patternFill patternType="solid">
          <fgColor rgb="FFFFF1C9"/>
          <bgColor rgb="FFFFF1C9"/>
        </patternFill>
      </fill>
      <border/>
    </dxf>
    <dxf>
      <font>
        <color rgb="FF666666"/>
      </font>
      <fill>
        <patternFill patternType="solid">
          <fgColor rgb="FFE9E9E9"/>
          <bgColor rgb="FFE9E9E9"/>
        </patternFill>
      </fill>
      <border/>
    </dxf>
    <dxf>
      <font>
        <b/>
        <color rgb="FFA12626"/>
      </font>
      <fill>
        <patternFill patternType="solid">
          <fgColor rgb="FFFBE1E1"/>
          <bgColor rgb="FFFBE1E1"/>
        </patternFill>
      </fill>
      <border/>
    </dxf>
  </dxfs>
  <tableStyles count="4">
    <tableStyle count="3" pivot="0" name="مواد المخزون-style">
      <tableStyleElement dxfId="1" type="headerRow"/>
      <tableStyleElement dxfId="2" type="firstRowStripe"/>
      <tableStyleElement dxfId="3" type="secondRowStripe"/>
    </tableStyle>
    <tableStyle count="3" pivot="0" name="وصفات المنتجات-style">
      <tableStyleElement dxfId="1" type="headerRow"/>
      <tableStyleElement dxfId="2" type="firstRowStripe"/>
      <tableStyleElement dxfId="3" type="secondRowStripe"/>
    </tableStyle>
    <tableStyle count="3" pivot="0" name="قائمة المنتجات-style">
      <tableStyleElement dxfId="1" type="headerRow"/>
      <tableStyleElement dxfId="2" type="firstRowStripe"/>
      <tableStyleElement dxfId="3" type="secondRowStripe"/>
    </tableStyle>
    <tableStyle count="3" pivot="0" name="مواد ناقصة للوصفات-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253" displayName="Table_1" name="Table_1" id="1">
  <tableColumns count="10">
    <tableColumn name="مادة مخزون" id="1"/>
    <tableColumn name="Name EN" id="2"/>
    <tableColumn name="Code" id="3"/>
    <tableColumn name="نوع المادة" id="4"/>
    <tableColumn name="وحدة القياس" id="5"/>
    <tableColumn name="الكمية الحالية" id="6"/>
    <tableColumn name="حد التنبيه" id="7"/>
    <tableColumn name="الكلفة التقديرية للوحدة" id="8"/>
    <tableColumn name="المورد المفضل" id="9"/>
    <tableColumn name="ملاحظات" id="10"/>
  </tableColumns>
  <tableStyleInfo name="مواد المخزون-style" showColumnStripes="0" showFirstColumn="1" showLastColumn="1" showRowStripes="1"/>
</table>
</file>

<file path=xl/tables/table2.xml><?xml version="1.0" encoding="utf-8"?>
<table xmlns="http://schemas.openxmlformats.org/spreadsheetml/2006/main" ref="A1:O301" displayName="Table_2" name="Table_2" id="2">
  <tableColumns count="15">
    <tableColumn name="حالة الاستيراد" id="1"/>
    <tableColumn name="اسم المنتج" id="2"/>
    <tableColumn name="مفتاح المنتج" id="3"/>
    <tableColumn name="مادة المخزون" id="4"/>
    <tableColumn name="كود مادة المخزون" id="5"/>
    <tableColumn name="الكمية المدخلة" id="6"/>
    <tableColumn name="وحدة الإدخال" id="7"/>
    <tableColumn name="وحدة المخزون" id="8"/>
    <tableColumn name="الكمية الموحّدة" id="9"/>
    <tableColumn name="نسبة الهدر %" id="10"/>
    <tableColumn name="نشط" id="11"/>
    <tableColumn name="كلفة وحدة المخزون" id="12"/>
    <tableColumn name="كلفة السطر" id="13"/>
    <tableColumn name="ملاحظات" id="14"/>
    <tableColumn name="التحقق" id="15"/>
  </tableColumns>
  <tableStyleInfo name="وصفات المنتجات-style" showColumnStripes="0" showFirstColumn="1" showLastColumn="1" showRowStripes="1"/>
</table>
</file>

<file path=xl/tables/table3.xml><?xml version="1.0" encoding="utf-8"?>
<table xmlns="http://schemas.openxmlformats.org/spreadsheetml/2006/main" ref="A1:E79" displayName="Table_3" name="Table_3" id="3">
  <tableColumns count="5">
    <tableColumn name="اسم المنتج" id="1"/>
    <tableColumn name="مفتاح المنتج" id="2"/>
    <tableColumn name="الفئة" id="3"/>
    <tableColumn name="السعر ل.س" id="4"/>
    <tableColumn name="المصدر/ملاحظة" id="5"/>
  </tableColumns>
  <tableStyleInfo name="قائمة المنتجات-style" showColumnStripes="0" showFirstColumn="1" showLastColumn="1" showRowStripes="1"/>
</table>
</file>

<file path=xl/tables/table4.xml><?xml version="1.0" encoding="utf-8"?>
<table xmlns="http://schemas.openxmlformats.org/spreadsheetml/2006/main" ref="A1:E9" displayName="Table_4" name="Table_4" id="4">
  <tableColumns count="5">
    <tableColumn name="المادة الناقصة" id="1"/>
    <tableColumn name="سبب الإضافة" id="2"/>
    <tableColumn name="الوحدة المقترحة" id="3"/>
    <tableColumn name="المنتجات المرتبطة" id="4"/>
    <tableColumn name="ملاحظة" id="5"/>
  </tableColumns>
  <tableStyleInfo name="مواد ناقصة للوصفات-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4.0"/>
    <col customWidth="1" min="3" max="3" width="25.0"/>
    <col customWidth="1" min="4" max="4" width="20.0"/>
    <col customWidth="1" min="5" max="7" width="14.0"/>
    <col customWidth="1" min="8" max="9" width="20.0"/>
    <col customWidth="1" min="10" max="10" width="42.0"/>
    <col customWidth="1" min="11" max="26" width="8.63"/>
  </cols>
  <sheetData>
    <row r="1" ht="30.0" customHeight="1">
      <c r="A1" s="1" t="s">
        <v>0</v>
      </c>
      <c r="B1" s="2" t="s">
        <v>1</v>
      </c>
      <c r="C1" s="2" t="s">
        <v>2</v>
      </c>
      <c r="D1" s="1" t="s">
        <v>3</v>
      </c>
      <c r="E1" s="1" t="s">
        <v>4</v>
      </c>
      <c r="F1" s="1" t="s">
        <v>5</v>
      </c>
      <c r="G1" s="1" t="s">
        <v>6</v>
      </c>
      <c r="H1" s="1" t="s">
        <v>7</v>
      </c>
      <c r="I1" s="1" t="s">
        <v>8</v>
      </c>
      <c r="J1" s="1" t="s">
        <v>9</v>
      </c>
    </row>
    <row r="2">
      <c r="A2" s="3" t="s">
        <v>10</v>
      </c>
      <c r="B2" s="4" t="s">
        <v>11</v>
      </c>
      <c r="C2" s="4" t="s">
        <v>12</v>
      </c>
      <c r="D2" s="3" t="s">
        <v>13</v>
      </c>
      <c r="E2" s="3" t="s">
        <v>14</v>
      </c>
      <c r="F2" s="5"/>
      <c r="G2" s="5"/>
      <c r="H2" s="5">
        <v>7000.0</v>
      </c>
      <c r="I2" s="6"/>
      <c r="J2" s="3" t="s">
        <v>15</v>
      </c>
    </row>
    <row r="3">
      <c r="A3" s="3" t="s">
        <v>16</v>
      </c>
      <c r="B3" s="4" t="s">
        <v>17</v>
      </c>
      <c r="C3" s="4" t="s">
        <v>18</v>
      </c>
      <c r="D3" s="3" t="s">
        <v>13</v>
      </c>
      <c r="E3" s="3" t="s">
        <v>14</v>
      </c>
      <c r="F3" s="5"/>
      <c r="G3" s="5"/>
      <c r="H3" s="5">
        <v>12000.0</v>
      </c>
      <c r="I3" s="6"/>
      <c r="J3" s="3" t="s">
        <v>19</v>
      </c>
    </row>
    <row r="4">
      <c r="A4" s="3" t="s">
        <v>20</v>
      </c>
      <c r="B4" s="4" t="s">
        <v>21</v>
      </c>
      <c r="C4" s="4" t="s">
        <v>22</v>
      </c>
      <c r="D4" s="3" t="s">
        <v>13</v>
      </c>
      <c r="E4" s="3" t="s">
        <v>14</v>
      </c>
      <c r="F4" s="5"/>
      <c r="G4" s="5"/>
      <c r="H4" s="5">
        <v>8000.0</v>
      </c>
      <c r="I4" s="6"/>
      <c r="J4" s="3" t="s">
        <v>23</v>
      </c>
    </row>
    <row r="5">
      <c r="A5" s="3" t="s">
        <v>24</v>
      </c>
      <c r="B5" s="4" t="s">
        <v>25</v>
      </c>
      <c r="C5" s="4" t="s">
        <v>26</v>
      </c>
      <c r="D5" s="3" t="s">
        <v>13</v>
      </c>
      <c r="E5" s="3" t="s">
        <v>14</v>
      </c>
      <c r="F5" s="5"/>
      <c r="G5" s="5"/>
      <c r="H5" s="5">
        <v>30000.0</v>
      </c>
      <c r="I5" s="6"/>
      <c r="J5" s="3" t="s">
        <v>27</v>
      </c>
    </row>
    <row r="6">
      <c r="A6" s="3" t="s">
        <v>28</v>
      </c>
      <c r="B6" s="4" t="s">
        <v>29</v>
      </c>
      <c r="C6" s="4" t="s">
        <v>30</v>
      </c>
      <c r="D6" s="3" t="s">
        <v>13</v>
      </c>
      <c r="E6" s="3" t="s">
        <v>14</v>
      </c>
      <c r="F6" s="5"/>
      <c r="G6" s="5"/>
      <c r="H6" s="5">
        <v>9000.0</v>
      </c>
      <c r="I6" s="6"/>
      <c r="J6" s="3" t="s">
        <v>31</v>
      </c>
    </row>
    <row r="7">
      <c r="A7" s="3" t="s">
        <v>32</v>
      </c>
      <c r="B7" s="4" t="s">
        <v>33</v>
      </c>
      <c r="C7" s="4" t="s">
        <v>34</v>
      </c>
      <c r="D7" s="3" t="s">
        <v>13</v>
      </c>
      <c r="E7" s="3" t="s">
        <v>14</v>
      </c>
      <c r="F7" s="5"/>
      <c r="G7" s="5"/>
      <c r="H7" s="5">
        <v>15500.0</v>
      </c>
      <c r="I7" s="6"/>
      <c r="J7" s="3" t="s">
        <v>35</v>
      </c>
    </row>
    <row r="8">
      <c r="A8" s="3" t="s">
        <v>36</v>
      </c>
      <c r="B8" s="4" t="s">
        <v>37</v>
      </c>
      <c r="C8" s="4" t="s">
        <v>38</v>
      </c>
      <c r="D8" s="3" t="s">
        <v>13</v>
      </c>
      <c r="E8" s="3" t="s">
        <v>39</v>
      </c>
      <c r="F8" s="5"/>
      <c r="G8" s="5"/>
      <c r="H8" s="5">
        <v>2000.0</v>
      </c>
      <c r="I8" s="6"/>
      <c r="J8" s="3" t="s">
        <v>40</v>
      </c>
    </row>
    <row r="9">
      <c r="A9" s="3" t="s">
        <v>41</v>
      </c>
      <c r="B9" s="4" t="s">
        <v>42</v>
      </c>
      <c r="C9" s="4" t="s">
        <v>43</v>
      </c>
      <c r="D9" s="3" t="s">
        <v>13</v>
      </c>
      <c r="E9" s="3" t="s">
        <v>14</v>
      </c>
      <c r="F9" s="5"/>
      <c r="G9" s="5"/>
      <c r="H9" s="5">
        <v>5000.0</v>
      </c>
      <c r="I9" s="6"/>
      <c r="J9" s="3" t="s">
        <v>44</v>
      </c>
    </row>
    <row r="10">
      <c r="A10" s="3" t="s">
        <v>45</v>
      </c>
      <c r="B10" s="4" t="s">
        <v>46</v>
      </c>
      <c r="C10" s="4" t="s">
        <v>47</v>
      </c>
      <c r="D10" s="3" t="s">
        <v>13</v>
      </c>
      <c r="E10" s="3" t="s">
        <v>14</v>
      </c>
      <c r="F10" s="5"/>
      <c r="G10" s="5"/>
      <c r="H10" s="5">
        <v>10000.0</v>
      </c>
      <c r="I10" s="6"/>
      <c r="J10" s="3" t="s">
        <v>48</v>
      </c>
    </row>
    <row r="11">
      <c r="A11" s="3" t="s">
        <v>49</v>
      </c>
      <c r="B11" s="4" t="s">
        <v>50</v>
      </c>
      <c r="C11" s="4" t="s">
        <v>51</v>
      </c>
      <c r="D11" s="3" t="s">
        <v>13</v>
      </c>
      <c r="E11" s="3" t="s">
        <v>14</v>
      </c>
      <c r="F11" s="5"/>
      <c r="G11" s="5"/>
      <c r="H11" s="5">
        <v>9000.0</v>
      </c>
      <c r="I11" s="6"/>
      <c r="J11" s="3" t="s">
        <v>31</v>
      </c>
    </row>
    <row r="12">
      <c r="A12" s="3" t="s">
        <v>52</v>
      </c>
      <c r="B12" s="4" t="s">
        <v>53</v>
      </c>
      <c r="C12" s="4" t="s">
        <v>54</v>
      </c>
      <c r="D12" s="3" t="s">
        <v>13</v>
      </c>
      <c r="E12" s="3" t="s">
        <v>14</v>
      </c>
      <c r="F12" s="5"/>
      <c r="G12" s="5"/>
      <c r="H12" s="5">
        <v>5000.0</v>
      </c>
      <c r="I12" s="6"/>
      <c r="J12" s="3" t="s">
        <v>55</v>
      </c>
    </row>
    <row r="13">
      <c r="A13" s="3" t="s">
        <v>56</v>
      </c>
      <c r="B13" s="4" t="s">
        <v>57</v>
      </c>
      <c r="C13" s="4" t="s">
        <v>58</v>
      </c>
      <c r="D13" s="3" t="s">
        <v>13</v>
      </c>
      <c r="E13" s="3" t="s">
        <v>14</v>
      </c>
      <c r="F13" s="5"/>
      <c r="G13" s="5"/>
      <c r="H13" s="5">
        <v>8000.0</v>
      </c>
      <c r="I13" s="6"/>
      <c r="J13" s="3" t="s">
        <v>23</v>
      </c>
    </row>
    <row r="14">
      <c r="A14" s="3" t="s">
        <v>59</v>
      </c>
      <c r="B14" s="4" t="s">
        <v>60</v>
      </c>
      <c r="C14" s="4" t="s">
        <v>61</v>
      </c>
      <c r="D14" s="3" t="s">
        <v>13</v>
      </c>
      <c r="E14" s="3" t="s">
        <v>14</v>
      </c>
      <c r="F14" s="5"/>
      <c r="G14" s="5"/>
      <c r="H14" s="5">
        <v>6000.0</v>
      </c>
      <c r="I14" s="6"/>
      <c r="J14" s="3" t="s">
        <v>62</v>
      </c>
    </row>
    <row r="15">
      <c r="A15" s="3" t="s">
        <v>63</v>
      </c>
      <c r="B15" s="4" t="s">
        <v>64</v>
      </c>
      <c r="C15" s="4" t="s">
        <v>65</v>
      </c>
      <c r="D15" s="3" t="s">
        <v>13</v>
      </c>
      <c r="E15" s="3" t="s">
        <v>14</v>
      </c>
      <c r="F15" s="5"/>
      <c r="G15" s="5"/>
      <c r="H15" s="5">
        <v>5000.0</v>
      </c>
      <c r="I15" s="6"/>
      <c r="J15" s="3" t="s">
        <v>44</v>
      </c>
    </row>
    <row r="16">
      <c r="A16" s="3" t="s">
        <v>66</v>
      </c>
      <c r="B16" s="4" t="s">
        <v>67</v>
      </c>
      <c r="C16" s="4" t="s">
        <v>68</v>
      </c>
      <c r="D16" s="3" t="s">
        <v>13</v>
      </c>
      <c r="E16" s="3" t="s">
        <v>39</v>
      </c>
      <c r="F16" s="5"/>
      <c r="G16" s="5"/>
      <c r="H16" s="5">
        <v>8000.0</v>
      </c>
      <c r="I16" s="6"/>
      <c r="J16" s="3" t="s">
        <v>69</v>
      </c>
    </row>
    <row r="17">
      <c r="A17" s="3" t="s">
        <v>70</v>
      </c>
      <c r="B17" s="4" t="s">
        <v>71</v>
      </c>
      <c r="C17" s="4" t="s">
        <v>72</v>
      </c>
      <c r="D17" s="3" t="s">
        <v>13</v>
      </c>
      <c r="E17" s="3" t="s">
        <v>14</v>
      </c>
      <c r="F17" s="5"/>
      <c r="G17" s="5"/>
      <c r="H17" s="5">
        <v>9000.0</v>
      </c>
      <c r="I17" s="6"/>
      <c r="J17" s="3" t="s">
        <v>31</v>
      </c>
    </row>
    <row r="18">
      <c r="A18" s="3" t="s">
        <v>73</v>
      </c>
      <c r="B18" s="4" t="s">
        <v>74</v>
      </c>
      <c r="C18" s="4" t="s">
        <v>75</v>
      </c>
      <c r="D18" s="3" t="s">
        <v>13</v>
      </c>
      <c r="E18" s="3" t="s">
        <v>14</v>
      </c>
      <c r="F18" s="5"/>
      <c r="G18" s="5"/>
      <c r="H18" s="5"/>
      <c r="I18" s="6"/>
      <c r="J18" s="6"/>
    </row>
    <row r="19">
      <c r="A19" s="3" t="s">
        <v>76</v>
      </c>
      <c r="B19" s="4" t="s">
        <v>77</v>
      </c>
      <c r="C19" s="4" t="s">
        <v>78</v>
      </c>
      <c r="D19" s="3" t="s">
        <v>13</v>
      </c>
      <c r="E19" s="3" t="s">
        <v>14</v>
      </c>
      <c r="F19" s="5"/>
      <c r="G19" s="5"/>
      <c r="H19" s="5"/>
      <c r="I19" s="6"/>
      <c r="J19" s="6"/>
    </row>
    <row r="20">
      <c r="A20" s="3" t="s">
        <v>79</v>
      </c>
      <c r="B20" s="4" t="s">
        <v>80</v>
      </c>
      <c r="C20" s="4" t="s">
        <v>81</v>
      </c>
      <c r="D20" s="3" t="s">
        <v>13</v>
      </c>
      <c r="E20" s="3" t="s">
        <v>39</v>
      </c>
      <c r="F20" s="5"/>
      <c r="G20" s="5"/>
      <c r="H20" s="5"/>
      <c r="I20" s="6"/>
      <c r="J20" s="6"/>
    </row>
    <row r="21" ht="15.75" customHeight="1">
      <c r="A21" s="3" t="s">
        <v>82</v>
      </c>
      <c r="B21" s="4" t="s">
        <v>83</v>
      </c>
      <c r="C21" s="4" t="s">
        <v>84</v>
      </c>
      <c r="D21" s="3" t="s">
        <v>13</v>
      </c>
      <c r="E21" s="3" t="s">
        <v>39</v>
      </c>
      <c r="F21" s="5"/>
      <c r="G21" s="5"/>
      <c r="H21" s="5"/>
      <c r="I21" s="6"/>
      <c r="J21" s="6"/>
    </row>
    <row r="22" ht="15.75" customHeight="1">
      <c r="A22" s="3" t="s">
        <v>85</v>
      </c>
      <c r="B22" s="4" t="s">
        <v>86</v>
      </c>
      <c r="C22" s="4" t="s">
        <v>87</v>
      </c>
      <c r="D22" s="3" t="s">
        <v>13</v>
      </c>
      <c r="E22" s="3" t="s">
        <v>14</v>
      </c>
      <c r="F22" s="5"/>
      <c r="G22" s="5"/>
      <c r="H22" s="5">
        <v>8000.0</v>
      </c>
      <c r="I22" s="6"/>
      <c r="J22" s="3" t="s">
        <v>23</v>
      </c>
    </row>
    <row r="23" ht="15.75" customHeight="1">
      <c r="A23" s="3" t="s">
        <v>88</v>
      </c>
      <c r="B23" s="4" t="s">
        <v>89</v>
      </c>
      <c r="C23" s="4" t="s">
        <v>90</v>
      </c>
      <c r="D23" s="3" t="s">
        <v>13</v>
      </c>
      <c r="E23" s="3" t="s">
        <v>14</v>
      </c>
      <c r="F23" s="5"/>
      <c r="G23" s="5"/>
      <c r="H23" s="5"/>
      <c r="I23" s="6"/>
      <c r="J23" s="6"/>
    </row>
    <row r="24" ht="15.75" customHeight="1">
      <c r="A24" s="3" t="s">
        <v>91</v>
      </c>
      <c r="B24" s="4" t="s">
        <v>92</v>
      </c>
      <c r="C24" s="4" t="s">
        <v>93</v>
      </c>
      <c r="D24" s="3" t="s">
        <v>13</v>
      </c>
      <c r="E24" s="3" t="s">
        <v>14</v>
      </c>
      <c r="F24" s="5"/>
      <c r="G24" s="5"/>
      <c r="H24" s="5"/>
      <c r="I24" s="6"/>
      <c r="J24" s="6"/>
    </row>
    <row r="25" ht="15.75" customHeight="1">
      <c r="A25" s="3" t="s">
        <v>94</v>
      </c>
      <c r="B25" s="4" t="s">
        <v>95</v>
      </c>
      <c r="C25" s="4" t="s">
        <v>96</v>
      </c>
      <c r="D25" s="3" t="s">
        <v>13</v>
      </c>
      <c r="E25" s="3" t="s">
        <v>97</v>
      </c>
      <c r="F25" s="5"/>
      <c r="G25" s="5"/>
      <c r="H25" s="5"/>
      <c r="I25" s="6"/>
      <c r="J25" s="6"/>
    </row>
    <row r="26" ht="15.75" customHeight="1">
      <c r="A26" s="3" t="s">
        <v>98</v>
      </c>
      <c r="B26" s="4" t="s">
        <v>99</v>
      </c>
      <c r="C26" s="4" t="s">
        <v>100</v>
      </c>
      <c r="D26" s="3" t="s">
        <v>13</v>
      </c>
      <c r="E26" s="3" t="s">
        <v>14</v>
      </c>
      <c r="F26" s="5"/>
      <c r="G26" s="5"/>
      <c r="H26" s="5"/>
      <c r="I26" s="6"/>
      <c r="J26" s="6"/>
    </row>
    <row r="27" ht="15.75" customHeight="1">
      <c r="A27" s="3" t="s">
        <v>101</v>
      </c>
      <c r="B27" s="4" t="s">
        <v>102</v>
      </c>
      <c r="C27" s="4" t="s">
        <v>103</v>
      </c>
      <c r="D27" s="3" t="s">
        <v>13</v>
      </c>
      <c r="E27" s="3" t="s">
        <v>39</v>
      </c>
      <c r="F27" s="5"/>
      <c r="G27" s="5"/>
      <c r="H27" s="5">
        <v>1500.0</v>
      </c>
      <c r="I27" s="6"/>
      <c r="J27" s="3" t="s">
        <v>104</v>
      </c>
    </row>
    <row r="28" ht="15.75" customHeight="1">
      <c r="A28" s="3" t="s">
        <v>105</v>
      </c>
      <c r="B28" s="4" t="s">
        <v>106</v>
      </c>
      <c r="C28" s="4" t="s">
        <v>107</v>
      </c>
      <c r="D28" s="3" t="s">
        <v>13</v>
      </c>
      <c r="E28" s="3" t="s">
        <v>39</v>
      </c>
      <c r="F28" s="5"/>
      <c r="G28" s="5"/>
      <c r="H28" s="5">
        <v>1500.0</v>
      </c>
      <c r="I28" s="6"/>
      <c r="J28" s="3" t="s">
        <v>104</v>
      </c>
    </row>
    <row r="29" ht="15.75" customHeight="1">
      <c r="A29" s="3" t="s">
        <v>108</v>
      </c>
      <c r="B29" s="4" t="s">
        <v>109</v>
      </c>
      <c r="C29" s="4" t="s">
        <v>110</v>
      </c>
      <c r="D29" s="3" t="s">
        <v>13</v>
      </c>
      <c r="E29" s="3" t="s">
        <v>39</v>
      </c>
      <c r="F29" s="5"/>
      <c r="G29" s="5"/>
      <c r="H29" s="5"/>
      <c r="I29" s="6"/>
      <c r="J29" s="6"/>
    </row>
    <row r="30" ht="15.75" customHeight="1">
      <c r="A30" s="3" t="s">
        <v>111</v>
      </c>
      <c r="B30" s="4" t="s">
        <v>112</v>
      </c>
      <c r="C30" s="4" t="s">
        <v>113</v>
      </c>
      <c r="D30" s="3" t="s">
        <v>13</v>
      </c>
      <c r="E30" s="3" t="s">
        <v>39</v>
      </c>
      <c r="F30" s="5"/>
      <c r="G30" s="5"/>
      <c r="H30" s="5"/>
      <c r="I30" s="6"/>
      <c r="J30" s="3" t="s">
        <v>114</v>
      </c>
    </row>
    <row r="31" ht="15.75" customHeight="1">
      <c r="A31" s="3" t="s">
        <v>115</v>
      </c>
      <c r="B31" s="4" t="s">
        <v>116</v>
      </c>
      <c r="C31" s="4" t="s">
        <v>117</v>
      </c>
      <c r="D31" s="3" t="s">
        <v>13</v>
      </c>
      <c r="E31" s="3" t="s">
        <v>39</v>
      </c>
      <c r="F31" s="5"/>
      <c r="G31" s="5"/>
      <c r="H31" s="5">
        <v>3000.0</v>
      </c>
      <c r="I31" s="6"/>
      <c r="J31" s="3" t="s">
        <v>118</v>
      </c>
    </row>
    <row r="32" ht="15.75" customHeight="1">
      <c r="A32" s="3" t="s">
        <v>119</v>
      </c>
      <c r="B32" s="4" t="s">
        <v>120</v>
      </c>
      <c r="C32" s="4" t="s">
        <v>121</v>
      </c>
      <c r="D32" s="3" t="s">
        <v>13</v>
      </c>
      <c r="E32" s="3" t="s">
        <v>39</v>
      </c>
      <c r="F32" s="5"/>
      <c r="G32" s="5"/>
      <c r="H32" s="5">
        <v>3000.0</v>
      </c>
      <c r="I32" s="6"/>
      <c r="J32" s="3" t="s">
        <v>118</v>
      </c>
    </row>
    <row r="33" ht="15.75" customHeight="1">
      <c r="A33" s="3" t="s">
        <v>122</v>
      </c>
      <c r="B33" s="4" t="s">
        <v>123</v>
      </c>
      <c r="C33" s="4" t="s">
        <v>124</v>
      </c>
      <c r="D33" s="3" t="s">
        <v>13</v>
      </c>
      <c r="E33" s="3" t="s">
        <v>39</v>
      </c>
      <c r="F33" s="5"/>
      <c r="G33" s="5"/>
      <c r="H33" s="5"/>
      <c r="I33" s="6"/>
      <c r="J33" s="6"/>
    </row>
    <row r="34" ht="15.75" customHeight="1">
      <c r="A34" s="3" t="s">
        <v>125</v>
      </c>
      <c r="B34" s="4" t="s">
        <v>126</v>
      </c>
      <c r="C34" s="4" t="s">
        <v>127</v>
      </c>
      <c r="D34" s="3" t="s">
        <v>13</v>
      </c>
      <c r="E34" s="3" t="s">
        <v>14</v>
      </c>
      <c r="F34" s="5"/>
      <c r="G34" s="5"/>
      <c r="H34" s="5"/>
      <c r="I34" s="6"/>
      <c r="J34" s="3" t="s">
        <v>128</v>
      </c>
    </row>
    <row r="35" ht="15.75" customHeight="1">
      <c r="A35" s="3" t="s">
        <v>129</v>
      </c>
      <c r="B35" s="4" t="s">
        <v>130</v>
      </c>
      <c r="C35" s="4" t="s">
        <v>131</v>
      </c>
      <c r="D35" s="3" t="s">
        <v>13</v>
      </c>
      <c r="E35" s="3" t="s">
        <v>14</v>
      </c>
      <c r="F35" s="5"/>
      <c r="G35" s="5"/>
      <c r="H35" s="5"/>
      <c r="I35" s="6"/>
      <c r="J35" s="3" t="s">
        <v>132</v>
      </c>
    </row>
    <row r="36" ht="15.75" customHeight="1">
      <c r="A36" s="3" t="s">
        <v>133</v>
      </c>
      <c r="B36" s="4" t="s">
        <v>134</v>
      </c>
      <c r="C36" s="4" t="s">
        <v>135</v>
      </c>
      <c r="D36" s="3" t="s">
        <v>13</v>
      </c>
      <c r="E36" s="3" t="s">
        <v>14</v>
      </c>
      <c r="F36" s="5"/>
      <c r="G36" s="5"/>
      <c r="H36" s="5"/>
      <c r="I36" s="6"/>
      <c r="J36" s="6"/>
    </row>
    <row r="37" ht="15.75" customHeight="1">
      <c r="A37" s="3" t="s">
        <v>136</v>
      </c>
      <c r="B37" s="4" t="s">
        <v>137</v>
      </c>
      <c r="C37" s="4" t="s">
        <v>138</v>
      </c>
      <c r="D37" s="3" t="s">
        <v>13</v>
      </c>
      <c r="E37" s="3" t="s">
        <v>14</v>
      </c>
      <c r="F37" s="5"/>
      <c r="G37" s="5"/>
      <c r="H37" s="5"/>
      <c r="I37" s="6"/>
      <c r="J37" s="6"/>
    </row>
    <row r="38" ht="15.75" customHeight="1">
      <c r="A38" s="3" t="s">
        <v>139</v>
      </c>
      <c r="B38" s="4" t="s">
        <v>140</v>
      </c>
      <c r="C38" s="4" t="s">
        <v>141</v>
      </c>
      <c r="D38" s="3" t="s">
        <v>13</v>
      </c>
      <c r="E38" s="3" t="s">
        <v>14</v>
      </c>
      <c r="F38" s="5"/>
      <c r="G38" s="5"/>
      <c r="H38" s="5"/>
      <c r="I38" s="6"/>
      <c r="J38" s="3" t="s">
        <v>142</v>
      </c>
    </row>
    <row r="39" ht="15.75" customHeight="1">
      <c r="A39" s="3" t="s">
        <v>143</v>
      </c>
      <c r="B39" s="4" t="s">
        <v>144</v>
      </c>
      <c r="C39" s="4" t="s">
        <v>145</v>
      </c>
      <c r="D39" s="3" t="s">
        <v>13</v>
      </c>
      <c r="E39" s="3" t="s">
        <v>14</v>
      </c>
      <c r="F39" s="5"/>
      <c r="G39" s="5"/>
      <c r="H39" s="5"/>
      <c r="I39" s="6"/>
      <c r="J39" s="3" t="s">
        <v>142</v>
      </c>
    </row>
    <row r="40" ht="15.75" customHeight="1">
      <c r="A40" s="3" t="s">
        <v>146</v>
      </c>
      <c r="B40" s="4" t="s">
        <v>147</v>
      </c>
      <c r="C40" s="4" t="s">
        <v>148</v>
      </c>
      <c r="D40" s="3" t="s">
        <v>13</v>
      </c>
      <c r="E40" s="3" t="s">
        <v>14</v>
      </c>
      <c r="F40" s="5"/>
      <c r="G40" s="5"/>
      <c r="H40" s="5"/>
      <c r="I40" s="6"/>
      <c r="J40" s="6"/>
    </row>
    <row r="41" ht="15.75" customHeight="1">
      <c r="A41" s="3" t="s">
        <v>149</v>
      </c>
      <c r="B41" s="4" t="s">
        <v>150</v>
      </c>
      <c r="C41" s="4" t="s">
        <v>151</v>
      </c>
      <c r="D41" s="3" t="s">
        <v>13</v>
      </c>
      <c r="E41" s="3" t="s">
        <v>14</v>
      </c>
      <c r="F41" s="5"/>
      <c r="G41" s="5"/>
      <c r="H41" s="5"/>
      <c r="I41" s="6"/>
      <c r="J41" s="6"/>
    </row>
    <row r="42" ht="15.75" customHeight="1">
      <c r="A42" s="3" t="s">
        <v>152</v>
      </c>
      <c r="B42" s="4" t="s">
        <v>153</v>
      </c>
      <c r="C42" s="4" t="s">
        <v>154</v>
      </c>
      <c r="D42" s="3" t="s">
        <v>13</v>
      </c>
      <c r="E42" s="3" t="s">
        <v>14</v>
      </c>
      <c r="F42" s="5"/>
      <c r="G42" s="5"/>
      <c r="H42" s="5"/>
      <c r="I42" s="6"/>
      <c r="J42" s="3" t="s">
        <v>155</v>
      </c>
    </row>
    <row r="43" ht="15.75" customHeight="1">
      <c r="A43" s="3" t="s">
        <v>156</v>
      </c>
      <c r="B43" s="4" t="s">
        <v>157</v>
      </c>
      <c r="C43" s="4" t="s">
        <v>158</v>
      </c>
      <c r="D43" s="3" t="s">
        <v>13</v>
      </c>
      <c r="E43" s="3" t="s">
        <v>14</v>
      </c>
      <c r="F43" s="5"/>
      <c r="G43" s="5"/>
      <c r="H43" s="5">
        <v>15000.0</v>
      </c>
      <c r="I43" s="6"/>
      <c r="J43" s="3" t="s">
        <v>159</v>
      </c>
    </row>
    <row r="44" ht="15.75" customHeight="1">
      <c r="A44" s="3" t="s">
        <v>160</v>
      </c>
      <c r="B44" s="4" t="s">
        <v>161</v>
      </c>
      <c r="C44" s="4" t="s">
        <v>162</v>
      </c>
      <c r="D44" s="3" t="s">
        <v>13</v>
      </c>
      <c r="E44" s="3" t="s">
        <v>39</v>
      </c>
      <c r="F44" s="5"/>
      <c r="G44" s="5"/>
      <c r="H44" s="5">
        <v>10000.0</v>
      </c>
      <c r="I44" s="6"/>
      <c r="J44" s="3" t="s">
        <v>163</v>
      </c>
    </row>
    <row r="45" ht="15.75" customHeight="1">
      <c r="A45" s="3" t="s">
        <v>164</v>
      </c>
      <c r="B45" s="4" t="s">
        <v>165</v>
      </c>
      <c r="C45" s="4" t="s">
        <v>166</v>
      </c>
      <c r="D45" s="3" t="s">
        <v>13</v>
      </c>
      <c r="E45" s="3" t="s">
        <v>167</v>
      </c>
      <c r="F45" s="5"/>
      <c r="G45" s="5"/>
      <c r="H45" s="5">
        <v>15000.0</v>
      </c>
      <c r="I45" s="6"/>
      <c r="J45" s="3" t="s">
        <v>168</v>
      </c>
    </row>
    <row r="46" ht="15.75" customHeight="1">
      <c r="A46" s="3" t="s">
        <v>169</v>
      </c>
      <c r="B46" s="4" t="s">
        <v>170</v>
      </c>
      <c r="C46" s="4" t="s">
        <v>171</v>
      </c>
      <c r="D46" s="3" t="s">
        <v>13</v>
      </c>
      <c r="E46" s="3" t="s">
        <v>167</v>
      </c>
      <c r="F46" s="5"/>
      <c r="G46" s="5"/>
      <c r="H46" s="5"/>
      <c r="I46" s="6"/>
      <c r="J46" s="6"/>
    </row>
    <row r="47" ht="15.75" customHeight="1">
      <c r="A47" s="3" t="s">
        <v>172</v>
      </c>
      <c r="B47" s="4" t="s">
        <v>173</v>
      </c>
      <c r="C47" s="4" t="s">
        <v>174</v>
      </c>
      <c r="D47" s="3" t="s">
        <v>13</v>
      </c>
      <c r="E47" s="3" t="s">
        <v>167</v>
      </c>
      <c r="F47" s="5"/>
      <c r="G47" s="5"/>
      <c r="H47" s="5"/>
      <c r="I47" s="6"/>
      <c r="J47" s="6"/>
    </row>
    <row r="48" ht="15.75" customHeight="1">
      <c r="A48" s="3" t="s">
        <v>175</v>
      </c>
      <c r="B48" s="4" t="s">
        <v>176</v>
      </c>
      <c r="C48" s="4" t="s">
        <v>177</v>
      </c>
      <c r="D48" s="3" t="s">
        <v>13</v>
      </c>
      <c r="E48" s="3" t="s">
        <v>14</v>
      </c>
      <c r="F48" s="5"/>
      <c r="G48" s="5"/>
      <c r="H48" s="5"/>
      <c r="I48" s="6"/>
      <c r="J48" s="6"/>
    </row>
    <row r="49" ht="15.75" customHeight="1">
      <c r="A49" s="3" t="s">
        <v>178</v>
      </c>
      <c r="B49" s="4" t="s">
        <v>179</v>
      </c>
      <c r="C49" s="4" t="s">
        <v>180</v>
      </c>
      <c r="D49" s="3" t="s">
        <v>13</v>
      </c>
      <c r="E49" s="3" t="s">
        <v>14</v>
      </c>
      <c r="F49" s="5"/>
      <c r="G49" s="5"/>
      <c r="H49" s="5"/>
      <c r="I49" s="6"/>
      <c r="J49" s="6"/>
    </row>
    <row r="50" ht="15.75" customHeight="1">
      <c r="A50" s="3" t="s">
        <v>181</v>
      </c>
      <c r="B50" s="4" t="s">
        <v>182</v>
      </c>
      <c r="C50" s="4" t="s">
        <v>183</v>
      </c>
      <c r="D50" s="3" t="s">
        <v>13</v>
      </c>
      <c r="E50" s="3" t="s">
        <v>97</v>
      </c>
      <c r="F50" s="5"/>
      <c r="G50" s="5"/>
      <c r="H50" s="5">
        <v>1500.0</v>
      </c>
      <c r="I50" s="6"/>
      <c r="J50" s="3" t="s">
        <v>184</v>
      </c>
    </row>
    <row r="51" ht="15.75" customHeight="1">
      <c r="A51" s="3" t="s">
        <v>185</v>
      </c>
      <c r="B51" s="4" t="s">
        <v>186</v>
      </c>
      <c r="C51" s="4" t="s">
        <v>187</v>
      </c>
      <c r="D51" s="3" t="s">
        <v>13</v>
      </c>
      <c r="E51" s="3" t="s">
        <v>14</v>
      </c>
      <c r="F51" s="5"/>
      <c r="G51" s="5"/>
      <c r="H51" s="5"/>
      <c r="I51" s="6"/>
      <c r="J51" s="3" t="s">
        <v>188</v>
      </c>
    </row>
    <row r="52" ht="15.75" customHeight="1">
      <c r="A52" s="3" t="s">
        <v>189</v>
      </c>
      <c r="B52" s="4" t="s">
        <v>190</v>
      </c>
      <c r="C52" s="4" t="s">
        <v>191</v>
      </c>
      <c r="D52" s="3" t="s">
        <v>13</v>
      </c>
      <c r="E52" s="3" t="s">
        <v>39</v>
      </c>
      <c r="F52" s="5"/>
      <c r="G52" s="5"/>
      <c r="H52" s="5">
        <v>20000.0</v>
      </c>
      <c r="I52" s="6"/>
      <c r="J52" s="3" t="s">
        <v>192</v>
      </c>
    </row>
    <row r="53" ht="15.75" customHeight="1">
      <c r="A53" s="3" t="s">
        <v>193</v>
      </c>
      <c r="B53" s="4" t="s">
        <v>194</v>
      </c>
      <c r="C53" s="4" t="s">
        <v>195</v>
      </c>
      <c r="D53" s="3" t="s">
        <v>13</v>
      </c>
      <c r="E53" s="3" t="s">
        <v>14</v>
      </c>
      <c r="F53" s="5"/>
      <c r="G53" s="5"/>
      <c r="H53" s="5"/>
      <c r="I53" s="6"/>
      <c r="J53" s="6"/>
    </row>
    <row r="54" ht="15.75" customHeight="1">
      <c r="A54" s="3" t="s">
        <v>196</v>
      </c>
      <c r="B54" s="4" t="s">
        <v>197</v>
      </c>
      <c r="C54" s="4" t="s">
        <v>198</v>
      </c>
      <c r="D54" s="3" t="s">
        <v>13</v>
      </c>
      <c r="E54" s="3" t="s">
        <v>14</v>
      </c>
      <c r="F54" s="5"/>
      <c r="G54" s="5"/>
      <c r="H54" s="5"/>
      <c r="I54" s="6"/>
      <c r="J54" s="6" t="s">
        <v>199</v>
      </c>
    </row>
    <row r="55" ht="15.75" customHeight="1">
      <c r="A55" s="3" t="s">
        <v>200</v>
      </c>
      <c r="B55" s="4" t="s">
        <v>201</v>
      </c>
      <c r="C55" s="4" t="s">
        <v>202</v>
      </c>
      <c r="D55" s="3" t="s">
        <v>13</v>
      </c>
      <c r="E55" s="3" t="s">
        <v>14</v>
      </c>
      <c r="F55" s="5"/>
      <c r="G55" s="5"/>
      <c r="H55" s="5"/>
      <c r="I55" s="6"/>
      <c r="J55" s="6"/>
    </row>
    <row r="56" ht="15.75" customHeight="1">
      <c r="A56" s="3" t="s">
        <v>203</v>
      </c>
      <c r="B56" s="4" t="s">
        <v>204</v>
      </c>
      <c r="C56" s="4" t="s">
        <v>205</v>
      </c>
      <c r="D56" s="3" t="s">
        <v>13</v>
      </c>
      <c r="E56" s="3" t="s">
        <v>14</v>
      </c>
      <c r="F56" s="5"/>
      <c r="G56" s="5"/>
      <c r="H56" s="5"/>
      <c r="I56" s="6"/>
      <c r="J56" s="6"/>
    </row>
    <row r="57" ht="15.75" customHeight="1">
      <c r="A57" s="3" t="s">
        <v>206</v>
      </c>
      <c r="B57" s="4" t="s">
        <v>207</v>
      </c>
      <c r="C57" s="4" t="s">
        <v>208</v>
      </c>
      <c r="D57" s="3" t="s">
        <v>13</v>
      </c>
      <c r="E57" s="3" t="s">
        <v>14</v>
      </c>
      <c r="F57" s="5"/>
      <c r="G57" s="5"/>
      <c r="H57" s="5"/>
      <c r="I57" s="6"/>
      <c r="J57" s="6"/>
    </row>
    <row r="58" ht="15.75" customHeight="1">
      <c r="A58" s="3" t="s">
        <v>209</v>
      </c>
      <c r="B58" s="4" t="s">
        <v>210</v>
      </c>
      <c r="C58" s="4" t="s">
        <v>211</v>
      </c>
      <c r="D58" s="3" t="s">
        <v>13</v>
      </c>
      <c r="E58" s="3" t="s">
        <v>14</v>
      </c>
      <c r="F58" s="5"/>
      <c r="G58" s="5"/>
      <c r="H58" s="5"/>
      <c r="I58" s="6"/>
      <c r="J58" s="3" t="s">
        <v>212</v>
      </c>
    </row>
    <row r="59" ht="15.75" customHeight="1">
      <c r="A59" s="3" t="s">
        <v>213</v>
      </c>
      <c r="B59" s="4" t="s">
        <v>214</v>
      </c>
      <c r="C59" s="4" t="s">
        <v>215</v>
      </c>
      <c r="D59" s="3" t="s">
        <v>216</v>
      </c>
      <c r="E59" s="3" t="s">
        <v>167</v>
      </c>
      <c r="F59" s="5"/>
      <c r="G59" s="5"/>
      <c r="H59" s="5"/>
      <c r="I59" s="6"/>
      <c r="J59" s="3" t="s">
        <v>217</v>
      </c>
    </row>
    <row r="60" ht="15.75" customHeight="1">
      <c r="A60" s="3" t="s">
        <v>218</v>
      </c>
      <c r="B60" s="4" t="s">
        <v>219</v>
      </c>
      <c r="C60" s="4" t="s">
        <v>220</v>
      </c>
      <c r="D60" s="3" t="s">
        <v>13</v>
      </c>
      <c r="E60" s="3" t="s">
        <v>14</v>
      </c>
      <c r="F60" s="5"/>
      <c r="G60" s="5"/>
      <c r="H60" s="5">
        <v>35000.0</v>
      </c>
      <c r="I60" s="6"/>
      <c r="J60" s="3" t="s">
        <v>221</v>
      </c>
    </row>
    <row r="61" ht="15.75" customHeight="1">
      <c r="A61" s="3" t="s">
        <v>222</v>
      </c>
      <c r="B61" s="4" t="s">
        <v>223</v>
      </c>
      <c r="C61" s="4" t="s">
        <v>224</v>
      </c>
      <c r="D61" s="3" t="s">
        <v>13</v>
      </c>
      <c r="E61" s="3" t="s">
        <v>14</v>
      </c>
      <c r="F61" s="5"/>
      <c r="G61" s="5"/>
      <c r="H61" s="5"/>
      <c r="I61" s="6"/>
      <c r="J61" s="6"/>
    </row>
    <row r="62" ht="15.75" customHeight="1">
      <c r="A62" s="3" t="s">
        <v>225</v>
      </c>
      <c r="B62" s="4" t="s">
        <v>226</v>
      </c>
      <c r="C62" s="4" t="s">
        <v>227</v>
      </c>
      <c r="D62" s="3" t="s">
        <v>13</v>
      </c>
      <c r="E62" s="3" t="s">
        <v>14</v>
      </c>
      <c r="F62" s="5"/>
      <c r="G62" s="5"/>
      <c r="H62" s="5"/>
      <c r="I62" s="6"/>
      <c r="J62" s="6"/>
    </row>
    <row r="63" ht="15.75" customHeight="1">
      <c r="A63" s="3" t="s">
        <v>228</v>
      </c>
      <c r="B63" s="4" t="s">
        <v>229</v>
      </c>
      <c r="C63" s="4" t="s">
        <v>230</v>
      </c>
      <c r="D63" s="3" t="s">
        <v>13</v>
      </c>
      <c r="E63" s="3" t="s">
        <v>14</v>
      </c>
      <c r="F63" s="5"/>
      <c r="G63" s="5"/>
      <c r="H63" s="5"/>
      <c r="I63" s="6"/>
      <c r="J63" s="6"/>
    </row>
    <row r="64" ht="15.75" customHeight="1">
      <c r="A64" s="3" t="s">
        <v>231</v>
      </c>
      <c r="B64" s="4" t="s">
        <v>232</v>
      </c>
      <c r="C64" s="4" t="s">
        <v>233</v>
      </c>
      <c r="D64" s="3" t="s">
        <v>13</v>
      </c>
      <c r="E64" s="3" t="s">
        <v>14</v>
      </c>
      <c r="F64" s="5"/>
      <c r="G64" s="5"/>
      <c r="H64" s="5"/>
      <c r="I64" s="6"/>
      <c r="J64" s="6"/>
    </row>
    <row r="65" ht="15.75" customHeight="1">
      <c r="A65" s="3" t="s">
        <v>234</v>
      </c>
      <c r="B65" s="4" t="s">
        <v>235</v>
      </c>
      <c r="C65" s="4" t="s">
        <v>236</v>
      </c>
      <c r="D65" s="3" t="s">
        <v>13</v>
      </c>
      <c r="E65" s="3" t="s">
        <v>14</v>
      </c>
      <c r="F65" s="5"/>
      <c r="G65" s="5"/>
      <c r="H65" s="5"/>
      <c r="I65" s="6"/>
      <c r="J65" s="6"/>
    </row>
    <row r="66" ht="15.75" customHeight="1">
      <c r="A66" s="3" t="s">
        <v>237</v>
      </c>
      <c r="B66" s="4" t="s">
        <v>238</v>
      </c>
      <c r="C66" s="4" t="s">
        <v>239</v>
      </c>
      <c r="D66" s="3" t="s">
        <v>13</v>
      </c>
      <c r="E66" s="3" t="s">
        <v>14</v>
      </c>
      <c r="F66" s="5"/>
      <c r="G66" s="5"/>
      <c r="H66" s="5"/>
      <c r="I66" s="6"/>
      <c r="J66" s="6"/>
    </row>
    <row r="67" ht="15.75" customHeight="1">
      <c r="A67" s="3" t="s">
        <v>240</v>
      </c>
      <c r="B67" s="4" t="s">
        <v>241</v>
      </c>
      <c r="C67" s="4" t="s">
        <v>242</v>
      </c>
      <c r="D67" s="3" t="s">
        <v>13</v>
      </c>
      <c r="E67" s="3" t="s">
        <v>14</v>
      </c>
      <c r="F67" s="5"/>
      <c r="G67" s="5"/>
      <c r="H67" s="5"/>
      <c r="I67" s="6"/>
      <c r="J67" s="6"/>
    </row>
    <row r="68" ht="15.75" customHeight="1">
      <c r="A68" s="3" t="s">
        <v>243</v>
      </c>
      <c r="B68" s="4" t="s">
        <v>244</v>
      </c>
      <c r="C68" s="4" t="s">
        <v>245</v>
      </c>
      <c r="D68" s="3" t="s">
        <v>13</v>
      </c>
      <c r="E68" s="3" t="s">
        <v>97</v>
      </c>
      <c r="F68" s="5"/>
      <c r="G68" s="5"/>
      <c r="H68" s="5">
        <v>4000.0</v>
      </c>
      <c r="I68" s="6"/>
      <c r="J68" s="3" t="s">
        <v>246</v>
      </c>
    </row>
    <row r="69" ht="15.75" customHeight="1">
      <c r="A69" s="3" t="s">
        <v>247</v>
      </c>
      <c r="B69" s="4" t="s">
        <v>248</v>
      </c>
      <c r="C69" s="4" t="s">
        <v>249</v>
      </c>
      <c r="D69" s="3" t="s">
        <v>13</v>
      </c>
      <c r="E69" s="3" t="s">
        <v>14</v>
      </c>
      <c r="F69" s="5"/>
      <c r="G69" s="5"/>
      <c r="H69" s="5"/>
      <c r="I69" s="6"/>
      <c r="J69" s="6"/>
    </row>
    <row r="70" ht="15.75" customHeight="1">
      <c r="A70" s="3" t="s">
        <v>250</v>
      </c>
      <c r="B70" s="4" t="s">
        <v>251</v>
      </c>
      <c r="C70" s="4" t="s">
        <v>252</v>
      </c>
      <c r="D70" s="3" t="s">
        <v>13</v>
      </c>
      <c r="E70" s="3" t="s">
        <v>14</v>
      </c>
      <c r="F70" s="5"/>
      <c r="G70" s="5"/>
      <c r="H70" s="5"/>
      <c r="I70" s="6"/>
      <c r="J70" s="6"/>
    </row>
    <row r="71" ht="15.75" customHeight="1">
      <c r="A71" s="3" t="s">
        <v>253</v>
      </c>
      <c r="B71" s="4" t="s">
        <v>254</v>
      </c>
      <c r="C71" s="4" t="s">
        <v>255</v>
      </c>
      <c r="D71" s="3" t="s">
        <v>13</v>
      </c>
      <c r="E71" s="3" t="s">
        <v>14</v>
      </c>
      <c r="F71" s="5"/>
      <c r="G71" s="5"/>
      <c r="H71" s="5"/>
      <c r="I71" s="6"/>
      <c r="J71" s="6"/>
    </row>
    <row r="72" ht="15.75" customHeight="1">
      <c r="A72" s="3" t="s">
        <v>256</v>
      </c>
      <c r="B72" s="4" t="s">
        <v>257</v>
      </c>
      <c r="C72" s="4" t="s">
        <v>258</v>
      </c>
      <c r="D72" s="3" t="s">
        <v>13</v>
      </c>
      <c r="E72" s="3" t="s">
        <v>14</v>
      </c>
      <c r="F72" s="5"/>
      <c r="G72" s="5"/>
      <c r="H72" s="5"/>
      <c r="I72" s="6"/>
      <c r="J72" s="6"/>
    </row>
    <row r="73" ht="15.75" customHeight="1">
      <c r="A73" s="3" t="s">
        <v>259</v>
      </c>
      <c r="B73" s="4" t="s">
        <v>260</v>
      </c>
      <c r="C73" s="4" t="s">
        <v>261</v>
      </c>
      <c r="D73" s="3" t="s">
        <v>13</v>
      </c>
      <c r="E73" s="3" t="s">
        <v>14</v>
      </c>
      <c r="F73" s="5"/>
      <c r="G73" s="5"/>
      <c r="H73" s="5"/>
      <c r="I73" s="6"/>
      <c r="J73" s="6"/>
    </row>
    <row r="74" ht="15.75" customHeight="1">
      <c r="A74" s="3" t="s">
        <v>262</v>
      </c>
      <c r="B74" s="4" t="s">
        <v>263</v>
      </c>
      <c r="C74" s="4" t="s">
        <v>264</v>
      </c>
      <c r="D74" s="3" t="s">
        <v>13</v>
      </c>
      <c r="E74" s="3" t="s">
        <v>97</v>
      </c>
      <c r="F74" s="5"/>
      <c r="G74" s="5"/>
      <c r="H74" s="5"/>
      <c r="I74" s="6"/>
      <c r="J74" s="3" t="s">
        <v>265</v>
      </c>
    </row>
    <row r="75" ht="15.75" customHeight="1">
      <c r="A75" s="3" t="s">
        <v>266</v>
      </c>
      <c r="B75" s="4" t="s">
        <v>267</v>
      </c>
      <c r="C75" s="4" t="s">
        <v>268</v>
      </c>
      <c r="D75" s="3" t="s">
        <v>13</v>
      </c>
      <c r="E75" s="3" t="s">
        <v>14</v>
      </c>
      <c r="F75" s="5"/>
      <c r="G75" s="5"/>
      <c r="H75" s="5"/>
      <c r="I75" s="6"/>
      <c r="J75" s="3" t="s">
        <v>269</v>
      </c>
    </row>
    <row r="76" ht="15.75" customHeight="1">
      <c r="A76" s="3" t="s">
        <v>270</v>
      </c>
      <c r="B76" s="4" t="s">
        <v>271</v>
      </c>
      <c r="C76" s="4" t="s">
        <v>272</v>
      </c>
      <c r="D76" s="3" t="s">
        <v>13</v>
      </c>
      <c r="E76" s="3" t="s">
        <v>14</v>
      </c>
      <c r="F76" s="5"/>
      <c r="G76" s="5"/>
      <c r="H76" s="5"/>
      <c r="I76" s="6"/>
      <c r="J76" s="3" t="s">
        <v>273</v>
      </c>
    </row>
    <row r="77" ht="15.75" customHeight="1">
      <c r="A77" s="3" t="s">
        <v>274</v>
      </c>
      <c r="B77" s="4" t="s">
        <v>275</v>
      </c>
      <c r="C77" s="4" t="s">
        <v>276</v>
      </c>
      <c r="D77" s="3" t="s">
        <v>13</v>
      </c>
      <c r="E77" s="3" t="s">
        <v>14</v>
      </c>
      <c r="F77" s="5"/>
      <c r="G77" s="5"/>
      <c r="H77" s="5">
        <v>10000.0</v>
      </c>
      <c r="I77" s="6"/>
      <c r="J77" s="3" t="s">
        <v>48</v>
      </c>
    </row>
    <row r="78" ht="15.75" customHeight="1">
      <c r="A78" s="3" t="s">
        <v>277</v>
      </c>
      <c r="B78" s="4" t="s">
        <v>278</v>
      </c>
      <c r="C78" s="4" t="s">
        <v>279</v>
      </c>
      <c r="D78" s="3" t="s">
        <v>13</v>
      </c>
      <c r="E78" s="3" t="s">
        <v>14</v>
      </c>
      <c r="F78" s="5"/>
      <c r="G78" s="5"/>
      <c r="H78" s="5"/>
      <c r="I78" s="6"/>
      <c r="J78" s="6"/>
    </row>
    <row r="79" ht="15.75" customHeight="1">
      <c r="A79" s="3" t="s">
        <v>280</v>
      </c>
      <c r="B79" s="4" t="s">
        <v>281</v>
      </c>
      <c r="C79" s="4" t="s">
        <v>282</v>
      </c>
      <c r="D79" s="3" t="s">
        <v>13</v>
      </c>
      <c r="E79" s="3" t="s">
        <v>14</v>
      </c>
      <c r="F79" s="5"/>
      <c r="G79" s="5"/>
      <c r="H79" s="5"/>
      <c r="I79" s="6"/>
      <c r="J79" s="6"/>
    </row>
    <row r="80" ht="15.75" customHeight="1">
      <c r="A80" s="3" t="s">
        <v>283</v>
      </c>
      <c r="B80" s="4" t="s">
        <v>284</v>
      </c>
      <c r="C80" s="4" t="s">
        <v>285</v>
      </c>
      <c r="D80" s="3" t="s">
        <v>13</v>
      </c>
      <c r="E80" s="3" t="s">
        <v>14</v>
      </c>
      <c r="F80" s="5"/>
      <c r="G80" s="5"/>
      <c r="H80" s="5"/>
      <c r="I80" s="6"/>
      <c r="J80" s="6"/>
    </row>
    <row r="81" ht="15.75" customHeight="1">
      <c r="A81" s="3" t="s">
        <v>286</v>
      </c>
      <c r="B81" s="4" t="s">
        <v>287</v>
      </c>
      <c r="C81" s="4" t="s">
        <v>288</v>
      </c>
      <c r="D81" s="3" t="s">
        <v>13</v>
      </c>
      <c r="E81" s="3" t="s">
        <v>14</v>
      </c>
      <c r="F81" s="5"/>
      <c r="G81" s="5"/>
      <c r="H81" s="5">
        <v>18000.0</v>
      </c>
      <c r="I81" s="6"/>
      <c r="J81" s="3" t="s">
        <v>289</v>
      </c>
    </row>
    <row r="82" ht="15.75" customHeight="1">
      <c r="A82" s="3" t="s">
        <v>290</v>
      </c>
      <c r="B82" s="4" t="s">
        <v>291</v>
      </c>
      <c r="C82" s="4" t="s">
        <v>292</v>
      </c>
      <c r="D82" s="3" t="s">
        <v>13</v>
      </c>
      <c r="E82" s="3" t="s">
        <v>14</v>
      </c>
      <c r="F82" s="5"/>
      <c r="G82" s="5"/>
      <c r="H82" s="5">
        <v>23000.0</v>
      </c>
      <c r="I82" s="6"/>
      <c r="J82" s="3" t="s">
        <v>293</v>
      </c>
    </row>
    <row r="83" ht="15.75" customHeight="1">
      <c r="A83" s="3" t="s">
        <v>294</v>
      </c>
      <c r="B83" s="4" t="s">
        <v>295</v>
      </c>
      <c r="C83" s="4" t="s">
        <v>296</v>
      </c>
      <c r="D83" s="3" t="s">
        <v>13</v>
      </c>
      <c r="E83" s="3" t="s">
        <v>14</v>
      </c>
      <c r="F83" s="5"/>
      <c r="G83" s="5"/>
      <c r="H83" s="5"/>
      <c r="I83" s="6"/>
      <c r="J83" s="6"/>
    </row>
    <row r="84" ht="15.75" customHeight="1">
      <c r="A84" s="3" t="s">
        <v>297</v>
      </c>
      <c r="B84" s="4" t="s">
        <v>298</v>
      </c>
      <c r="C84" s="4" t="s">
        <v>299</v>
      </c>
      <c r="D84" s="3" t="s">
        <v>13</v>
      </c>
      <c r="E84" s="3" t="s">
        <v>14</v>
      </c>
      <c r="F84" s="5"/>
      <c r="G84" s="5"/>
      <c r="H84" s="5"/>
      <c r="I84" s="6"/>
      <c r="J84" s="6"/>
    </row>
    <row r="85" ht="15.75" customHeight="1">
      <c r="A85" s="3" t="s">
        <v>300</v>
      </c>
      <c r="B85" s="4" t="s">
        <v>301</v>
      </c>
      <c r="C85" s="4" t="s">
        <v>302</v>
      </c>
      <c r="D85" s="3" t="s">
        <v>13</v>
      </c>
      <c r="E85" s="3" t="s">
        <v>14</v>
      </c>
      <c r="F85" s="5"/>
      <c r="G85" s="5"/>
      <c r="H85" s="5"/>
      <c r="I85" s="6"/>
      <c r="J85" s="6"/>
    </row>
    <row r="86" ht="15.75" customHeight="1">
      <c r="A86" s="3" t="s">
        <v>303</v>
      </c>
      <c r="B86" s="4" t="s">
        <v>304</v>
      </c>
      <c r="C86" s="4" t="s">
        <v>305</v>
      </c>
      <c r="D86" s="3" t="s">
        <v>13</v>
      </c>
      <c r="E86" s="3" t="s">
        <v>14</v>
      </c>
      <c r="F86" s="5"/>
      <c r="G86" s="5"/>
      <c r="H86" s="5"/>
      <c r="I86" s="6"/>
      <c r="J86" s="6"/>
    </row>
    <row r="87" ht="15.75" customHeight="1">
      <c r="A87" s="3" t="s">
        <v>306</v>
      </c>
      <c r="B87" s="4" t="s">
        <v>307</v>
      </c>
      <c r="C87" s="4" t="s">
        <v>308</v>
      </c>
      <c r="D87" s="3" t="s">
        <v>13</v>
      </c>
      <c r="E87" s="3" t="s">
        <v>14</v>
      </c>
      <c r="F87" s="5"/>
      <c r="G87" s="5"/>
      <c r="H87" s="5"/>
      <c r="I87" s="6"/>
      <c r="J87" s="6"/>
    </row>
    <row r="88" ht="15.75" customHeight="1">
      <c r="A88" s="3" t="s">
        <v>309</v>
      </c>
      <c r="B88" s="4" t="s">
        <v>310</v>
      </c>
      <c r="C88" s="4" t="s">
        <v>311</v>
      </c>
      <c r="D88" s="3" t="s">
        <v>13</v>
      </c>
      <c r="E88" s="3" t="s">
        <v>14</v>
      </c>
      <c r="F88" s="5"/>
      <c r="G88" s="5"/>
      <c r="H88" s="5"/>
      <c r="I88" s="6"/>
      <c r="J88" s="6"/>
    </row>
    <row r="89" ht="15.75" customHeight="1">
      <c r="A89" s="3" t="s">
        <v>312</v>
      </c>
      <c r="B89" s="4" t="s">
        <v>313</v>
      </c>
      <c r="C89" s="4" t="s">
        <v>314</v>
      </c>
      <c r="D89" s="3" t="s">
        <v>13</v>
      </c>
      <c r="E89" s="3" t="s">
        <v>14</v>
      </c>
      <c r="F89" s="5"/>
      <c r="G89" s="5"/>
      <c r="H89" s="5"/>
      <c r="I89" s="6"/>
      <c r="J89" s="6"/>
    </row>
    <row r="90" ht="15.75" customHeight="1">
      <c r="A90" s="3" t="s">
        <v>315</v>
      </c>
      <c r="B90" s="4" t="s">
        <v>316</v>
      </c>
      <c r="C90" s="4" t="s">
        <v>317</v>
      </c>
      <c r="D90" s="3" t="s">
        <v>13</v>
      </c>
      <c r="E90" s="3" t="s">
        <v>14</v>
      </c>
      <c r="F90" s="5"/>
      <c r="G90" s="5"/>
      <c r="H90" s="5"/>
      <c r="I90" s="6"/>
      <c r="J90" s="6"/>
    </row>
    <row r="91" ht="15.75" customHeight="1">
      <c r="A91" s="3" t="s">
        <v>318</v>
      </c>
      <c r="B91" s="4" t="s">
        <v>319</v>
      </c>
      <c r="C91" s="4" t="s">
        <v>320</v>
      </c>
      <c r="D91" s="3" t="s">
        <v>13</v>
      </c>
      <c r="E91" s="3" t="s">
        <v>14</v>
      </c>
      <c r="F91" s="5"/>
      <c r="G91" s="5"/>
      <c r="H91" s="5"/>
      <c r="I91" s="6"/>
      <c r="J91" s="6"/>
    </row>
    <row r="92" ht="15.75" customHeight="1">
      <c r="A92" s="3" t="s">
        <v>321</v>
      </c>
      <c r="B92" s="4" t="s">
        <v>322</v>
      </c>
      <c r="C92" s="4" t="s">
        <v>323</v>
      </c>
      <c r="D92" s="3" t="s">
        <v>13</v>
      </c>
      <c r="E92" s="3" t="s">
        <v>14</v>
      </c>
      <c r="F92" s="5"/>
      <c r="G92" s="5"/>
      <c r="H92" s="5"/>
      <c r="I92" s="6"/>
      <c r="J92" s="6"/>
    </row>
    <row r="93" ht="15.75" customHeight="1">
      <c r="A93" s="3" t="s">
        <v>324</v>
      </c>
      <c r="B93" s="4" t="s">
        <v>325</v>
      </c>
      <c r="C93" s="4" t="s">
        <v>326</v>
      </c>
      <c r="D93" s="3" t="s">
        <v>13</v>
      </c>
      <c r="E93" s="3" t="s">
        <v>39</v>
      </c>
      <c r="F93" s="5"/>
      <c r="G93" s="5"/>
      <c r="H93" s="5"/>
      <c r="I93" s="6"/>
      <c r="J93" s="6"/>
    </row>
    <row r="94" ht="15.75" customHeight="1">
      <c r="A94" s="3" t="s">
        <v>327</v>
      </c>
      <c r="B94" s="4" t="s">
        <v>328</v>
      </c>
      <c r="C94" s="4" t="s">
        <v>329</v>
      </c>
      <c r="D94" s="3" t="s">
        <v>13</v>
      </c>
      <c r="E94" s="3" t="s">
        <v>14</v>
      </c>
      <c r="F94" s="5"/>
      <c r="G94" s="5"/>
      <c r="H94" s="5"/>
      <c r="I94" s="6"/>
      <c r="J94" s="6"/>
    </row>
    <row r="95" ht="15.75" customHeight="1">
      <c r="A95" s="3" t="s">
        <v>330</v>
      </c>
      <c r="B95" s="4" t="s">
        <v>331</v>
      </c>
      <c r="C95" s="4" t="s">
        <v>332</v>
      </c>
      <c r="D95" s="3" t="s">
        <v>13</v>
      </c>
      <c r="E95" s="3" t="s">
        <v>14</v>
      </c>
      <c r="F95" s="5"/>
      <c r="G95" s="5"/>
      <c r="H95" s="5"/>
      <c r="I95" s="6"/>
      <c r="J95" s="6"/>
    </row>
    <row r="96" ht="15.75" customHeight="1">
      <c r="A96" s="3" t="s">
        <v>333</v>
      </c>
      <c r="B96" s="4" t="s">
        <v>334</v>
      </c>
      <c r="C96" s="4" t="s">
        <v>335</v>
      </c>
      <c r="D96" s="3" t="s">
        <v>13</v>
      </c>
      <c r="E96" s="3" t="s">
        <v>14</v>
      </c>
      <c r="F96" s="5"/>
      <c r="G96" s="5"/>
      <c r="H96" s="5"/>
      <c r="I96" s="6"/>
      <c r="J96" s="6"/>
    </row>
    <row r="97" ht="15.75" customHeight="1">
      <c r="A97" s="3" t="s">
        <v>336</v>
      </c>
      <c r="B97" s="4" t="s">
        <v>337</v>
      </c>
      <c r="C97" s="4" t="s">
        <v>338</v>
      </c>
      <c r="D97" s="3" t="s">
        <v>13</v>
      </c>
      <c r="E97" s="3" t="s">
        <v>14</v>
      </c>
      <c r="F97" s="5"/>
      <c r="G97" s="5"/>
      <c r="H97" s="5"/>
      <c r="I97" s="6"/>
      <c r="J97" s="6"/>
    </row>
    <row r="98" ht="15.75" customHeight="1">
      <c r="A98" s="3" t="s">
        <v>339</v>
      </c>
      <c r="B98" s="4" t="s">
        <v>340</v>
      </c>
      <c r="C98" s="4" t="s">
        <v>341</v>
      </c>
      <c r="D98" s="3" t="s">
        <v>13</v>
      </c>
      <c r="E98" s="3" t="s">
        <v>14</v>
      </c>
      <c r="F98" s="5"/>
      <c r="G98" s="5"/>
      <c r="H98" s="5"/>
      <c r="I98" s="6"/>
      <c r="J98" s="6"/>
    </row>
    <row r="99" ht="15.75" customHeight="1">
      <c r="A99" s="3" t="s">
        <v>342</v>
      </c>
      <c r="B99" s="4" t="s">
        <v>343</v>
      </c>
      <c r="C99" s="4" t="s">
        <v>344</v>
      </c>
      <c r="D99" s="3" t="s">
        <v>13</v>
      </c>
      <c r="E99" s="3" t="s">
        <v>97</v>
      </c>
      <c r="F99" s="5"/>
      <c r="G99" s="5"/>
      <c r="H99" s="5"/>
      <c r="I99" s="6"/>
      <c r="J99" s="3" t="s">
        <v>345</v>
      </c>
    </row>
    <row r="100" ht="15.75" customHeight="1">
      <c r="A100" s="3" t="s">
        <v>346</v>
      </c>
      <c r="B100" s="4" t="s">
        <v>347</v>
      </c>
      <c r="C100" s="4" t="s">
        <v>348</v>
      </c>
      <c r="D100" s="3" t="s">
        <v>13</v>
      </c>
      <c r="E100" s="3" t="s">
        <v>97</v>
      </c>
      <c r="F100" s="5"/>
      <c r="G100" s="5"/>
      <c r="H100" s="5"/>
      <c r="I100" s="6"/>
      <c r="J100" s="3" t="s">
        <v>345</v>
      </c>
    </row>
    <row r="101" ht="15.75" customHeight="1">
      <c r="A101" s="3" t="s">
        <v>349</v>
      </c>
      <c r="B101" s="4" t="s">
        <v>350</v>
      </c>
      <c r="C101" s="4" t="s">
        <v>351</v>
      </c>
      <c r="D101" s="3" t="s">
        <v>13</v>
      </c>
      <c r="E101" s="3" t="s">
        <v>97</v>
      </c>
      <c r="F101" s="5"/>
      <c r="G101" s="5"/>
      <c r="H101" s="5"/>
      <c r="I101" s="6"/>
      <c r="J101" s="3" t="s">
        <v>352</v>
      </c>
    </row>
    <row r="102" ht="15.75" customHeight="1">
      <c r="A102" s="3" t="s">
        <v>353</v>
      </c>
      <c r="B102" s="4" t="s">
        <v>354</v>
      </c>
      <c r="C102" s="4" t="s">
        <v>355</v>
      </c>
      <c r="D102" s="3" t="s">
        <v>13</v>
      </c>
      <c r="E102" s="3" t="s">
        <v>97</v>
      </c>
      <c r="F102" s="5"/>
      <c r="G102" s="5"/>
      <c r="H102" s="5">
        <v>1000.0</v>
      </c>
      <c r="I102" s="6"/>
      <c r="J102" s="3" t="s">
        <v>356</v>
      </c>
    </row>
    <row r="103" ht="15.75" customHeight="1">
      <c r="A103" s="3" t="s">
        <v>357</v>
      </c>
      <c r="B103" s="4" t="s">
        <v>358</v>
      </c>
      <c r="C103" s="4" t="s">
        <v>359</v>
      </c>
      <c r="D103" s="3" t="s">
        <v>13</v>
      </c>
      <c r="E103" s="3" t="s">
        <v>97</v>
      </c>
      <c r="F103" s="5"/>
      <c r="G103" s="5"/>
      <c r="H103" s="5"/>
      <c r="I103" s="6"/>
      <c r="J103" s="6"/>
    </row>
    <row r="104" ht="15.75" customHeight="1">
      <c r="A104" s="3" t="s">
        <v>360</v>
      </c>
      <c r="B104" s="4" t="s">
        <v>361</v>
      </c>
      <c r="C104" s="4" t="s">
        <v>362</v>
      </c>
      <c r="D104" s="3" t="s">
        <v>13</v>
      </c>
      <c r="E104" s="3" t="s">
        <v>14</v>
      </c>
      <c r="F104" s="5"/>
      <c r="G104" s="5"/>
      <c r="H104" s="5"/>
      <c r="I104" s="6"/>
      <c r="J104" s="3" t="s">
        <v>363</v>
      </c>
    </row>
    <row r="105" ht="15.75" customHeight="1">
      <c r="A105" s="3" t="s">
        <v>364</v>
      </c>
      <c r="B105" s="4" t="s">
        <v>365</v>
      </c>
      <c r="C105" s="4" t="s">
        <v>366</v>
      </c>
      <c r="D105" s="3" t="s">
        <v>13</v>
      </c>
      <c r="E105" s="3" t="s">
        <v>39</v>
      </c>
      <c r="F105" s="5"/>
      <c r="G105" s="5"/>
      <c r="H105" s="5"/>
      <c r="I105" s="6"/>
      <c r="J105" s="6"/>
    </row>
    <row r="106" ht="15.75" customHeight="1">
      <c r="A106" s="3" t="s">
        <v>367</v>
      </c>
      <c r="B106" s="4" t="s">
        <v>368</v>
      </c>
      <c r="C106" s="4" t="s">
        <v>369</v>
      </c>
      <c r="D106" s="3" t="s">
        <v>13</v>
      </c>
      <c r="E106" s="3" t="s">
        <v>370</v>
      </c>
      <c r="F106" s="5"/>
      <c r="G106" s="5"/>
      <c r="H106" s="5"/>
      <c r="I106" s="6"/>
      <c r="J106" s="6"/>
    </row>
    <row r="107" ht="15.75" customHeight="1">
      <c r="A107" s="3" t="s">
        <v>371</v>
      </c>
      <c r="B107" s="4" t="s">
        <v>372</v>
      </c>
      <c r="C107" s="4" t="s">
        <v>373</v>
      </c>
      <c r="D107" s="3" t="s">
        <v>13</v>
      </c>
      <c r="E107" s="3" t="s">
        <v>370</v>
      </c>
      <c r="F107" s="5"/>
      <c r="G107" s="5"/>
      <c r="H107" s="5"/>
      <c r="I107" s="6"/>
      <c r="J107" s="6"/>
    </row>
    <row r="108" ht="15.75" customHeight="1">
      <c r="A108" s="3" t="s">
        <v>374</v>
      </c>
      <c r="B108" s="4" t="s">
        <v>375</v>
      </c>
      <c r="C108" s="4" t="s">
        <v>376</v>
      </c>
      <c r="D108" s="3" t="s">
        <v>13</v>
      </c>
      <c r="E108" s="3" t="s">
        <v>14</v>
      </c>
      <c r="F108" s="5"/>
      <c r="G108" s="5"/>
      <c r="H108" s="5"/>
      <c r="I108" s="6"/>
      <c r="J108" s="6"/>
    </row>
    <row r="109" ht="15.75" customHeight="1">
      <c r="A109" s="3" t="s">
        <v>377</v>
      </c>
      <c r="B109" s="4" t="s">
        <v>378</v>
      </c>
      <c r="C109" s="4" t="s">
        <v>379</v>
      </c>
      <c r="D109" s="3" t="s">
        <v>13</v>
      </c>
      <c r="E109" s="3" t="s">
        <v>14</v>
      </c>
      <c r="F109" s="5"/>
      <c r="G109" s="5"/>
      <c r="H109" s="5">
        <v>70000.0</v>
      </c>
      <c r="I109" s="6"/>
      <c r="J109" s="3" t="s">
        <v>380</v>
      </c>
    </row>
    <row r="110" ht="15.75" customHeight="1">
      <c r="A110" s="3" t="s">
        <v>381</v>
      </c>
      <c r="B110" s="4" t="s">
        <v>382</v>
      </c>
      <c r="C110" s="4" t="s">
        <v>383</v>
      </c>
      <c r="D110" s="3" t="s">
        <v>13</v>
      </c>
      <c r="E110" s="3" t="s">
        <v>39</v>
      </c>
      <c r="F110" s="5"/>
      <c r="G110" s="5"/>
      <c r="H110" s="5">
        <v>23000.0</v>
      </c>
      <c r="I110" s="6"/>
      <c r="J110" s="3" t="s">
        <v>384</v>
      </c>
    </row>
    <row r="111" ht="15.75" customHeight="1">
      <c r="A111" s="3" t="s">
        <v>385</v>
      </c>
      <c r="B111" s="4" t="s">
        <v>386</v>
      </c>
      <c r="C111" s="4" t="s">
        <v>387</v>
      </c>
      <c r="D111" s="3" t="s">
        <v>13</v>
      </c>
      <c r="E111" s="3" t="s">
        <v>14</v>
      </c>
      <c r="F111" s="5"/>
      <c r="G111" s="5"/>
      <c r="H111" s="5">
        <v>33333.33</v>
      </c>
      <c r="I111" s="6"/>
      <c r="J111" s="3" t="s">
        <v>388</v>
      </c>
    </row>
    <row r="112" ht="15.75" customHeight="1">
      <c r="A112" s="3" t="s">
        <v>389</v>
      </c>
      <c r="B112" s="4" t="s">
        <v>390</v>
      </c>
      <c r="C112" s="4" t="s">
        <v>391</v>
      </c>
      <c r="D112" s="3" t="s">
        <v>13</v>
      </c>
      <c r="E112" s="3" t="s">
        <v>14</v>
      </c>
      <c r="F112" s="5"/>
      <c r="G112" s="5"/>
      <c r="H112" s="5">
        <v>40000.0</v>
      </c>
      <c r="I112" s="6"/>
      <c r="J112" s="3" t="s">
        <v>392</v>
      </c>
    </row>
    <row r="113" ht="15.75" customHeight="1">
      <c r="A113" s="3" t="s">
        <v>393</v>
      </c>
      <c r="B113" s="4" t="s">
        <v>394</v>
      </c>
      <c r="C113" s="4" t="s">
        <v>395</v>
      </c>
      <c r="D113" s="3" t="s">
        <v>13</v>
      </c>
      <c r="E113" s="3" t="s">
        <v>167</v>
      </c>
      <c r="F113" s="5"/>
      <c r="G113" s="5"/>
      <c r="H113" s="5">
        <v>16000.0</v>
      </c>
      <c r="I113" s="6"/>
      <c r="J113" s="3" t="s">
        <v>396</v>
      </c>
    </row>
    <row r="114" ht="15.75" customHeight="1">
      <c r="A114" s="3" t="s">
        <v>397</v>
      </c>
      <c r="B114" s="4" t="s">
        <v>398</v>
      </c>
      <c r="C114" s="4" t="s">
        <v>399</v>
      </c>
      <c r="D114" s="3" t="s">
        <v>13</v>
      </c>
      <c r="E114" s="3" t="s">
        <v>167</v>
      </c>
      <c r="F114" s="5"/>
      <c r="G114" s="5"/>
      <c r="H114" s="5"/>
      <c r="I114" s="6"/>
      <c r="J114" s="6"/>
    </row>
    <row r="115" ht="15.75" customHeight="1">
      <c r="A115" s="3" t="s">
        <v>400</v>
      </c>
      <c r="B115" s="4" t="s">
        <v>401</v>
      </c>
      <c r="C115" s="4" t="s">
        <v>402</v>
      </c>
      <c r="D115" s="3" t="s">
        <v>13</v>
      </c>
      <c r="E115" s="3" t="s">
        <v>14</v>
      </c>
      <c r="F115" s="5"/>
      <c r="G115" s="5"/>
      <c r="H115" s="5">
        <v>66666.67</v>
      </c>
      <c r="I115" s="6"/>
      <c r="J115" s="3" t="s">
        <v>403</v>
      </c>
    </row>
    <row r="116" ht="15.75" customHeight="1">
      <c r="A116" s="3" t="s">
        <v>404</v>
      </c>
      <c r="B116" s="4" t="s">
        <v>405</v>
      </c>
      <c r="C116" s="4" t="s">
        <v>406</v>
      </c>
      <c r="D116" s="3" t="s">
        <v>13</v>
      </c>
      <c r="E116" s="3" t="s">
        <v>39</v>
      </c>
      <c r="F116" s="5"/>
      <c r="G116" s="5"/>
      <c r="H116" s="5">
        <v>7000.0</v>
      </c>
      <c r="I116" s="6"/>
      <c r="J116" s="3" t="s">
        <v>407</v>
      </c>
    </row>
    <row r="117" ht="15.75" customHeight="1">
      <c r="A117" s="3" t="s">
        <v>408</v>
      </c>
      <c r="B117" s="4" t="s">
        <v>409</v>
      </c>
      <c r="C117" s="4" t="s">
        <v>410</v>
      </c>
      <c r="D117" s="3" t="s">
        <v>13</v>
      </c>
      <c r="E117" s="3" t="s">
        <v>14</v>
      </c>
      <c r="F117" s="5"/>
      <c r="G117" s="5"/>
      <c r="H117" s="5">
        <v>30000.0</v>
      </c>
      <c r="I117" s="6"/>
      <c r="J117" s="3" t="s">
        <v>411</v>
      </c>
    </row>
    <row r="118" ht="15.75" customHeight="1">
      <c r="A118" s="3" t="s">
        <v>412</v>
      </c>
      <c r="B118" s="4" t="s">
        <v>413</v>
      </c>
      <c r="C118" s="4" t="s">
        <v>414</v>
      </c>
      <c r="D118" s="3" t="s">
        <v>13</v>
      </c>
      <c r="E118" s="3" t="s">
        <v>14</v>
      </c>
      <c r="F118" s="5"/>
      <c r="G118" s="5"/>
      <c r="H118" s="5">
        <v>32000.0</v>
      </c>
      <c r="I118" s="6"/>
      <c r="J118" s="3" t="s">
        <v>415</v>
      </c>
    </row>
    <row r="119" ht="15.75" customHeight="1">
      <c r="A119" s="3" t="s">
        <v>416</v>
      </c>
      <c r="B119" s="4" t="s">
        <v>417</v>
      </c>
      <c r="C119" s="4" t="s">
        <v>418</v>
      </c>
      <c r="D119" s="3" t="s">
        <v>13</v>
      </c>
      <c r="E119" s="3" t="s">
        <v>14</v>
      </c>
      <c r="F119" s="5"/>
      <c r="G119" s="5"/>
      <c r="H119" s="5"/>
      <c r="I119" s="6"/>
      <c r="J119" s="6"/>
    </row>
    <row r="120" ht="15.75" customHeight="1">
      <c r="A120" s="3" t="s">
        <v>419</v>
      </c>
      <c r="B120" s="4" t="s">
        <v>420</v>
      </c>
      <c r="C120" s="4" t="s">
        <v>421</v>
      </c>
      <c r="D120" s="3" t="s">
        <v>13</v>
      </c>
      <c r="E120" s="3" t="s">
        <v>167</v>
      </c>
      <c r="F120" s="5"/>
      <c r="G120" s="5"/>
      <c r="H120" s="5"/>
      <c r="I120" s="6"/>
      <c r="J120" s="3" t="s">
        <v>422</v>
      </c>
    </row>
    <row r="121" ht="15.75" customHeight="1">
      <c r="A121" s="3" t="s">
        <v>423</v>
      </c>
      <c r="B121" s="4" t="s">
        <v>424</v>
      </c>
      <c r="C121" s="4" t="s">
        <v>425</v>
      </c>
      <c r="D121" s="3" t="s">
        <v>13</v>
      </c>
      <c r="E121" s="3" t="s">
        <v>167</v>
      </c>
      <c r="F121" s="5"/>
      <c r="G121" s="5"/>
      <c r="H121" s="5"/>
      <c r="I121" s="6"/>
      <c r="J121" s="6"/>
    </row>
    <row r="122" ht="15.75" customHeight="1">
      <c r="A122" s="3" t="s">
        <v>426</v>
      </c>
      <c r="B122" s="4" t="s">
        <v>427</v>
      </c>
      <c r="C122" s="4" t="s">
        <v>428</v>
      </c>
      <c r="D122" s="3" t="s">
        <v>13</v>
      </c>
      <c r="E122" s="3" t="s">
        <v>167</v>
      </c>
      <c r="F122" s="5"/>
      <c r="G122" s="5"/>
      <c r="H122" s="5"/>
      <c r="I122" s="6"/>
      <c r="J122" s="3" t="s">
        <v>429</v>
      </c>
    </row>
    <row r="123" ht="15.75" customHeight="1">
      <c r="A123" s="3" t="s">
        <v>430</v>
      </c>
      <c r="B123" s="4" t="s">
        <v>431</v>
      </c>
      <c r="C123" s="4" t="s">
        <v>432</v>
      </c>
      <c r="D123" s="3" t="s">
        <v>13</v>
      </c>
      <c r="E123" s="3" t="s">
        <v>167</v>
      </c>
      <c r="F123" s="5"/>
      <c r="G123" s="5"/>
      <c r="H123" s="5"/>
      <c r="I123" s="6"/>
      <c r="J123" s="6"/>
    </row>
    <row r="124" ht="15.75" customHeight="1">
      <c r="A124" s="3" t="s">
        <v>433</v>
      </c>
      <c r="B124" s="4" t="s">
        <v>434</v>
      </c>
      <c r="C124" s="4" t="s">
        <v>435</v>
      </c>
      <c r="D124" s="3" t="s">
        <v>13</v>
      </c>
      <c r="E124" s="3" t="s">
        <v>167</v>
      </c>
      <c r="F124" s="5"/>
      <c r="G124" s="5"/>
      <c r="H124" s="5"/>
      <c r="I124" s="6"/>
      <c r="J124" s="3" t="s">
        <v>436</v>
      </c>
    </row>
    <row r="125" ht="15.75" customHeight="1">
      <c r="A125" s="3" t="s">
        <v>437</v>
      </c>
      <c r="B125" s="4" t="s">
        <v>438</v>
      </c>
      <c r="C125" s="4" t="s">
        <v>439</v>
      </c>
      <c r="D125" s="3" t="s">
        <v>13</v>
      </c>
      <c r="E125" s="3" t="s">
        <v>440</v>
      </c>
      <c r="F125" s="5"/>
      <c r="G125" s="5"/>
      <c r="H125" s="5"/>
      <c r="I125" s="6"/>
      <c r="J125" s="3" t="s">
        <v>441</v>
      </c>
    </row>
    <row r="126" ht="15.75" customHeight="1">
      <c r="A126" s="3" t="s">
        <v>442</v>
      </c>
      <c r="B126" s="4" t="s">
        <v>443</v>
      </c>
      <c r="C126" s="4" t="s">
        <v>444</v>
      </c>
      <c r="D126" s="3" t="s">
        <v>13</v>
      </c>
      <c r="E126" s="3" t="s">
        <v>14</v>
      </c>
      <c r="F126" s="5"/>
      <c r="G126" s="5"/>
      <c r="H126" s="5"/>
      <c r="I126" s="6"/>
      <c r="J126" s="6"/>
    </row>
    <row r="127" ht="15.75" customHeight="1">
      <c r="A127" s="3" t="s">
        <v>445</v>
      </c>
      <c r="B127" s="4" t="s">
        <v>446</v>
      </c>
      <c r="C127" s="4" t="s">
        <v>447</v>
      </c>
      <c r="D127" s="3" t="s">
        <v>13</v>
      </c>
      <c r="E127" s="3" t="s">
        <v>14</v>
      </c>
      <c r="F127" s="5"/>
      <c r="G127" s="5"/>
      <c r="H127" s="5"/>
      <c r="I127" s="6"/>
      <c r="J127" s="6"/>
    </row>
    <row r="128" ht="15.75" customHeight="1">
      <c r="A128" s="3" t="s">
        <v>448</v>
      </c>
      <c r="B128" s="4" t="s">
        <v>449</v>
      </c>
      <c r="C128" s="4" t="s">
        <v>450</v>
      </c>
      <c r="D128" s="3" t="s">
        <v>13</v>
      </c>
      <c r="E128" s="3" t="s">
        <v>14</v>
      </c>
      <c r="F128" s="5"/>
      <c r="G128" s="5"/>
      <c r="H128" s="5"/>
      <c r="I128" s="6"/>
      <c r="J128" s="3" t="s">
        <v>451</v>
      </c>
    </row>
    <row r="129" ht="15.75" customHeight="1">
      <c r="A129" s="3" t="s">
        <v>452</v>
      </c>
      <c r="B129" s="4" t="s">
        <v>453</v>
      </c>
      <c r="C129" s="4" t="s">
        <v>454</v>
      </c>
      <c r="D129" s="3" t="s">
        <v>13</v>
      </c>
      <c r="E129" s="3" t="s">
        <v>14</v>
      </c>
      <c r="F129" s="5"/>
      <c r="G129" s="5"/>
      <c r="H129" s="5"/>
      <c r="I129" s="6"/>
      <c r="J129" s="6"/>
    </row>
    <row r="130" ht="15.75" customHeight="1">
      <c r="A130" s="3" t="s">
        <v>455</v>
      </c>
      <c r="B130" s="4" t="s">
        <v>456</v>
      </c>
      <c r="C130" s="4" t="s">
        <v>457</v>
      </c>
      <c r="D130" s="3" t="s">
        <v>13</v>
      </c>
      <c r="E130" s="3" t="s">
        <v>167</v>
      </c>
      <c r="F130" s="5"/>
      <c r="G130" s="5"/>
      <c r="H130" s="5"/>
      <c r="I130" s="6"/>
      <c r="J130" s="6"/>
    </row>
    <row r="131" ht="15.75" customHeight="1">
      <c r="A131" s="3" t="s">
        <v>458</v>
      </c>
      <c r="B131" s="4" t="s">
        <v>459</v>
      </c>
      <c r="C131" s="4" t="s">
        <v>460</v>
      </c>
      <c r="D131" s="3" t="s">
        <v>13</v>
      </c>
      <c r="E131" s="3" t="s">
        <v>167</v>
      </c>
      <c r="F131" s="5"/>
      <c r="G131" s="5"/>
      <c r="H131" s="5"/>
      <c r="I131" s="6"/>
      <c r="J131" s="6"/>
    </row>
    <row r="132" ht="15.75" customHeight="1">
      <c r="A132" s="3" t="s">
        <v>461</v>
      </c>
      <c r="B132" s="4" t="s">
        <v>462</v>
      </c>
      <c r="C132" s="4" t="s">
        <v>463</v>
      </c>
      <c r="D132" s="3" t="s">
        <v>13</v>
      </c>
      <c r="E132" s="3" t="s">
        <v>167</v>
      </c>
      <c r="F132" s="5"/>
      <c r="G132" s="5"/>
      <c r="H132" s="5"/>
      <c r="I132" s="6"/>
      <c r="J132" s="6"/>
    </row>
    <row r="133" ht="15.75" customHeight="1">
      <c r="A133" s="3" t="s">
        <v>464</v>
      </c>
      <c r="B133" s="4" t="s">
        <v>465</v>
      </c>
      <c r="C133" s="4" t="s">
        <v>466</v>
      </c>
      <c r="D133" s="3" t="s">
        <v>13</v>
      </c>
      <c r="E133" s="3" t="s">
        <v>167</v>
      </c>
      <c r="F133" s="5"/>
      <c r="G133" s="5"/>
      <c r="H133" s="5"/>
      <c r="I133" s="6"/>
      <c r="J133" s="6"/>
    </row>
    <row r="134" ht="15.75" customHeight="1">
      <c r="A134" s="3" t="s">
        <v>467</v>
      </c>
      <c r="B134" s="4" t="s">
        <v>468</v>
      </c>
      <c r="C134" s="4" t="s">
        <v>469</v>
      </c>
      <c r="D134" s="3" t="s">
        <v>13</v>
      </c>
      <c r="E134" s="3" t="s">
        <v>167</v>
      </c>
      <c r="F134" s="5"/>
      <c r="G134" s="5"/>
      <c r="H134" s="5"/>
      <c r="I134" s="6"/>
      <c r="J134" s="6"/>
    </row>
    <row r="135" ht="15.75" customHeight="1">
      <c r="A135" s="3" t="s">
        <v>470</v>
      </c>
      <c r="B135" s="4" t="s">
        <v>471</v>
      </c>
      <c r="C135" s="4" t="s">
        <v>472</v>
      </c>
      <c r="D135" s="3" t="s">
        <v>13</v>
      </c>
      <c r="E135" s="3" t="s">
        <v>167</v>
      </c>
      <c r="F135" s="5"/>
      <c r="G135" s="5"/>
      <c r="H135" s="5"/>
      <c r="I135" s="6"/>
      <c r="J135" s="6"/>
    </row>
    <row r="136" ht="15.75" customHeight="1">
      <c r="A136" s="3" t="s">
        <v>473</v>
      </c>
      <c r="B136" s="4" t="s">
        <v>474</v>
      </c>
      <c r="C136" s="4" t="s">
        <v>475</v>
      </c>
      <c r="D136" s="3" t="s">
        <v>13</v>
      </c>
      <c r="E136" s="3" t="s">
        <v>14</v>
      </c>
      <c r="F136" s="5"/>
      <c r="G136" s="5"/>
      <c r="H136" s="5"/>
      <c r="I136" s="6"/>
      <c r="J136" s="6"/>
    </row>
    <row r="137" ht="15.75" customHeight="1">
      <c r="A137" s="3" t="s">
        <v>476</v>
      </c>
      <c r="B137" s="4" t="s">
        <v>477</v>
      </c>
      <c r="C137" s="4" t="s">
        <v>478</v>
      </c>
      <c r="D137" s="3" t="s">
        <v>13</v>
      </c>
      <c r="E137" s="3" t="s">
        <v>14</v>
      </c>
      <c r="F137" s="5"/>
      <c r="G137" s="5"/>
      <c r="H137" s="5"/>
      <c r="I137" s="6"/>
      <c r="J137" s="6"/>
    </row>
    <row r="138" ht="15.75" customHeight="1">
      <c r="A138" s="3" t="s">
        <v>479</v>
      </c>
      <c r="B138" s="4" t="s">
        <v>480</v>
      </c>
      <c r="C138" s="4" t="s">
        <v>481</v>
      </c>
      <c r="D138" s="3" t="s">
        <v>13</v>
      </c>
      <c r="E138" s="3" t="s">
        <v>39</v>
      </c>
      <c r="F138" s="5"/>
      <c r="G138" s="5"/>
      <c r="H138" s="5">
        <v>6000.0</v>
      </c>
      <c r="I138" s="6"/>
      <c r="J138" s="3" t="s">
        <v>482</v>
      </c>
    </row>
    <row r="139" ht="15.75" customHeight="1">
      <c r="A139" s="3" t="s">
        <v>483</v>
      </c>
      <c r="B139" s="4" t="s">
        <v>484</v>
      </c>
      <c r="C139" s="4" t="s">
        <v>485</v>
      </c>
      <c r="D139" s="3" t="s">
        <v>13</v>
      </c>
      <c r="E139" s="3" t="s">
        <v>14</v>
      </c>
      <c r="F139" s="5"/>
      <c r="G139" s="5"/>
      <c r="H139" s="5"/>
      <c r="I139" s="6"/>
      <c r="J139" s="6"/>
    </row>
    <row r="140" ht="15.75" customHeight="1">
      <c r="A140" s="3" t="s">
        <v>486</v>
      </c>
      <c r="B140" s="4" t="s">
        <v>487</v>
      </c>
      <c r="C140" s="4" t="s">
        <v>488</v>
      </c>
      <c r="D140" s="3" t="s">
        <v>13</v>
      </c>
      <c r="E140" s="3" t="s">
        <v>14</v>
      </c>
      <c r="F140" s="5"/>
      <c r="G140" s="5"/>
      <c r="H140" s="5">
        <v>1000000.0</v>
      </c>
      <c r="I140" s="6"/>
      <c r="J140" s="3" t="s">
        <v>489</v>
      </c>
    </row>
    <row r="141" ht="15.75" customHeight="1">
      <c r="A141" s="3" t="s">
        <v>490</v>
      </c>
      <c r="B141" s="4" t="s">
        <v>491</v>
      </c>
      <c r="C141" s="4" t="s">
        <v>492</v>
      </c>
      <c r="D141" s="3" t="s">
        <v>13</v>
      </c>
      <c r="E141" s="3" t="s">
        <v>14</v>
      </c>
      <c r="F141" s="5"/>
      <c r="G141" s="5"/>
      <c r="H141" s="5">
        <v>400000.0</v>
      </c>
      <c r="I141" s="6"/>
      <c r="J141" s="3" t="s">
        <v>493</v>
      </c>
    </row>
    <row r="142" ht="15.75" customHeight="1">
      <c r="A142" s="3" t="s">
        <v>494</v>
      </c>
      <c r="B142" s="4" t="s">
        <v>495</v>
      </c>
      <c r="C142" s="4" t="s">
        <v>496</v>
      </c>
      <c r="D142" s="3" t="s">
        <v>13</v>
      </c>
      <c r="E142" s="3" t="s">
        <v>14</v>
      </c>
      <c r="F142" s="5"/>
      <c r="G142" s="5"/>
      <c r="H142" s="5">
        <v>200000.0</v>
      </c>
      <c r="I142" s="6"/>
      <c r="J142" s="3" t="s">
        <v>497</v>
      </c>
    </row>
    <row r="143" ht="15.75" customHeight="1">
      <c r="A143" s="3" t="s">
        <v>498</v>
      </c>
      <c r="B143" s="4" t="s">
        <v>499</v>
      </c>
      <c r="C143" s="4" t="s">
        <v>500</v>
      </c>
      <c r="D143" s="3" t="s">
        <v>13</v>
      </c>
      <c r="E143" s="3" t="s">
        <v>14</v>
      </c>
      <c r="F143" s="5"/>
      <c r="G143" s="5"/>
      <c r="H143" s="5">
        <v>266666.67</v>
      </c>
      <c r="I143" s="6"/>
      <c r="J143" s="3" t="s">
        <v>501</v>
      </c>
    </row>
    <row r="144" ht="15.75" customHeight="1">
      <c r="A144" s="3" t="s">
        <v>502</v>
      </c>
      <c r="B144" s="4" t="s">
        <v>503</v>
      </c>
      <c r="C144" s="4" t="s">
        <v>504</v>
      </c>
      <c r="D144" s="3" t="s">
        <v>13</v>
      </c>
      <c r="E144" s="3" t="s">
        <v>14</v>
      </c>
      <c r="F144" s="5"/>
      <c r="G144" s="5"/>
      <c r="H144" s="5">
        <v>266666.67</v>
      </c>
      <c r="I144" s="6"/>
      <c r="J144" s="3" t="s">
        <v>505</v>
      </c>
    </row>
    <row r="145" ht="15.75" customHeight="1">
      <c r="A145" s="3" t="s">
        <v>506</v>
      </c>
      <c r="B145" s="4" t="s">
        <v>507</v>
      </c>
      <c r="C145" s="4" t="s">
        <v>508</v>
      </c>
      <c r="D145" s="3" t="s">
        <v>13</v>
      </c>
      <c r="E145" s="3" t="s">
        <v>14</v>
      </c>
      <c r="F145" s="5"/>
      <c r="G145" s="5"/>
      <c r="H145" s="5">
        <v>400000.0</v>
      </c>
      <c r="I145" s="6"/>
      <c r="J145" s="3" t="s">
        <v>509</v>
      </c>
    </row>
    <row r="146" ht="15.75" customHeight="1">
      <c r="A146" s="3" t="s">
        <v>510</v>
      </c>
      <c r="B146" s="4" t="s">
        <v>511</v>
      </c>
      <c r="C146" s="4" t="s">
        <v>512</v>
      </c>
      <c r="D146" s="3" t="s">
        <v>13</v>
      </c>
      <c r="E146" s="3" t="s">
        <v>14</v>
      </c>
      <c r="F146" s="5"/>
      <c r="G146" s="5"/>
      <c r="H146" s="5">
        <v>400000.0</v>
      </c>
      <c r="I146" s="6"/>
      <c r="J146" s="3" t="s">
        <v>509</v>
      </c>
    </row>
    <row r="147" ht="15.75" customHeight="1">
      <c r="A147" s="3" t="s">
        <v>513</v>
      </c>
      <c r="B147" s="4" t="s">
        <v>514</v>
      </c>
      <c r="C147" s="4" t="s">
        <v>515</v>
      </c>
      <c r="D147" s="3" t="s">
        <v>13</v>
      </c>
      <c r="E147" s="3" t="s">
        <v>14</v>
      </c>
      <c r="F147" s="5"/>
      <c r="G147" s="5"/>
      <c r="H147" s="5"/>
      <c r="I147" s="6"/>
      <c r="J147" s="3" t="s">
        <v>516</v>
      </c>
    </row>
    <row r="148" ht="15.75" customHeight="1">
      <c r="A148" s="3" t="s">
        <v>517</v>
      </c>
      <c r="B148" s="4" t="s">
        <v>518</v>
      </c>
      <c r="C148" s="4" t="s">
        <v>519</v>
      </c>
      <c r="D148" s="3" t="s">
        <v>13</v>
      </c>
      <c r="E148" s="3" t="s">
        <v>14</v>
      </c>
      <c r="F148" s="5"/>
      <c r="G148" s="5"/>
      <c r="H148" s="5"/>
      <c r="I148" s="6"/>
      <c r="J148" s="6"/>
    </row>
    <row r="149" ht="15.75" customHeight="1">
      <c r="A149" s="3" t="s">
        <v>520</v>
      </c>
      <c r="B149" s="4" t="s">
        <v>521</v>
      </c>
      <c r="C149" s="4" t="s">
        <v>522</v>
      </c>
      <c r="D149" s="3" t="s">
        <v>13</v>
      </c>
      <c r="E149" s="3" t="s">
        <v>14</v>
      </c>
      <c r="F149" s="5"/>
      <c r="G149" s="5"/>
      <c r="H149" s="5"/>
      <c r="I149" s="6"/>
      <c r="J149" s="6"/>
    </row>
    <row r="150" ht="15.75" customHeight="1">
      <c r="A150" s="3" t="s">
        <v>523</v>
      </c>
      <c r="B150" s="4" t="s">
        <v>524</v>
      </c>
      <c r="C150" s="4" t="s">
        <v>525</v>
      </c>
      <c r="D150" s="3" t="s">
        <v>13</v>
      </c>
      <c r="E150" s="3" t="s">
        <v>14</v>
      </c>
      <c r="F150" s="5"/>
      <c r="G150" s="5"/>
      <c r="H150" s="5"/>
      <c r="I150" s="6"/>
      <c r="J150" s="6"/>
    </row>
    <row r="151" ht="15.75" customHeight="1">
      <c r="A151" s="3" t="s">
        <v>526</v>
      </c>
      <c r="B151" s="4" t="s">
        <v>527</v>
      </c>
      <c r="C151" s="4" t="s">
        <v>528</v>
      </c>
      <c r="D151" s="3" t="s">
        <v>13</v>
      </c>
      <c r="E151" s="3" t="s">
        <v>14</v>
      </c>
      <c r="F151" s="5"/>
      <c r="G151" s="5"/>
      <c r="H151" s="5"/>
      <c r="I151" s="6"/>
      <c r="J151" s="6"/>
    </row>
    <row r="152" ht="15.75" customHeight="1">
      <c r="A152" s="3" t="s">
        <v>529</v>
      </c>
      <c r="B152" s="4" t="s">
        <v>530</v>
      </c>
      <c r="C152" s="4" t="s">
        <v>531</v>
      </c>
      <c r="D152" s="3" t="s">
        <v>13</v>
      </c>
      <c r="E152" s="3" t="s">
        <v>14</v>
      </c>
      <c r="F152" s="5"/>
      <c r="G152" s="5"/>
      <c r="H152" s="5"/>
      <c r="I152" s="6"/>
      <c r="J152" s="6"/>
    </row>
    <row r="153" ht="15.75" customHeight="1">
      <c r="A153" s="3" t="s">
        <v>532</v>
      </c>
      <c r="B153" s="4" t="s">
        <v>533</v>
      </c>
      <c r="C153" s="4" t="s">
        <v>534</v>
      </c>
      <c r="D153" s="3" t="s">
        <v>13</v>
      </c>
      <c r="E153" s="3" t="s">
        <v>14</v>
      </c>
      <c r="F153" s="5"/>
      <c r="G153" s="5"/>
      <c r="H153" s="5"/>
      <c r="I153" s="6"/>
      <c r="J153" s="6"/>
    </row>
    <row r="154" ht="15.75" customHeight="1">
      <c r="A154" s="3" t="s">
        <v>535</v>
      </c>
      <c r="B154" s="4" t="s">
        <v>536</v>
      </c>
      <c r="C154" s="4" t="s">
        <v>537</v>
      </c>
      <c r="D154" s="3" t="s">
        <v>13</v>
      </c>
      <c r="E154" s="3" t="s">
        <v>370</v>
      </c>
      <c r="F154" s="5"/>
      <c r="G154" s="5"/>
      <c r="H154" s="5"/>
      <c r="I154" s="6"/>
      <c r="J154" s="6"/>
    </row>
    <row r="155" ht="15.75" customHeight="1">
      <c r="A155" s="3" t="s">
        <v>538</v>
      </c>
      <c r="B155" s="4" t="s">
        <v>539</v>
      </c>
      <c r="C155" s="4" t="s">
        <v>540</v>
      </c>
      <c r="D155" s="3" t="s">
        <v>13</v>
      </c>
      <c r="E155" s="3" t="s">
        <v>370</v>
      </c>
      <c r="F155" s="5"/>
      <c r="G155" s="5"/>
      <c r="H155" s="5"/>
      <c r="I155" s="6"/>
      <c r="J155" s="6"/>
    </row>
    <row r="156" ht="15.75" customHeight="1">
      <c r="A156" s="3" t="s">
        <v>541</v>
      </c>
      <c r="B156" s="4" t="s">
        <v>542</v>
      </c>
      <c r="C156" s="4" t="s">
        <v>543</v>
      </c>
      <c r="D156" s="3" t="s">
        <v>13</v>
      </c>
      <c r="E156" s="3" t="s">
        <v>370</v>
      </c>
      <c r="F156" s="5"/>
      <c r="G156" s="5"/>
      <c r="H156" s="5"/>
      <c r="I156" s="6"/>
      <c r="J156" s="6"/>
    </row>
    <row r="157" ht="15.75" customHeight="1">
      <c r="A157" s="3" t="s">
        <v>544</v>
      </c>
      <c r="B157" s="4" t="s">
        <v>545</v>
      </c>
      <c r="C157" s="4" t="s">
        <v>546</v>
      </c>
      <c r="D157" s="3" t="s">
        <v>13</v>
      </c>
      <c r="E157" s="3" t="s">
        <v>14</v>
      </c>
      <c r="F157" s="5"/>
      <c r="G157" s="5"/>
      <c r="H157" s="5"/>
      <c r="I157" s="6"/>
      <c r="J157" s="6"/>
    </row>
    <row r="158" ht="15.75" customHeight="1">
      <c r="A158" s="3" t="s">
        <v>547</v>
      </c>
      <c r="B158" s="4" t="s">
        <v>548</v>
      </c>
      <c r="C158" s="4" t="s">
        <v>549</v>
      </c>
      <c r="D158" s="3" t="s">
        <v>13</v>
      </c>
      <c r="E158" s="3" t="s">
        <v>14</v>
      </c>
      <c r="F158" s="5"/>
      <c r="G158" s="5"/>
      <c r="H158" s="5"/>
      <c r="I158" s="6"/>
      <c r="J158" s="6"/>
    </row>
    <row r="159" ht="15.75" customHeight="1">
      <c r="A159" s="3" t="s">
        <v>550</v>
      </c>
      <c r="B159" s="4" t="s">
        <v>551</v>
      </c>
      <c r="C159" s="4" t="s">
        <v>552</v>
      </c>
      <c r="D159" s="3" t="s">
        <v>13</v>
      </c>
      <c r="E159" s="3" t="s">
        <v>14</v>
      </c>
      <c r="F159" s="5"/>
      <c r="G159" s="5"/>
      <c r="H159" s="5"/>
      <c r="I159" s="6"/>
      <c r="J159" s="6"/>
    </row>
    <row r="160" ht="15.75" customHeight="1">
      <c r="A160" s="3" t="s">
        <v>553</v>
      </c>
      <c r="B160" s="4" t="s">
        <v>554</v>
      </c>
      <c r="C160" s="4" t="s">
        <v>555</v>
      </c>
      <c r="D160" s="3" t="s">
        <v>13</v>
      </c>
      <c r="E160" s="3" t="s">
        <v>14</v>
      </c>
      <c r="F160" s="5"/>
      <c r="G160" s="5"/>
      <c r="H160" s="5"/>
      <c r="I160" s="6"/>
      <c r="J160" s="6"/>
    </row>
    <row r="161" ht="15.75" customHeight="1">
      <c r="A161" s="3" t="s">
        <v>556</v>
      </c>
      <c r="B161" s="4" t="s">
        <v>557</v>
      </c>
      <c r="C161" s="4" t="s">
        <v>558</v>
      </c>
      <c r="D161" s="3" t="s">
        <v>13</v>
      </c>
      <c r="E161" s="3" t="s">
        <v>14</v>
      </c>
      <c r="F161" s="5"/>
      <c r="G161" s="5"/>
      <c r="H161" s="5"/>
      <c r="I161" s="6"/>
      <c r="J161" s="6"/>
    </row>
    <row r="162" ht="15.75" customHeight="1">
      <c r="A162" s="3" t="s">
        <v>559</v>
      </c>
      <c r="B162" s="4" t="s">
        <v>560</v>
      </c>
      <c r="C162" s="4" t="s">
        <v>561</v>
      </c>
      <c r="D162" s="3" t="s">
        <v>13</v>
      </c>
      <c r="E162" s="3" t="s">
        <v>14</v>
      </c>
      <c r="F162" s="5"/>
      <c r="G162" s="5"/>
      <c r="H162" s="5"/>
      <c r="I162" s="6"/>
      <c r="J162" s="6"/>
    </row>
    <row r="163" ht="15.75" customHeight="1">
      <c r="A163" s="3" t="s">
        <v>562</v>
      </c>
      <c r="B163" s="4" t="s">
        <v>563</v>
      </c>
      <c r="C163" s="4" t="s">
        <v>564</v>
      </c>
      <c r="D163" s="3" t="s">
        <v>13</v>
      </c>
      <c r="E163" s="3" t="s">
        <v>14</v>
      </c>
      <c r="F163" s="5"/>
      <c r="G163" s="5"/>
      <c r="H163" s="5"/>
      <c r="I163" s="6"/>
      <c r="J163" s="3" t="s">
        <v>565</v>
      </c>
    </row>
    <row r="164" ht="15.75" customHeight="1">
      <c r="A164" s="3" t="s">
        <v>566</v>
      </c>
      <c r="B164" s="4" t="s">
        <v>567</v>
      </c>
      <c r="C164" s="4" t="s">
        <v>568</v>
      </c>
      <c r="D164" s="3" t="s">
        <v>13</v>
      </c>
      <c r="E164" s="3" t="s">
        <v>14</v>
      </c>
      <c r="F164" s="5"/>
      <c r="G164" s="5"/>
      <c r="H164" s="5"/>
      <c r="I164" s="6"/>
      <c r="J164" s="6"/>
    </row>
    <row r="165" ht="15.75" customHeight="1">
      <c r="A165" s="3" t="s">
        <v>569</v>
      </c>
      <c r="B165" s="4" t="s">
        <v>570</v>
      </c>
      <c r="C165" s="4" t="s">
        <v>571</v>
      </c>
      <c r="D165" s="3" t="s">
        <v>13</v>
      </c>
      <c r="E165" s="3" t="s">
        <v>14</v>
      </c>
      <c r="F165" s="5"/>
      <c r="G165" s="5"/>
      <c r="H165" s="5"/>
      <c r="I165" s="6"/>
      <c r="J165" s="6"/>
    </row>
    <row r="166" ht="15.75" customHeight="1">
      <c r="A166" s="3" t="s">
        <v>572</v>
      </c>
      <c r="B166" s="4" t="s">
        <v>573</v>
      </c>
      <c r="C166" s="4" t="s">
        <v>574</v>
      </c>
      <c r="D166" s="3" t="s">
        <v>13</v>
      </c>
      <c r="E166" s="3" t="s">
        <v>14</v>
      </c>
      <c r="F166" s="5"/>
      <c r="G166" s="5"/>
      <c r="H166" s="5"/>
      <c r="I166" s="6"/>
      <c r="J166" s="3" t="s">
        <v>575</v>
      </c>
    </row>
    <row r="167" ht="15.75" customHeight="1">
      <c r="A167" s="3" t="s">
        <v>576</v>
      </c>
      <c r="B167" s="4" t="s">
        <v>577</v>
      </c>
      <c r="C167" s="4" t="s">
        <v>578</v>
      </c>
      <c r="D167" s="3" t="s">
        <v>13</v>
      </c>
      <c r="E167" s="3" t="s">
        <v>14</v>
      </c>
      <c r="F167" s="5"/>
      <c r="G167" s="5"/>
      <c r="H167" s="5"/>
      <c r="I167" s="6"/>
      <c r="J167" s="6"/>
    </row>
    <row r="168" ht="15.75" customHeight="1">
      <c r="A168" s="3" t="s">
        <v>579</v>
      </c>
      <c r="B168" s="4" t="s">
        <v>580</v>
      </c>
      <c r="C168" s="4" t="s">
        <v>581</v>
      </c>
      <c r="D168" s="3" t="s">
        <v>13</v>
      </c>
      <c r="E168" s="3" t="s">
        <v>14</v>
      </c>
      <c r="F168" s="5"/>
      <c r="G168" s="5"/>
      <c r="H168" s="5"/>
      <c r="I168" s="6"/>
      <c r="J168" s="6"/>
    </row>
    <row r="169" ht="15.75" customHeight="1">
      <c r="A169" s="3" t="s">
        <v>582</v>
      </c>
      <c r="B169" s="4" t="s">
        <v>583</v>
      </c>
      <c r="C169" s="4" t="s">
        <v>584</v>
      </c>
      <c r="D169" s="3" t="s">
        <v>13</v>
      </c>
      <c r="E169" s="3" t="s">
        <v>14</v>
      </c>
      <c r="F169" s="5"/>
      <c r="G169" s="5"/>
      <c r="H169" s="5"/>
      <c r="I169" s="6"/>
      <c r="J169" s="6"/>
    </row>
    <row r="170" ht="15.75" customHeight="1">
      <c r="A170" s="3" t="s">
        <v>585</v>
      </c>
      <c r="B170" s="4" t="s">
        <v>586</v>
      </c>
      <c r="C170" s="4" t="s">
        <v>587</v>
      </c>
      <c r="D170" s="3" t="s">
        <v>216</v>
      </c>
      <c r="E170" s="3" t="s">
        <v>14</v>
      </c>
      <c r="F170" s="5"/>
      <c r="G170" s="5"/>
      <c r="H170" s="5"/>
      <c r="I170" s="6"/>
      <c r="J170" s="6"/>
    </row>
    <row r="171" ht="15.75" customHeight="1">
      <c r="A171" s="3" t="s">
        <v>588</v>
      </c>
      <c r="B171" s="4" t="s">
        <v>589</v>
      </c>
      <c r="C171" s="4" t="s">
        <v>590</v>
      </c>
      <c r="D171" s="3" t="s">
        <v>216</v>
      </c>
      <c r="E171" s="3" t="s">
        <v>14</v>
      </c>
      <c r="F171" s="5"/>
      <c r="G171" s="5"/>
      <c r="H171" s="5"/>
      <c r="I171" s="6"/>
      <c r="J171" s="3" t="s">
        <v>591</v>
      </c>
    </row>
    <row r="172" ht="15.75" customHeight="1">
      <c r="A172" s="3" t="s">
        <v>592</v>
      </c>
      <c r="B172" s="4" t="s">
        <v>593</v>
      </c>
      <c r="C172" s="4" t="s">
        <v>594</v>
      </c>
      <c r="D172" s="3" t="s">
        <v>216</v>
      </c>
      <c r="E172" s="3" t="s">
        <v>14</v>
      </c>
      <c r="F172" s="5"/>
      <c r="G172" s="5"/>
      <c r="H172" s="5"/>
      <c r="I172" s="6"/>
      <c r="J172" s="6"/>
    </row>
    <row r="173" ht="15.75" customHeight="1">
      <c r="A173" s="3" t="s">
        <v>595</v>
      </c>
      <c r="B173" s="4" t="s">
        <v>596</v>
      </c>
      <c r="C173" s="4" t="s">
        <v>597</v>
      </c>
      <c r="D173" s="3" t="s">
        <v>216</v>
      </c>
      <c r="E173" s="3" t="s">
        <v>14</v>
      </c>
      <c r="F173" s="5"/>
      <c r="G173" s="5"/>
      <c r="H173" s="5"/>
      <c r="I173" s="6"/>
      <c r="J173" s="6"/>
    </row>
    <row r="174" ht="15.75" customHeight="1">
      <c r="A174" s="3" t="s">
        <v>598</v>
      </c>
      <c r="B174" s="4" t="s">
        <v>599</v>
      </c>
      <c r="C174" s="4" t="s">
        <v>600</v>
      </c>
      <c r="D174" s="3" t="s">
        <v>216</v>
      </c>
      <c r="E174" s="3" t="s">
        <v>14</v>
      </c>
      <c r="F174" s="5"/>
      <c r="G174" s="5"/>
      <c r="H174" s="5">
        <v>250000.0</v>
      </c>
      <c r="I174" s="6"/>
      <c r="J174" s="3" t="s">
        <v>601</v>
      </c>
    </row>
    <row r="175" ht="15.75" customHeight="1">
      <c r="A175" s="3" t="s">
        <v>602</v>
      </c>
      <c r="B175" s="4" t="s">
        <v>603</v>
      </c>
      <c r="C175" s="4" t="s">
        <v>604</v>
      </c>
      <c r="D175" s="3" t="s">
        <v>216</v>
      </c>
      <c r="E175" s="3" t="s">
        <v>605</v>
      </c>
      <c r="F175" s="5"/>
      <c r="G175" s="5"/>
      <c r="H175" s="5">
        <v>420.0</v>
      </c>
      <c r="I175" s="6"/>
      <c r="J175" s="3" t="s">
        <v>606</v>
      </c>
    </row>
    <row r="176" ht="15.75" customHeight="1">
      <c r="A176" s="3" t="s">
        <v>607</v>
      </c>
      <c r="B176" s="4" t="s">
        <v>608</v>
      </c>
      <c r="C176" s="4" t="s">
        <v>609</v>
      </c>
      <c r="D176" s="3" t="s">
        <v>216</v>
      </c>
      <c r="E176" s="3" t="s">
        <v>605</v>
      </c>
      <c r="F176" s="5"/>
      <c r="G176" s="5"/>
      <c r="H176" s="5">
        <v>585.0</v>
      </c>
      <c r="I176" s="6"/>
      <c r="J176" s="3" t="s">
        <v>610</v>
      </c>
    </row>
    <row r="177" ht="15.75" customHeight="1">
      <c r="A177" s="3" t="s">
        <v>611</v>
      </c>
      <c r="B177" s="4" t="s">
        <v>612</v>
      </c>
      <c r="C177" s="4" t="s">
        <v>613</v>
      </c>
      <c r="D177" s="3" t="s">
        <v>216</v>
      </c>
      <c r="E177" s="3" t="s">
        <v>605</v>
      </c>
      <c r="F177" s="5"/>
      <c r="G177" s="5"/>
      <c r="H177" s="5">
        <v>2000.0</v>
      </c>
      <c r="I177" s="6"/>
      <c r="J177" s="3" t="s">
        <v>614</v>
      </c>
    </row>
    <row r="178" ht="15.75" customHeight="1">
      <c r="A178" s="3" t="s">
        <v>615</v>
      </c>
      <c r="B178" s="4" t="s">
        <v>616</v>
      </c>
      <c r="C178" s="4" t="s">
        <v>617</v>
      </c>
      <c r="D178" s="3" t="s">
        <v>216</v>
      </c>
      <c r="E178" s="3" t="s">
        <v>605</v>
      </c>
      <c r="F178" s="5"/>
      <c r="G178" s="5"/>
      <c r="H178" s="5">
        <v>1325.0</v>
      </c>
      <c r="I178" s="6"/>
      <c r="J178" s="3" t="s">
        <v>618</v>
      </c>
    </row>
    <row r="179" ht="15.75" customHeight="1">
      <c r="A179" s="3" t="s">
        <v>619</v>
      </c>
      <c r="B179" s="4" t="s">
        <v>620</v>
      </c>
      <c r="C179" s="4" t="s">
        <v>621</v>
      </c>
      <c r="D179" s="3" t="s">
        <v>216</v>
      </c>
      <c r="E179" s="3" t="s">
        <v>14</v>
      </c>
      <c r="F179" s="5"/>
      <c r="G179" s="5"/>
      <c r="H179" s="5"/>
      <c r="I179" s="6"/>
      <c r="J179" s="6"/>
    </row>
    <row r="180" ht="15.75" customHeight="1">
      <c r="A180" s="3" t="s">
        <v>622</v>
      </c>
      <c r="B180" s="4" t="s">
        <v>623</v>
      </c>
      <c r="C180" s="4" t="s">
        <v>624</v>
      </c>
      <c r="D180" s="3" t="s">
        <v>216</v>
      </c>
      <c r="E180" s="3" t="s">
        <v>14</v>
      </c>
      <c r="F180" s="5"/>
      <c r="G180" s="5"/>
      <c r="H180" s="5"/>
      <c r="I180" s="6"/>
      <c r="J180" s="6"/>
    </row>
    <row r="181" ht="15.75" customHeight="1">
      <c r="A181" s="3" t="s">
        <v>625</v>
      </c>
      <c r="B181" s="4" t="s">
        <v>626</v>
      </c>
      <c r="C181" s="4" t="s">
        <v>627</v>
      </c>
      <c r="D181" s="3" t="s">
        <v>216</v>
      </c>
      <c r="E181" s="3" t="s">
        <v>14</v>
      </c>
      <c r="F181" s="5"/>
      <c r="G181" s="5"/>
      <c r="H181" s="5"/>
      <c r="I181" s="6"/>
      <c r="J181" s="6"/>
    </row>
    <row r="182" ht="15.75" customHeight="1">
      <c r="A182" s="3" t="s">
        <v>628</v>
      </c>
      <c r="B182" s="4" t="s">
        <v>629</v>
      </c>
      <c r="C182" s="4" t="s">
        <v>630</v>
      </c>
      <c r="D182" s="3" t="s">
        <v>216</v>
      </c>
      <c r="E182" s="3" t="s">
        <v>605</v>
      </c>
      <c r="F182" s="5"/>
      <c r="G182" s="5"/>
      <c r="H182" s="5">
        <v>4450.0</v>
      </c>
      <c r="I182" s="6"/>
      <c r="J182" s="3" t="s">
        <v>631</v>
      </c>
    </row>
    <row r="183" ht="15.75" customHeight="1">
      <c r="A183" s="3" t="s">
        <v>632</v>
      </c>
      <c r="B183" s="4" t="s">
        <v>633</v>
      </c>
      <c r="C183" s="4" t="s">
        <v>634</v>
      </c>
      <c r="D183" s="3" t="s">
        <v>216</v>
      </c>
      <c r="E183" s="3" t="s">
        <v>605</v>
      </c>
      <c r="F183" s="5"/>
      <c r="G183" s="5"/>
      <c r="H183" s="5">
        <v>3000.0</v>
      </c>
      <c r="I183" s="6"/>
      <c r="J183" s="3" t="s">
        <v>635</v>
      </c>
    </row>
    <row r="184" ht="15.75" customHeight="1">
      <c r="A184" s="3" t="s">
        <v>636</v>
      </c>
      <c r="B184" s="4" t="s">
        <v>637</v>
      </c>
      <c r="C184" s="4" t="s">
        <v>638</v>
      </c>
      <c r="D184" s="3" t="s">
        <v>216</v>
      </c>
      <c r="E184" s="3" t="s">
        <v>14</v>
      </c>
      <c r="F184" s="5"/>
      <c r="G184" s="5"/>
      <c r="H184" s="5"/>
      <c r="I184" s="6"/>
      <c r="J184" s="6"/>
    </row>
    <row r="185" ht="15.75" customHeight="1">
      <c r="A185" s="3" t="s">
        <v>639</v>
      </c>
      <c r="B185" s="4" t="s">
        <v>640</v>
      </c>
      <c r="C185" s="4" t="s">
        <v>641</v>
      </c>
      <c r="D185" s="3" t="s">
        <v>216</v>
      </c>
      <c r="E185" s="3" t="s">
        <v>167</v>
      </c>
      <c r="F185" s="5"/>
      <c r="G185" s="5"/>
      <c r="H185" s="5"/>
      <c r="I185" s="6"/>
      <c r="J185" s="6"/>
    </row>
    <row r="186" ht="15.75" customHeight="1">
      <c r="A186" s="3" t="s">
        <v>642</v>
      </c>
      <c r="B186" s="4" t="s">
        <v>643</v>
      </c>
      <c r="C186" s="4" t="s">
        <v>644</v>
      </c>
      <c r="D186" s="3" t="s">
        <v>216</v>
      </c>
      <c r="E186" s="3" t="s">
        <v>167</v>
      </c>
      <c r="F186" s="5"/>
      <c r="G186" s="5"/>
      <c r="H186" s="5"/>
      <c r="I186" s="6"/>
      <c r="J186" s="6"/>
    </row>
    <row r="187" ht="15.75" customHeight="1">
      <c r="A187" s="3" t="s">
        <v>645</v>
      </c>
      <c r="B187" s="4" t="s">
        <v>646</v>
      </c>
      <c r="C187" s="4" t="s">
        <v>647</v>
      </c>
      <c r="D187" s="3" t="s">
        <v>216</v>
      </c>
      <c r="E187" s="3" t="s">
        <v>167</v>
      </c>
      <c r="F187" s="5"/>
      <c r="G187" s="5"/>
      <c r="H187" s="5"/>
      <c r="I187" s="6"/>
      <c r="J187" s="6"/>
    </row>
    <row r="188" ht="15.75" customHeight="1">
      <c r="A188" s="3" t="s">
        <v>648</v>
      </c>
      <c r="B188" s="4" t="s">
        <v>649</v>
      </c>
      <c r="C188" s="4" t="s">
        <v>650</v>
      </c>
      <c r="D188" s="3" t="s">
        <v>216</v>
      </c>
      <c r="E188" s="3" t="s">
        <v>167</v>
      </c>
      <c r="F188" s="5"/>
      <c r="G188" s="5"/>
      <c r="H188" s="5"/>
      <c r="I188" s="6"/>
      <c r="J188" s="6"/>
    </row>
    <row r="189" ht="15.75" customHeight="1">
      <c r="A189" s="3" t="s">
        <v>651</v>
      </c>
      <c r="B189" s="4" t="s">
        <v>652</v>
      </c>
      <c r="C189" s="4" t="s">
        <v>653</v>
      </c>
      <c r="D189" s="3" t="s">
        <v>216</v>
      </c>
      <c r="E189" s="3" t="s">
        <v>654</v>
      </c>
      <c r="F189" s="5"/>
      <c r="G189" s="5"/>
      <c r="H189" s="5">
        <v>20000.0</v>
      </c>
      <c r="I189" s="6"/>
      <c r="J189" s="3" t="s">
        <v>655</v>
      </c>
    </row>
    <row r="190" ht="15.75" customHeight="1">
      <c r="A190" s="3" t="s">
        <v>656</v>
      </c>
      <c r="B190" s="4" t="s">
        <v>657</v>
      </c>
      <c r="C190" s="4" t="s">
        <v>658</v>
      </c>
      <c r="D190" s="3" t="s">
        <v>216</v>
      </c>
      <c r="E190" s="3" t="s">
        <v>654</v>
      </c>
      <c r="F190" s="5"/>
      <c r="G190" s="5"/>
      <c r="H190" s="5">
        <v>20000.0</v>
      </c>
      <c r="I190" s="6"/>
      <c r="J190" s="3" t="s">
        <v>655</v>
      </c>
    </row>
    <row r="191" ht="15.75" customHeight="1">
      <c r="A191" s="3" t="s">
        <v>659</v>
      </c>
      <c r="B191" s="4" t="s">
        <v>660</v>
      </c>
      <c r="C191" s="4" t="s">
        <v>661</v>
      </c>
      <c r="D191" s="3" t="s">
        <v>216</v>
      </c>
      <c r="E191" s="3" t="s">
        <v>654</v>
      </c>
      <c r="F191" s="5"/>
      <c r="G191" s="5"/>
      <c r="H191" s="5">
        <v>15000.0</v>
      </c>
      <c r="I191" s="6"/>
      <c r="J191" s="3" t="s">
        <v>662</v>
      </c>
    </row>
    <row r="192" ht="15.75" customHeight="1">
      <c r="A192" s="3" t="s">
        <v>663</v>
      </c>
      <c r="B192" s="4" t="s">
        <v>664</v>
      </c>
      <c r="C192" s="4" t="s">
        <v>665</v>
      </c>
      <c r="D192" s="3" t="s">
        <v>216</v>
      </c>
      <c r="E192" s="3" t="s">
        <v>97</v>
      </c>
      <c r="F192" s="5"/>
      <c r="G192" s="5"/>
      <c r="H192" s="5"/>
      <c r="I192" s="6"/>
      <c r="J192" s="6"/>
    </row>
    <row r="193" ht="15.75" customHeight="1">
      <c r="A193" s="3" t="s">
        <v>666</v>
      </c>
      <c r="B193" s="4" t="s">
        <v>667</v>
      </c>
      <c r="C193" s="4" t="s">
        <v>668</v>
      </c>
      <c r="D193" s="3" t="s">
        <v>216</v>
      </c>
      <c r="E193" s="3" t="s">
        <v>654</v>
      </c>
      <c r="F193" s="5"/>
      <c r="G193" s="5"/>
      <c r="H193" s="5"/>
      <c r="I193" s="6"/>
      <c r="J193" s="6"/>
    </row>
    <row r="194" ht="15.75" customHeight="1">
      <c r="A194" s="3" t="s">
        <v>669</v>
      </c>
      <c r="B194" s="4" t="s">
        <v>670</v>
      </c>
      <c r="C194" s="4" t="s">
        <v>671</v>
      </c>
      <c r="D194" s="3" t="s">
        <v>216</v>
      </c>
      <c r="E194" s="3" t="s">
        <v>654</v>
      </c>
      <c r="F194" s="5"/>
      <c r="G194" s="5"/>
      <c r="H194" s="5"/>
      <c r="I194" s="6"/>
      <c r="J194" s="6"/>
    </row>
    <row r="195" ht="15.75" customHeight="1">
      <c r="A195" s="3" t="s">
        <v>672</v>
      </c>
      <c r="B195" s="4" t="s">
        <v>673</v>
      </c>
      <c r="C195" s="4" t="s">
        <v>674</v>
      </c>
      <c r="D195" s="3" t="s">
        <v>216</v>
      </c>
      <c r="E195" s="3" t="s">
        <v>654</v>
      </c>
      <c r="F195" s="5"/>
      <c r="G195" s="5"/>
      <c r="H195" s="5"/>
      <c r="I195" s="6"/>
      <c r="J195" s="6"/>
    </row>
    <row r="196" ht="15.75" customHeight="1">
      <c r="A196" s="3" t="s">
        <v>675</v>
      </c>
      <c r="B196" s="4" t="s">
        <v>676</v>
      </c>
      <c r="C196" s="4" t="s">
        <v>677</v>
      </c>
      <c r="D196" s="3" t="s">
        <v>216</v>
      </c>
      <c r="E196" s="3" t="s">
        <v>654</v>
      </c>
      <c r="F196" s="5"/>
      <c r="G196" s="5"/>
      <c r="H196" s="5"/>
      <c r="I196" s="6"/>
      <c r="J196" s="6"/>
    </row>
    <row r="197" ht="15.75" customHeight="1">
      <c r="A197" s="3" t="s">
        <v>678</v>
      </c>
      <c r="B197" s="4" t="s">
        <v>679</v>
      </c>
      <c r="C197" s="4" t="s">
        <v>680</v>
      </c>
      <c r="D197" s="3" t="s">
        <v>216</v>
      </c>
      <c r="E197" s="3" t="s">
        <v>167</v>
      </c>
      <c r="F197" s="5"/>
      <c r="G197" s="5"/>
      <c r="H197" s="5">
        <v>15000.0</v>
      </c>
      <c r="I197" s="6"/>
      <c r="J197" s="3" t="s">
        <v>168</v>
      </c>
    </row>
    <row r="198" ht="15.75" customHeight="1">
      <c r="A198" s="3" t="s">
        <v>681</v>
      </c>
      <c r="B198" s="4" t="s">
        <v>682</v>
      </c>
      <c r="C198" s="4" t="s">
        <v>683</v>
      </c>
      <c r="D198" s="3" t="s">
        <v>216</v>
      </c>
      <c r="E198" s="3" t="s">
        <v>654</v>
      </c>
      <c r="F198" s="5"/>
      <c r="G198" s="5"/>
      <c r="H198" s="5">
        <v>20000.0</v>
      </c>
      <c r="I198" s="6"/>
      <c r="J198" s="3" t="s">
        <v>684</v>
      </c>
    </row>
    <row r="199" ht="15.75" customHeight="1">
      <c r="A199" s="3" t="s">
        <v>685</v>
      </c>
      <c r="B199" s="4" t="s">
        <v>686</v>
      </c>
      <c r="C199" s="4" t="s">
        <v>687</v>
      </c>
      <c r="D199" s="3" t="s">
        <v>216</v>
      </c>
      <c r="E199" s="3" t="s">
        <v>14</v>
      </c>
      <c r="F199" s="5"/>
      <c r="G199" s="5"/>
      <c r="H199" s="5">
        <v>4000.0</v>
      </c>
      <c r="I199" s="6"/>
      <c r="J199" s="3" t="s">
        <v>688</v>
      </c>
    </row>
    <row r="200" ht="15.75" customHeight="1">
      <c r="A200" s="3" t="s">
        <v>689</v>
      </c>
      <c r="B200" s="4" t="s">
        <v>690</v>
      </c>
      <c r="C200" s="4" t="s">
        <v>691</v>
      </c>
      <c r="D200" s="3" t="s">
        <v>216</v>
      </c>
      <c r="E200" s="3" t="s">
        <v>167</v>
      </c>
      <c r="F200" s="5"/>
      <c r="G200" s="5"/>
      <c r="H200" s="5">
        <v>52000.0</v>
      </c>
      <c r="I200" s="6"/>
      <c r="J200" s="3" t="s">
        <v>692</v>
      </c>
    </row>
    <row r="201" ht="15.75" customHeight="1">
      <c r="A201" s="3" t="s">
        <v>693</v>
      </c>
      <c r="B201" s="4" t="s">
        <v>694</v>
      </c>
      <c r="C201" s="4" t="s">
        <v>695</v>
      </c>
      <c r="D201" s="3" t="s">
        <v>216</v>
      </c>
      <c r="E201" s="3" t="s">
        <v>167</v>
      </c>
      <c r="F201" s="5"/>
      <c r="G201" s="5"/>
      <c r="H201" s="5">
        <v>50000.0</v>
      </c>
      <c r="I201" s="6"/>
      <c r="J201" s="3" t="s">
        <v>696</v>
      </c>
    </row>
    <row r="202" ht="15.75" customHeight="1">
      <c r="A202" s="3" t="s">
        <v>697</v>
      </c>
      <c r="B202" s="4" t="s">
        <v>698</v>
      </c>
      <c r="C202" s="4" t="s">
        <v>699</v>
      </c>
      <c r="D202" s="3" t="s">
        <v>216</v>
      </c>
      <c r="E202" s="3" t="s">
        <v>654</v>
      </c>
      <c r="F202" s="5"/>
      <c r="G202" s="5"/>
      <c r="H202" s="5">
        <v>40000.0</v>
      </c>
      <c r="I202" s="6"/>
      <c r="J202" s="3" t="s">
        <v>655</v>
      </c>
    </row>
    <row r="203" ht="15.75" customHeight="1">
      <c r="A203" s="3" t="s">
        <v>700</v>
      </c>
      <c r="B203" s="4" t="s">
        <v>701</v>
      </c>
      <c r="C203" s="4" t="s">
        <v>702</v>
      </c>
      <c r="D203" s="3" t="s">
        <v>216</v>
      </c>
      <c r="E203" s="3" t="s">
        <v>654</v>
      </c>
      <c r="F203" s="5"/>
      <c r="G203" s="5"/>
      <c r="H203" s="5">
        <v>35000.0</v>
      </c>
      <c r="I203" s="6"/>
      <c r="J203" s="3" t="s">
        <v>655</v>
      </c>
    </row>
    <row r="204" ht="15.75" customHeight="1">
      <c r="A204" s="3" t="s">
        <v>703</v>
      </c>
      <c r="B204" s="4" t="s">
        <v>704</v>
      </c>
      <c r="C204" s="4" t="s">
        <v>705</v>
      </c>
      <c r="D204" s="3" t="s">
        <v>216</v>
      </c>
      <c r="E204" s="3" t="s">
        <v>167</v>
      </c>
      <c r="F204" s="5"/>
      <c r="G204" s="5"/>
      <c r="H204" s="5"/>
      <c r="I204" s="6"/>
      <c r="J204" s="3" t="s">
        <v>706</v>
      </c>
    </row>
    <row r="205" ht="15.75" customHeight="1">
      <c r="A205" s="3" t="s">
        <v>707</v>
      </c>
      <c r="B205" s="4" t="s">
        <v>708</v>
      </c>
      <c r="C205" s="4" t="s">
        <v>709</v>
      </c>
      <c r="D205" s="3" t="s">
        <v>216</v>
      </c>
      <c r="E205" s="3" t="s">
        <v>167</v>
      </c>
      <c r="F205" s="5"/>
      <c r="G205" s="5"/>
      <c r="H205" s="5"/>
      <c r="I205" s="6"/>
      <c r="J205" s="6"/>
    </row>
    <row r="206" ht="15.75" customHeight="1">
      <c r="A206" s="3" t="s">
        <v>710</v>
      </c>
      <c r="B206" s="4" t="s">
        <v>711</v>
      </c>
      <c r="C206" s="4" t="s">
        <v>712</v>
      </c>
      <c r="D206" s="3" t="s">
        <v>216</v>
      </c>
      <c r="E206" s="3" t="s">
        <v>167</v>
      </c>
      <c r="F206" s="5"/>
      <c r="G206" s="5"/>
      <c r="H206" s="5"/>
      <c r="I206" s="6"/>
      <c r="J206" s="3" t="s">
        <v>713</v>
      </c>
    </row>
    <row r="207" ht="15.75" customHeight="1">
      <c r="A207" s="3" t="s">
        <v>714</v>
      </c>
      <c r="B207" s="4" t="s">
        <v>715</v>
      </c>
      <c r="C207" s="4" t="s">
        <v>716</v>
      </c>
      <c r="D207" s="3" t="s">
        <v>216</v>
      </c>
      <c r="E207" s="3" t="s">
        <v>167</v>
      </c>
      <c r="F207" s="5"/>
      <c r="G207" s="5"/>
      <c r="H207" s="5"/>
      <c r="I207" s="6"/>
      <c r="J207" s="6"/>
    </row>
    <row r="208" ht="15.75" customHeight="1">
      <c r="A208" s="3" t="s">
        <v>717</v>
      </c>
      <c r="B208" s="4" t="s">
        <v>718</v>
      </c>
      <c r="C208" s="4" t="s">
        <v>719</v>
      </c>
      <c r="D208" s="3" t="s">
        <v>216</v>
      </c>
      <c r="E208" s="3" t="s">
        <v>654</v>
      </c>
      <c r="F208" s="5"/>
      <c r="G208" s="5"/>
      <c r="H208" s="5"/>
      <c r="I208" s="6"/>
      <c r="J208" s="6"/>
    </row>
    <row r="209" ht="15.75" customHeight="1">
      <c r="A209" s="3" t="s">
        <v>720</v>
      </c>
      <c r="B209" s="4" t="s">
        <v>721</v>
      </c>
      <c r="C209" s="4" t="s">
        <v>722</v>
      </c>
      <c r="D209" s="3" t="s">
        <v>216</v>
      </c>
      <c r="E209" s="3" t="s">
        <v>654</v>
      </c>
      <c r="F209" s="5"/>
      <c r="G209" s="5"/>
      <c r="H209" s="5"/>
      <c r="I209" s="6"/>
      <c r="J209" s="6"/>
    </row>
    <row r="210" ht="15.75" customHeight="1">
      <c r="A210" s="3" t="s">
        <v>723</v>
      </c>
      <c r="B210" s="4" t="s">
        <v>724</v>
      </c>
      <c r="C210" s="4" t="s">
        <v>725</v>
      </c>
      <c r="D210" s="3" t="s">
        <v>13</v>
      </c>
      <c r="E210" s="3" t="s">
        <v>14</v>
      </c>
      <c r="F210" s="5"/>
      <c r="G210" s="5"/>
      <c r="H210" s="5"/>
      <c r="I210" s="6"/>
      <c r="J210" s="3" t="s">
        <v>726</v>
      </c>
    </row>
    <row r="211" ht="15.75" customHeight="1">
      <c r="A211" s="3" t="s">
        <v>727</v>
      </c>
      <c r="B211" s="4" t="s">
        <v>728</v>
      </c>
      <c r="C211" s="4" t="s">
        <v>729</v>
      </c>
      <c r="D211" s="3" t="s">
        <v>13</v>
      </c>
      <c r="E211" s="3" t="s">
        <v>14</v>
      </c>
      <c r="F211" s="5"/>
      <c r="G211" s="5"/>
      <c r="H211" s="5">
        <v>10000.0</v>
      </c>
      <c r="I211" s="6"/>
      <c r="J211" s="3" t="s">
        <v>48</v>
      </c>
    </row>
    <row r="212" ht="15.75" customHeight="1">
      <c r="A212" s="3" t="s">
        <v>730</v>
      </c>
      <c r="B212" s="4" t="s">
        <v>731</v>
      </c>
      <c r="C212" s="4" t="s">
        <v>732</v>
      </c>
      <c r="D212" s="3" t="s">
        <v>13</v>
      </c>
      <c r="E212" s="3" t="s">
        <v>14</v>
      </c>
      <c r="F212" s="5"/>
      <c r="G212" s="5"/>
      <c r="H212" s="5">
        <v>75000.0</v>
      </c>
      <c r="I212" s="6"/>
      <c r="J212" s="3" t="s">
        <v>733</v>
      </c>
    </row>
    <row r="213" ht="15.75" customHeight="1">
      <c r="A213" s="3" t="s">
        <v>734</v>
      </c>
      <c r="B213" s="4" t="s">
        <v>735</v>
      </c>
      <c r="C213" s="4" t="s">
        <v>736</v>
      </c>
      <c r="D213" s="3" t="s">
        <v>13</v>
      </c>
      <c r="E213" s="3" t="s">
        <v>14</v>
      </c>
      <c r="F213" s="5"/>
      <c r="G213" s="5"/>
      <c r="H213" s="5"/>
      <c r="I213" s="6"/>
      <c r="J213" s="6"/>
    </row>
    <row r="214" ht="15.75" customHeight="1">
      <c r="A214" s="3" t="s">
        <v>737</v>
      </c>
      <c r="B214" s="4" t="s">
        <v>738</v>
      </c>
      <c r="C214" s="4" t="s">
        <v>739</v>
      </c>
      <c r="D214" s="3" t="s">
        <v>13</v>
      </c>
      <c r="E214" s="3" t="s">
        <v>14</v>
      </c>
      <c r="F214" s="5"/>
      <c r="G214" s="5"/>
      <c r="H214" s="5">
        <v>50000.0</v>
      </c>
      <c r="I214" s="6"/>
      <c r="J214" s="3" t="s">
        <v>740</v>
      </c>
    </row>
    <row r="215" ht="15.75" customHeight="1">
      <c r="A215" s="3" t="s">
        <v>741</v>
      </c>
      <c r="B215" s="4" t="s">
        <v>742</v>
      </c>
      <c r="C215" s="4" t="s">
        <v>743</v>
      </c>
      <c r="D215" s="3" t="s">
        <v>13</v>
      </c>
      <c r="E215" s="3" t="s">
        <v>14</v>
      </c>
      <c r="F215" s="5"/>
      <c r="G215" s="5"/>
      <c r="H215" s="5">
        <v>50000.0</v>
      </c>
      <c r="I215" s="6"/>
      <c r="J215" s="3" t="s">
        <v>740</v>
      </c>
    </row>
    <row r="216" ht="15.75" customHeight="1">
      <c r="A216" s="3" t="s">
        <v>744</v>
      </c>
      <c r="B216" s="4" t="s">
        <v>745</v>
      </c>
      <c r="C216" s="4" t="s">
        <v>746</v>
      </c>
      <c r="D216" s="3" t="s">
        <v>216</v>
      </c>
      <c r="E216" s="3" t="s">
        <v>39</v>
      </c>
      <c r="F216" s="5"/>
      <c r="G216" s="5"/>
      <c r="H216" s="5"/>
      <c r="I216" s="6"/>
      <c r="J216" s="6"/>
    </row>
    <row r="217" ht="15.75" customHeight="1">
      <c r="A217" s="3" t="s">
        <v>747</v>
      </c>
      <c r="B217" s="4" t="s">
        <v>748</v>
      </c>
      <c r="C217" s="4" t="s">
        <v>749</v>
      </c>
      <c r="D217" s="3" t="s">
        <v>216</v>
      </c>
      <c r="E217" s="3" t="s">
        <v>39</v>
      </c>
      <c r="F217" s="5"/>
      <c r="G217" s="5"/>
      <c r="H217" s="5"/>
      <c r="I217" s="6"/>
      <c r="J217" s="6"/>
    </row>
    <row r="218" ht="15.75" customHeight="1">
      <c r="A218" s="3" t="s">
        <v>750</v>
      </c>
      <c r="B218" s="4" t="s">
        <v>751</v>
      </c>
      <c r="C218" s="4" t="s">
        <v>752</v>
      </c>
      <c r="D218" s="3" t="s">
        <v>216</v>
      </c>
      <c r="E218" s="3" t="s">
        <v>97</v>
      </c>
      <c r="F218" s="5"/>
      <c r="G218" s="5"/>
      <c r="H218" s="5"/>
      <c r="I218" s="6"/>
      <c r="J218" s="6"/>
    </row>
    <row r="219" ht="15.75" customHeight="1">
      <c r="A219" s="3" t="s">
        <v>753</v>
      </c>
      <c r="B219" s="4" t="s">
        <v>754</v>
      </c>
      <c r="C219" s="4" t="s">
        <v>755</v>
      </c>
      <c r="D219" s="3" t="s">
        <v>216</v>
      </c>
      <c r="E219" s="3" t="s">
        <v>97</v>
      </c>
      <c r="F219" s="5"/>
      <c r="G219" s="5"/>
      <c r="H219" s="5"/>
      <c r="I219" s="6"/>
      <c r="J219" s="6"/>
    </row>
    <row r="220" ht="15.75" customHeight="1">
      <c r="A220" s="3" t="s">
        <v>756</v>
      </c>
      <c r="B220" s="4" t="s">
        <v>757</v>
      </c>
      <c r="C220" s="4" t="s">
        <v>758</v>
      </c>
      <c r="D220" s="3" t="s">
        <v>13</v>
      </c>
      <c r="E220" s="3" t="s">
        <v>14</v>
      </c>
      <c r="F220" s="5"/>
      <c r="G220" s="5"/>
      <c r="H220" s="5"/>
      <c r="I220" s="6"/>
      <c r="J220" s="3" t="s">
        <v>759</v>
      </c>
    </row>
    <row r="221" ht="15.75" customHeight="1">
      <c r="A221" s="3" t="s">
        <v>760</v>
      </c>
      <c r="B221" s="4" t="s">
        <v>761</v>
      </c>
      <c r="C221" s="4" t="s">
        <v>762</v>
      </c>
      <c r="D221" s="3" t="s">
        <v>13</v>
      </c>
      <c r="E221" s="3" t="s">
        <v>14</v>
      </c>
      <c r="F221" s="5"/>
      <c r="G221" s="5"/>
      <c r="H221" s="5"/>
      <c r="I221" s="6"/>
      <c r="J221" s="3" t="s">
        <v>763</v>
      </c>
    </row>
    <row r="222" ht="15.75" customHeight="1">
      <c r="A222" s="3" t="s">
        <v>764</v>
      </c>
      <c r="B222" s="4" t="s">
        <v>765</v>
      </c>
      <c r="C222" s="4" t="s">
        <v>766</v>
      </c>
      <c r="D222" s="3" t="s">
        <v>767</v>
      </c>
      <c r="E222" s="3" t="s">
        <v>39</v>
      </c>
      <c r="F222" s="5"/>
      <c r="G222" s="5"/>
      <c r="H222" s="5"/>
      <c r="I222" s="6"/>
      <c r="J222" s="6"/>
    </row>
    <row r="223" ht="15.75" customHeight="1">
      <c r="A223" s="3" t="s">
        <v>768</v>
      </c>
      <c r="B223" s="4" t="s">
        <v>769</v>
      </c>
      <c r="C223" s="4" t="s">
        <v>770</v>
      </c>
      <c r="D223" s="3" t="s">
        <v>767</v>
      </c>
      <c r="E223" s="3" t="s">
        <v>39</v>
      </c>
      <c r="F223" s="5"/>
      <c r="G223" s="5"/>
      <c r="H223" s="5"/>
      <c r="I223" s="6"/>
      <c r="J223" s="6"/>
    </row>
    <row r="224" ht="15.75" customHeight="1">
      <c r="A224" s="3" t="s">
        <v>771</v>
      </c>
      <c r="B224" s="4" t="s">
        <v>772</v>
      </c>
      <c r="C224" s="4" t="s">
        <v>773</v>
      </c>
      <c r="D224" s="3" t="s">
        <v>767</v>
      </c>
      <c r="E224" s="3" t="s">
        <v>39</v>
      </c>
      <c r="F224" s="5"/>
      <c r="G224" s="5"/>
      <c r="H224" s="5"/>
      <c r="I224" s="6"/>
      <c r="J224" s="6"/>
    </row>
    <row r="225" ht="15.75" customHeight="1">
      <c r="A225" s="3" t="s">
        <v>774</v>
      </c>
      <c r="B225" s="4" t="s">
        <v>775</v>
      </c>
      <c r="C225" s="4" t="s">
        <v>776</v>
      </c>
      <c r="D225" s="3" t="s">
        <v>767</v>
      </c>
      <c r="E225" s="3" t="s">
        <v>39</v>
      </c>
      <c r="F225" s="5"/>
      <c r="G225" s="5"/>
      <c r="H225" s="5"/>
      <c r="I225" s="6"/>
      <c r="J225" s="6"/>
    </row>
    <row r="226" ht="15.75" customHeight="1">
      <c r="A226" s="3" t="s">
        <v>777</v>
      </c>
      <c r="B226" s="4" t="s">
        <v>778</v>
      </c>
      <c r="C226" s="4" t="s">
        <v>779</v>
      </c>
      <c r="D226" s="3" t="s">
        <v>767</v>
      </c>
      <c r="E226" s="3" t="s">
        <v>39</v>
      </c>
      <c r="F226" s="5"/>
      <c r="G226" s="5"/>
      <c r="H226" s="5"/>
      <c r="I226" s="6"/>
      <c r="J226" s="6"/>
    </row>
    <row r="227" ht="15.75" customHeight="1">
      <c r="A227" s="3" t="s">
        <v>780</v>
      </c>
      <c r="B227" s="4" t="s">
        <v>781</v>
      </c>
      <c r="C227" s="4" t="s">
        <v>782</v>
      </c>
      <c r="D227" s="3" t="s">
        <v>767</v>
      </c>
      <c r="E227" s="3" t="s">
        <v>39</v>
      </c>
      <c r="F227" s="5"/>
      <c r="G227" s="5"/>
      <c r="H227" s="5"/>
      <c r="I227" s="6"/>
      <c r="J227" s="6"/>
    </row>
    <row r="228" ht="15.75" customHeight="1">
      <c r="A228" s="3" t="s">
        <v>783</v>
      </c>
      <c r="B228" s="4" t="s">
        <v>784</v>
      </c>
      <c r="C228" s="4" t="s">
        <v>785</v>
      </c>
      <c r="D228" s="3" t="s">
        <v>767</v>
      </c>
      <c r="E228" s="3" t="s">
        <v>39</v>
      </c>
      <c r="F228" s="5"/>
      <c r="G228" s="5"/>
      <c r="H228" s="5"/>
      <c r="I228" s="6"/>
      <c r="J228" s="6"/>
    </row>
    <row r="229" ht="15.75" customHeight="1">
      <c r="A229" s="3" t="s">
        <v>786</v>
      </c>
      <c r="B229" s="4" t="s">
        <v>787</v>
      </c>
      <c r="C229" s="4" t="s">
        <v>788</v>
      </c>
      <c r="D229" s="3" t="s">
        <v>767</v>
      </c>
      <c r="E229" s="3" t="s">
        <v>39</v>
      </c>
      <c r="F229" s="5"/>
      <c r="G229" s="5"/>
      <c r="H229" s="5"/>
      <c r="I229" s="6"/>
      <c r="J229" s="6"/>
    </row>
    <row r="230" ht="15.75" customHeight="1">
      <c r="A230" s="3" t="s">
        <v>789</v>
      </c>
      <c r="B230" s="4" t="s">
        <v>790</v>
      </c>
      <c r="C230" s="4" t="s">
        <v>791</v>
      </c>
      <c r="D230" s="3" t="s">
        <v>767</v>
      </c>
      <c r="E230" s="3" t="s">
        <v>39</v>
      </c>
      <c r="F230" s="5"/>
      <c r="G230" s="5"/>
      <c r="H230" s="5"/>
      <c r="I230" s="6"/>
      <c r="J230" s="6"/>
    </row>
    <row r="231" ht="15.75" customHeight="1">
      <c r="A231" s="3" t="s">
        <v>792</v>
      </c>
      <c r="B231" s="4" t="s">
        <v>793</v>
      </c>
      <c r="C231" s="4" t="s">
        <v>794</v>
      </c>
      <c r="D231" s="3" t="s">
        <v>767</v>
      </c>
      <c r="E231" s="3" t="s">
        <v>39</v>
      </c>
      <c r="F231" s="5"/>
      <c r="G231" s="5"/>
      <c r="H231" s="5"/>
      <c r="I231" s="6"/>
      <c r="J231" s="6"/>
    </row>
    <row r="232" ht="15.75" customHeight="1">
      <c r="A232" s="3" t="s">
        <v>795</v>
      </c>
      <c r="B232" s="4" t="s">
        <v>796</v>
      </c>
      <c r="C232" s="4" t="s">
        <v>797</v>
      </c>
      <c r="D232" s="3" t="s">
        <v>767</v>
      </c>
      <c r="E232" s="3" t="s">
        <v>39</v>
      </c>
      <c r="F232" s="5"/>
      <c r="G232" s="5"/>
      <c r="H232" s="5"/>
      <c r="I232" s="6"/>
      <c r="J232" s="6"/>
    </row>
    <row r="233" ht="15.75" customHeight="1">
      <c r="A233" s="3" t="s">
        <v>798</v>
      </c>
      <c r="B233" s="4" t="s">
        <v>799</v>
      </c>
      <c r="C233" s="4" t="s">
        <v>800</v>
      </c>
      <c r="D233" s="3" t="s">
        <v>767</v>
      </c>
      <c r="E233" s="3" t="s">
        <v>39</v>
      </c>
      <c r="F233" s="5"/>
      <c r="G233" s="5"/>
      <c r="H233" s="5"/>
      <c r="I233" s="6"/>
      <c r="J233" s="6"/>
    </row>
    <row r="234" ht="15.75" customHeight="1">
      <c r="A234" s="3" t="s">
        <v>801</v>
      </c>
      <c r="B234" s="4" t="s">
        <v>802</v>
      </c>
      <c r="C234" s="4" t="s">
        <v>803</v>
      </c>
      <c r="D234" s="3" t="s">
        <v>767</v>
      </c>
      <c r="E234" s="3" t="s">
        <v>39</v>
      </c>
      <c r="F234" s="5"/>
      <c r="G234" s="5"/>
      <c r="H234" s="5"/>
      <c r="I234" s="6"/>
      <c r="J234" s="6"/>
    </row>
    <row r="235" ht="15.75" customHeight="1">
      <c r="A235" s="3" t="s">
        <v>804</v>
      </c>
      <c r="B235" s="4" t="s">
        <v>805</v>
      </c>
      <c r="C235" s="4" t="s">
        <v>806</v>
      </c>
      <c r="D235" s="3" t="s">
        <v>767</v>
      </c>
      <c r="E235" s="3" t="s">
        <v>39</v>
      </c>
      <c r="F235" s="5"/>
      <c r="G235" s="5"/>
      <c r="H235" s="5"/>
      <c r="I235" s="6"/>
      <c r="J235" s="6"/>
    </row>
    <row r="236" ht="15.75" customHeight="1">
      <c r="A236" s="3" t="s">
        <v>807</v>
      </c>
      <c r="B236" s="4" t="s">
        <v>808</v>
      </c>
      <c r="C236" s="4" t="s">
        <v>809</v>
      </c>
      <c r="D236" s="3" t="s">
        <v>767</v>
      </c>
      <c r="E236" s="3" t="s">
        <v>39</v>
      </c>
      <c r="F236" s="5"/>
      <c r="G236" s="5"/>
      <c r="H236" s="5"/>
      <c r="I236" s="6"/>
      <c r="J236" s="6"/>
    </row>
    <row r="237" ht="15.75" customHeight="1">
      <c r="A237" s="3" t="s">
        <v>810</v>
      </c>
      <c r="B237" s="4" t="s">
        <v>811</v>
      </c>
      <c r="C237" s="4" t="s">
        <v>812</v>
      </c>
      <c r="D237" s="3" t="s">
        <v>767</v>
      </c>
      <c r="E237" s="3" t="s">
        <v>39</v>
      </c>
      <c r="F237" s="5"/>
      <c r="G237" s="5"/>
      <c r="H237" s="5"/>
      <c r="I237" s="6"/>
      <c r="J237" s="6"/>
    </row>
    <row r="238" ht="15.75" customHeight="1">
      <c r="A238" s="3" t="s">
        <v>813</v>
      </c>
      <c r="B238" s="4" t="s">
        <v>814</v>
      </c>
      <c r="C238" s="4" t="s">
        <v>815</v>
      </c>
      <c r="D238" s="3" t="s">
        <v>767</v>
      </c>
      <c r="E238" s="3" t="s">
        <v>39</v>
      </c>
      <c r="F238" s="5"/>
      <c r="G238" s="5"/>
      <c r="H238" s="5"/>
      <c r="I238" s="6"/>
      <c r="J238" s="6"/>
    </row>
    <row r="239" ht="15.75" customHeight="1">
      <c r="A239" s="3" t="s">
        <v>816</v>
      </c>
      <c r="B239" s="4" t="s">
        <v>817</v>
      </c>
      <c r="C239" s="4" t="s">
        <v>818</v>
      </c>
      <c r="D239" s="3" t="s">
        <v>819</v>
      </c>
      <c r="E239" s="3" t="s">
        <v>97</v>
      </c>
      <c r="F239" s="5"/>
      <c r="G239" s="5"/>
      <c r="H239" s="5"/>
      <c r="I239" s="6"/>
      <c r="J239" s="6"/>
    </row>
    <row r="240" ht="15.75" customHeight="1">
      <c r="A240" s="3" t="s">
        <v>820</v>
      </c>
      <c r="B240" s="4" t="s">
        <v>821</v>
      </c>
      <c r="C240" s="4" t="s">
        <v>822</v>
      </c>
      <c r="D240" s="3" t="s">
        <v>823</v>
      </c>
      <c r="E240" s="3" t="s">
        <v>824</v>
      </c>
      <c r="F240" s="5"/>
      <c r="G240" s="5"/>
      <c r="H240" s="5">
        <v>15000.0</v>
      </c>
      <c r="I240" s="6"/>
      <c r="J240" s="3" t="s">
        <v>825</v>
      </c>
    </row>
    <row r="241" ht="15.75" customHeight="1">
      <c r="A241" s="3" t="s">
        <v>826</v>
      </c>
      <c r="B241" s="4" t="s">
        <v>827</v>
      </c>
      <c r="C241" s="4" t="s">
        <v>828</v>
      </c>
      <c r="D241" s="3" t="s">
        <v>823</v>
      </c>
      <c r="E241" s="3" t="s">
        <v>39</v>
      </c>
      <c r="F241" s="5"/>
      <c r="G241" s="5"/>
      <c r="H241" s="5">
        <v>14000.0</v>
      </c>
      <c r="I241" s="6"/>
      <c r="J241" s="3" t="s">
        <v>829</v>
      </c>
    </row>
    <row r="242" ht="15.75" customHeight="1">
      <c r="A242" s="3" t="s">
        <v>830</v>
      </c>
      <c r="B242" s="4" t="s">
        <v>831</v>
      </c>
      <c r="C242" s="4" t="s">
        <v>832</v>
      </c>
      <c r="D242" s="3" t="s">
        <v>823</v>
      </c>
      <c r="E242" s="3" t="s">
        <v>39</v>
      </c>
      <c r="F242" s="5"/>
      <c r="G242" s="5"/>
      <c r="H242" s="5">
        <v>15000.0</v>
      </c>
      <c r="I242" s="6"/>
      <c r="J242" s="3" t="s">
        <v>833</v>
      </c>
    </row>
    <row r="243" ht="15.75" customHeight="1">
      <c r="A243" s="3" t="s">
        <v>834</v>
      </c>
      <c r="B243" s="4" t="s">
        <v>835</v>
      </c>
      <c r="C243" s="4" t="s">
        <v>836</v>
      </c>
      <c r="D243" s="3" t="s">
        <v>823</v>
      </c>
      <c r="E243" s="3" t="s">
        <v>654</v>
      </c>
      <c r="F243" s="5"/>
      <c r="G243" s="5"/>
      <c r="H243" s="5">
        <v>2000.0</v>
      </c>
      <c r="I243" s="6"/>
      <c r="J243" s="3" t="s">
        <v>837</v>
      </c>
    </row>
    <row r="244" ht="15.75" customHeight="1">
      <c r="A244" s="3" t="s">
        <v>838</v>
      </c>
      <c r="B244" s="4" t="s">
        <v>839</v>
      </c>
      <c r="C244" s="4" t="s">
        <v>840</v>
      </c>
      <c r="D244" s="3" t="s">
        <v>823</v>
      </c>
      <c r="E244" s="3" t="s">
        <v>167</v>
      </c>
      <c r="F244" s="5"/>
      <c r="G244" s="5"/>
      <c r="H244" s="5"/>
      <c r="I244" s="6"/>
      <c r="J244" s="6"/>
    </row>
    <row r="245" ht="15.75" customHeight="1">
      <c r="A245" s="3" t="s">
        <v>841</v>
      </c>
      <c r="B245" s="4" t="s">
        <v>842</v>
      </c>
      <c r="C245" s="4" t="s">
        <v>843</v>
      </c>
      <c r="D245" s="3" t="s">
        <v>823</v>
      </c>
      <c r="E245" s="3" t="s">
        <v>167</v>
      </c>
      <c r="F245" s="5"/>
      <c r="G245" s="5"/>
      <c r="H245" s="5"/>
      <c r="I245" s="6"/>
      <c r="J245" s="6"/>
    </row>
    <row r="246" ht="15.75" customHeight="1">
      <c r="A246" s="3" t="s">
        <v>844</v>
      </c>
      <c r="B246" s="4" t="s">
        <v>845</v>
      </c>
      <c r="C246" s="4" t="s">
        <v>846</v>
      </c>
      <c r="D246" s="3" t="s">
        <v>823</v>
      </c>
      <c r="E246" s="3" t="s">
        <v>167</v>
      </c>
      <c r="F246" s="5"/>
      <c r="G246" s="5"/>
      <c r="H246" s="5"/>
      <c r="I246" s="6"/>
      <c r="J246" s="6"/>
    </row>
    <row r="247" ht="15.75" customHeight="1">
      <c r="A247" s="3" t="s">
        <v>847</v>
      </c>
      <c r="B247" s="4" t="s">
        <v>848</v>
      </c>
      <c r="C247" s="4" t="s">
        <v>849</v>
      </c>
      <c r="D247" s="3" t="s">
        <v>823</v>
      </c>
      <c r="E247" s="3" t="s">
        <v>39</v>
      </c>
      <c r="F247" s="5"/>
      <c r="G247" s="5"/>
      <c r="H247" s="5"/>
      <c r="I247" s="6"/>
      <c r="J247" s="6"/>
    </row>
    <row r="248" ht="15.75" customHeight="1">
      <c r="A248" s="3" t="s">
        <v>850</v>
      </c>
      <c r="B248" s="4" t="s">
        <v>851</v>
      </c>
      <c r="C248" s="4" t="s">
        <v>852</v>
      </c>
      <c r="D248" s="3" t="s">
        <v>823</v>
      </c>
      <c r="E248" s="3" t="s">
        <v>97</v>
      </c>
      <c r="F248" s="5"/>
      <c r="G248" s="5"/>
      <c r="H248" s="5"/>
      <c r="I248" s="6"/>
      <c r="J248" s="6"/>
    </row>
    <row r="249" ht="15.75" customHeight="1">
      <c r="A249" s="3" t="s">
        <v>853</v>
      </c>
      <c r="B249" s="4" t="s">
        <v>854</v>
      </c>
      <c r="C249" s="4" t="s">
        <v>855</v>
      </c>
      <c r="D249" s="3" t="s">
        <v>823</v>
      </c>
      <c r="E249" s="3" t="s">
        <v>39</v>
      </c>
      <c r="F249" s="5"/>
      <c r="G249" s="5"/>
      <c r="H249" s="5"/>
      <c r="I249" s="6"/>
      <c r="J249" s="6"/>
    </row>
    <row r="250" ht="15.75" customHeight="1">
      <c r="A250" s="3" t="s">
        <v>856</v>
      </c>
      <c r="B250" s="4" t="s">
        <v>857</v>
      </c>
      <c r="C250" s="4" t="s">
        <v>858</v>
      </c>
      <c r="D250" s="3" t="s">
        <v>819</v>
      </c>
      <c r="E250" s="3" t="s">
        <v>39</v>
      </c>
      <c r="F250" s="5"/>
      <c r="G250" s="5"/>
      <c r="H250" s="5"/>
      <c r="I250" s="6"/>
      <c r="J250" s="6"/>
    </row>
    <row r="251" ht="15.75" customHeight="1">
      <c r="A251" s="3" t="s">
        <v>859</v>
      </c>
      <c r="B251" s="4" t="s">
        <v>860</v>
      </c>
      <c r="C251" s="4" t="s">
        <v>861</v>
      </c>
      <c r="D251" s="3" t="s">
        <v>819</v>
      </c>
      <c r="E251" s="3" t="s">
        <v>14</v>
      </c>
      <c r="F251" s="5"/>
      <c r="G251" s="5"/>
      <c r="H251" s="5"/>
      <c r="I251" s="6"/>
      <c r="J251" s="3" t="s">
        <v>862</v>
      </c>
    </row>
    <row r="252" ht="15.75" customHeight="1">
      <c r="A252" s="3" t="s">
        <v>863</v>
      </c>
      <c r="B252" s="4" t="s">
        <v>864</v>
      </c>
      <c r="C252" s="4" t="s">
        <v>865</v>
      </c>
      <c r="D252" s="3" t="s">
        <v>819</v>
      </c>
      <c r="E252" s="3" t="s">
        <v>39</v>
      </c>
      <c r="F252" s="5"/>
      <c r="G252" s="5"/>
      <c r="H252" s="5"/>
      <c r="I252" s="6"/>
      <c r="J252" s="6"/>
    </row>
    <row r="253" ht="15.75" customHeight="1">
      <c r="A253" s="3" t="s">
        <v>866</v>
      </c>
      <c r="B253" s="4" t="s">
        <v>867</v>
      </c>
      <c r="C253" s="4" t="s">
        <v>868</v>
      </c>
      <c r="D253" s="3" t="s">
        <v>819</v>
      </c>
      <c r="E253" s="3" t="s">
        <v>97</v>
      </c>
      <c r="F253" s="5"/>
      <c r="G253" s="5"/>
      <c r="H253" s="5"/>
      <c r="I253" s="6"/>
      <c r="J253" s="6"/>
    </row>
    <row r="254" ht="15.75" customHeight="1">
      <c r="D254" s="7"/>
      <c r="E254" s="7"/>
    </row>
    <row r="255" ht="15.75" customHeight="1">
      <c r="D255" s="7"/>
      <c r="E255" s="7"/>
    </row>
    <row r="256" ht="15.75" customHeight="1">
      <c r="D256" s="7"/>
      <c r="E256" s="7"/>
    </row>
    <row r="257" ht="15.75" customHeight="1">
      <c r="D257" s="7"/>
      <c r="E257" s="7"/>
    </row>
    <row r="258" ht="15.75" customHeight="1">
      <c r="D258" s="7"/>
      <c r="E258" s="7"/>
    </row>
    <row r="259" ht="15.75" customHeight="1">
      <c r="D259" s="7"/>
      <c r="E259" s="7"/>
    </row>
    <row r="260" ht="15.75" customHeight="1">
      <c r="D260" s="7"/>
      <c r="E260" s="7"/>
    </row>
    <row r="261" ht="15.75" customHeight="1">
      <c r="D261" s="7"/>
      <c r="E261" s="7"/>
    </row>
    <row r="262" ht="15.75" customHeight="1">
      <c r="D262" s="7"/>
      <c r="E262" s="7"/>
    </row>
    <row r="263" ht="15.75" customHeight="1">
      <c r="D263" s="7"/>
      <c r="E263" s="7"/>
    </row>
    <row r="264" ht="15.75" customHeight="1">
      <c r="D264" s="7"/>
      <c r="E264" s="7"/>
    </row>
    <row r="265" ht="15.75" customHeight="1">
      <c r="D265" s="7"/>
      <c r="E265" s="7"/>
    </row>
    <row r="266" ht="15.75" customHeight="1">
      <c r="D266" s="7"/>
      <c r="E266" s="7"/>
    </row>
    <row r="267" ht="15.75" customHeight="1">
      <c r="D267" s="7"/>
      <c r="E267" s="7"/>
    </row>
    <row r="268" ht="15.75" customHeight="1">
      <c r="D268" s="7"/>
      <c r="E268" s="7"/>
    </row>
    <row r="269" ht="15.75" customHeight="1">
      <c r="D269" s="7"/>
      <c r="E269" s="7"/>
    </row>
    <row r="270" ht="15.75" customHeight="1">
      <c r="D270" s="7"/>
      <c r="E270" s="7"/>
    </row>
    <row r="271" ht="15.75" customHeight="1">
      <c r="D271" s="7"/>
      <c r="E271" s="7"/>
    </row>
    <row r="272" ht="15.75" customHeight="1">
      <c r="D272" s="7"/>
      <c r="E272" s="7"/>
    </row>
    <row r="273" ht="15.75" customHeight="1">
      <c r="D273" s="7"/>
      <c r="E273" s="7"/>
    </row>
    <row r="274" ht="15.75" customHeight="1">
      <c r="D274" s="7"/>
      <c r="E274" s="7"/>
    </row>
    <row r="275" ht="15.75" customHeight="1">
      <c r="D275" s="7"/>
      <c r="E275" s="7"/>
    </row>
    <row r="276" ht="15.75" customHeight="1">
      <c r="D276" s="7"/>
      <c r="E276" s="7"/>
    </row>
    <row r="277" ht="15.75" customHeight="1">
      <c r="D277" s="7"/>
      <c r="E277" s="7"/>
    </row>
    <row r="278" ht="15.75" customHeight="1">
      <c r="D278" s="7"/>
      <c r="E278" s="7"/>
    </row>
    <row r="279" ht="15.75" customHeight="1">
      <c r="D279" s="7"/>
      <c r="E279" s="7"/>
    </row>
    <row r="280" ht="15.75" customHeight="1">
      <c r="D280" s="7"/>
      <c r="E280" s="7"/>
    </row>
    <row r="281" ht="15.75" customHeight="1">
      <c r="D281" s="7"/>
      <c r="E281" s="7"/>
    </row>
    <row r="282" ht="15.75" customHeight="1">
      <c r="D282" s="7"/>
      <c r="E282" s="7"/>
    </row>
    <row r="283" ht="15.75" customHeight="1">
      <c r="D283" s="7"/>
      <c r="E283" s="7"/>
    </row>
    <row r="284" ht="15.75" customHeight="1">
      <c r="D284" s="7"/>
      <c r="E284" s="7"/>
    </row>
    <row r="285" ht="15.75" customHeight="1">
      <c r="D285" s="7"/>
      <c r="E285" s="7"/>
    </row>
    <row r="286" ht="15.75" customHeight="1">
      <c r="D286" s="7"/>
      <c r="E286" s="7"/>
    </row>
    <row r="287" ht="15.75" customHeight="1">
      <c r="D287" s="7"/>
      <c r="E287" s="7"/>
    </row>
    <row r="288" ht="15.75" customHeight="1">
      <c r="D288" s="7"/>
      <c r="E288" s="7"/>
    </row>
    <row r="289" ht="15.75" customHeight="1">
      <c r="D289" s="7"/>
      <c r="E289" s="7"/>
    </row>
    <row r="290" ht="15.75" customHeight="1">
      <c r="D290" s="7"/>
      <c r="E290" s="7"/>
    </row>
    <row r="291" ht="15.75" customHeight="1">
      <c r="D291" s="7"/>
      <c r="E291" s="7"/>
    </row>
    <row r="292" ht="15.75" customHeight="1">
      <c r="D292" s="7"/>
      <c r="E292" s="7"/>
    </row>
    <row r="293" ht="15.75" customHeight="1">
      <c r="D293" s="7"/>
      <c r="E293" s="7"/>
    </row>
    <row r="294" ht="15.75" customHeight="1">
      <c r="D294" s="7"/>
      <c r="E294" s="7"/>
    </row>
    <row r="295" ht="15.75" customHeight="1">
      <c r="D295" s="7"/>
      <c r="E295" s="7"/>
    </row>
    <row r="296" ht="15.75" customHeight="1">
      <c r="D296" s="7"/>
      <c r="E296" s="7"/>
    </row>
    <row r="297" ht="15.75" customHeight="1">
      <c r="D297" s="7"/>
      <c r="E297" s="7"/>
    </row>
    <row r="298" ht="15.75" customHeight="1">
      <c r="D298" s="7"/>
      <c r="E298" s="7"/>
    </row>
    <row r="299" ht="15.75" customHeight="1">
      <c r="D299" s="7"/>
      <c r="E299" s="7"/>
    </row>
    <row r="300" ht="15.75" customHeight="1">
      <c r="D300" s="7"/>
      <c r="E300" s="7"/>
    </row>
    <row r="301" ht="15.75" customHeight="1">
      <c r="D301" s="7"/>
      <c r="E301" s="7"/>
    </row>
    <row r="302" ht="15.75" customHeight="1">
      <c r="D302" s="7"/>
      <c r="E302" s="7"/>
    </row>
    <row r="303" ht="15.75" customHeight="1">
      <c r="D303" s="7"/>
      <c r="E303" s="7"/>
    </row>
    <row r="304" ht="15.75" customHeight="1">
      <c r="D304" s="7"/>
      <c r="E304" s="7"/>
    </row>
    <row r="305" ht="15.75" customHeight="1">
      <c r="D305" s="7"/>
      <c r="E305" s="7"/>
    </row>
    <row r="306" ht="15.75" customHeight="1">
      <c r="D306" s="7"/>
      <c r="E306" s="7"/>
    </row>
    <row r="307" ht="15.75" customHeight="1">
      <c r="D307" s="7"/>
      <c r="E307" s="7"/>
    </row>
    <row r="308" ht="15.75" customHeight="1">
      <c r="D308" s="7"/>
      <c r="E308" s="7"/>
    </row>
    <row r="309" ht="15.75" customHeight="1">
      <c r="D309" s="7"/>
      <c r="E309" s="7"/>
    </row>
    <row r="310" ht="15.75" customHeight="1">
      <c r="D310" s="7"/>
      <c r="E310" s="7"/>
    </row>
    <row r="311" ht="15.75" customHeight="1">
      <c r="D311" s="7"/>
      <c r="E311" s="7"/>
    </row>
    <row r="312" ht="15.75" customHeight="1">
      <c r="D312" s="7"/>
      <c r="E312" s="7"/>
    </row>
    <row r="313" ht="15.75" customHeight="1">
      <c r="D313" s="7"/>
      <c r="E313" s="7"/>
    </row>
    <row r="314" ht="15.75" customHeight="1">
      <c r="D314" s="7"/>
      <c r="E314" s="7"/>
    </row>
    <row r="315" ht="15.75" customHeight="1">
      <c r="D315" s="7"/>
      <c r="E315" s="7"/>
    </row>
    <row r="316" ht="15.75" customHeight="1">
      <c r="D316" s="7"/>
      <c r="E316" s="7"/>
    </row>
    <row r="317" ht="15.75" customHeight="1">
      <c r="D317" s="7"/>
      <c r="E317" s="7"/>
    </row>
    <row r="318" ht="15.75" customHeight="1">
      <c r="D318" s="7"/>
      <c r="E318" s="7"/>
    </row>
    <row r="319" ht="15.75" customHeight="1">
      <c r="D319" s="7"/>
      <c r="E319" s="7"/>
    </row>
    <row r="320" ht="15.75" customHeight="1">
      <c r="D320" s="7"/>
      <c r="E320" s="7"/>
    </row>
    <row r="321" ht="15.75" customHeight="1">
      <c r="D321" s="7"/>
      <c r="E321" s="7"/>
    </row>
    <row r="322" ht="15.75" customHeight="1">
      <c r="D322" s="7"/>
      <c r="E322" s="7"/>
    </row>
    <row r="323" ht="15.75" customHeight="1">
      <c r="D323" s="7"/>
      <c r="E323" s="7"/>
    </row>
    <row r="324" ht="15.75" customHeight="1">
      <c r="D324" s="7"/>
      <c r="E324" s="7"/>
    </row>
    <row r="325" ht="15.75" customHeight="1">
      <c r="D325" s="7"/>
      <c r="E325" s="7"/>
    </row>
    <row r="326" ht="15.75" customHeight="1">
      <c r="D326" s="7"/>
      <c r="E326" s="7"/>
    </row>
    <row r="327" ht="15.75" customHeight="1">
      <c r="D327" s="7"/>
      <c r="E327" s="7"/>
    </row>
    <row r="328" ht="15.75" customHeight="1">
      <c r="D328" s="7"/>
      <c r="E328" s="7"/>
    </row>
    <row r="329" ht="15.75" customHeight="1">
      <c r="D329" s="7"/>
      <c r="E329" s="7"/>
    </row>
    <row r="330" ht="15.75" customHeight="1">
      <c r="D330" s="7"/>
      <c r="E330" s="7"/>
    </row>
    <row r="331" ht="15.75" customHeight="1">
      <c r="D331" s="7"/>
      <c r="E331" s="7"/>
    </row>
    <row r="332" ht="15.75" customHeight="1">
      <c r="D332" s="7"/>
      <c r="E332" s="7"/>
    </row>
    <row r="333" ht="15.75" customHeight="1">
      <c r="D333" s="7"/>
      <c r="E333" s="7"/>
    </row>
    <row r="334" ht="15.75" customHeight="1">
      <c r="D334" s="7"/>
      <c r="E334" s="7"/>
    </row>
    <row r="335" ht="15.75" customHeight="1">
      <c r="D335" s="7"/>
      <c r="E335" s="7"/>
    </row>
    <row r="336" ht="15.75" customHeight="1">
      <c r="D336" s="7"/>
      <c r="E336" s="7"/>
    </row>
    <row r="337" ht="15.75" customHeight="1">
      <c r="D337" s="7"/>
      <c r="E337" s="7"/>
    </row>
    <row r="338" ht="15.75" customHeight="1">
      <c r="D338" s="7"/>
      <c r="E338" s="7"/>
    </row>
    <row r="339" ht="15.75" customHeight="1">
      <c r="D339" s="7"/>
      <c r="E339" s="7"/>
    </row>
    <row r="340" ht="15.75" customHeight="1">
      <c r="D340" s="7"/>
      <c r="E340" s="7"/>
    </row>
    <row r="341" ht="15.75" customHeight="1">
      <c r="D341" s="7"/>
      <c r="E341" s="7"/>
    </row>
    <row r="342" ht="15.75" customHeight="1">
      <c r="D342" s="7"/>
      <c r="E342" s="7"/>
    </row>
    <row r="343" ht="15.75" customHeight="1">
      <c r="D343" s="7"/>
      <c r="E343" s="7"/>
    </row>
    <row r="344" ht="15.75" customHeight="1">
      <c r="D344" s="7"/>
      <c r="E344" s="7"/>
    </row>
    <row r="345" ht="15.75" customHeight="1">
      <c r="D345" s="7"/>
      <c r="E345" s="7"/>
    </row>
    <row r="346" ht="15.75" customHeight="1">
      <c r="D346" s="7"/>
      <c r="E346" s="7"/>
    </row>
    <row r="347" ht="15.75" customHeight="1">
      <c r="D347" s="7"/>
      <c r="E347" s="7"/>
    </row>
    <row r="348" ht="15.75" customHeight="1">
      <c r="D348" s="7"/>
      <c r="E348" s="7"/>
    </row>
    <row r="349" ht="15.75" customHeight="1">
      <c r="D349" s="7"/>
      <c r="E349" s="7"/>
    </row>
    <row r="350" ht="15.75" customHeight="1">
      <c r="D350" s="7"/>
      <c r="E350" s="7"/>
    </row>
    <row r="351" ht="15.75" customHeight="1">
      <c r="D351" s="7"/>
      <c r="E351" s="7"/>
    </row>
    <row r="352" ht="15.75" customHeight="1">
      <c r="D352" s="7"/>
      <c r="E352" s="7"/>
    </row>
    <row r="353" ht="15.75" customHeight="1">
      <c r="D353" s="7"/>
      <c r="E353" s="7"/>
    </row>
    <row r="354" ht="15.75" customHeight="1">
      <c r="D354" s="7"/>
      <c r="E354" s="7"/>
    </row>
    <row r="355" ht="15.75" customHeight="1">
      <c r="D355" s="7"/>
      <c r="E355" s="7"/>
    </row>
    <row r="356" ht="15.75" customHeight="1">
      <c r="D356" s="7"/>
      <c r="E356" s="7"/>
    </row>
    <row r="357" ht="15.75" customHeight="1">
      <c r="D357" s="7"/>
      <c r="E357" s="7"/>
    </row>
    <row r="358" ht="15.75" customHeight="1">
      <c r="D358" s="7"/>
      <c r="E358" s="7"/>
    </row>
    <row r="359" ht="15.75" customHeight="1">
      <c r="D359" s="7"/>
      <c r="E359" s="7"/>
    </row>
    <row r="360" ht="15.75" customHeight="1">
      <c r="D360" s="7"/>
      <c r="E360" s="7"/>
    </row>
    <row r="361" ht="15.75" customHeight="1">
      <c r="D361" s="7"/>
      <c r="E361" s="7"/>
    </row>
    <row r="362" ht="15.75" customHeight="1">
      <c r="D362" s="7"/>
      <c r="E362" s="7"/>
    </row>
    <row r="363" ht="15.75" customHeight="1">
      <c r="D363" s="7"/>
      <c r="E363" s="7"/>
    </row>
    <row r="364" ht="15.75" customHeight="1">
      <c r="D364" s="7"/>
      <c r="E364" s="7"/>
    </row>
    <row r="365" ht="15.75" customHeight="1">
      <c r="D365" s="7"/>
      <c r="E365" s="7"/>
    </row>
    <row r="366" ht="15.75" customHeight="1">
      <c r="D366" s="7"/>
      <c r="E366" s="7"/>
    </row>
    <row r="367" ht="15.75" customHeight="1">
      <c r="D367" s="7"/>
      <c r="E367" s="7"/>
    </row>
    <row r="368" ht="15.75" customHeight="1">
      <c r="D368" s="7"/>
      <c r="E368" s="7"/>
    </row>
    <row r="369" ht="15.75" customHeight="1">
      <c r="D369" s="7"/>
      <c r="E369" s="7"/>
    </row>
    <row r="370" ht="15.75" customHeight="1">
      <c r="D370" s="7"/>
      <c r="E370" s="7"/>
    </row>
    <row r="371" ht="15.75" customHeight="1">
      <c r="D371" s="7"/>
      <c r="E371" s="7"/>
    </row>
    <row r="372" ht="15.75" customHeight="1">
      <c r="D372" s="7"/>
      <c r="E372" s="7"/>
    </row>
    <row r="373" ht="15.75" customHeight="1">
      <c r="D373" s="7"/>
      <c r="E373" s="7"/>
    </row>
    <row r="374" ht="15.75" customHeight="1">
      <c r="D374" s="7"/>
      <c r="E374" s="7"/>
    </row>
    <row r="375" ht="15.75" customHeight="1">
      <c r="D375" s="7"/>
      <c r="E375" s="7"/>
    </row>
    <row r="376" ht="15.75" customHeight="1">
      <c r="D376" s="7"/>
      <c r="E376" s="7"/>
    </row>
    <row r="377" ht="15.75" customHeight="1">
      <c r="D377" s="7"/>
      <c r="E377" s="7"/>
    </row>
    <row r="378" ht="15.75" customHeight="1">
      <c r="D378" s="7"/>
      <c r="E378" s="7"/>
    </row>
    <row r="379" ht="15.75" customHeight="1">
      <c r="D379" s="7"/>
      <c r="E379" s="7"/>
    </row>
    <row r="380" ht="15.75" customHeight="1">
      <c r="D380" s="7"/>
      <c r="E380" s="7"/>
    </row>
    <row r="381" ht="15.75" customHeight="1">
      <c r="D381" s="7"/>
      <c r="E381" s="7"/>
    </row>
    <row r="382" ht="15.75" customHeight="1">
      <c r="D382" s="7"/>
      <c r="E382" s="7"/>
    </row>
    <row r="383" ht="15.75" customHeight="1">
      <c r="D383" s="7"/>
      <c r="E383" s="7"/>
    </row>
    <row r="384" ht="15.75" customHeight="1">
      <c r="D384" s="7"/>
      <c r="E384" s="7"/>
    </row>
    <row r="385" ht="15.75" customHeight="1">
      <c r="D385" s="7"/>
      <c r="E385" s="7"/>
    </row>
    <row r="386" ht="15.75" customHeight="1">
      <c r="D386" s="7"/>
      <c r="E386" s="7"/>
    </row>
    <row r="387" ht="15.75" customHeight="1">
      <c r="D387" s="7"/>
      <c r="E387" s="7"/>
    </row>
    <row r="388" ht="15.75" customHeight="1">
      <c r="D388" s="7"/>
      <c r="E388" s="7"/>
    </row>
    <row r="389" ht="15.75" customHeight="1">
      <c r="D389" s="7"/>
      <c r="E389" s="7"/>
    </row>
    <row r="390" ht="15.75" customHeight="1">
      <c r="D390" s="7"/>
      <c r="E390" s="7"/>
    </row>
    <row r="391" ht="15.75" customHeight="1">
      <c r="D391" s="7"/>
      <c r="E391" s="7"/>
    </row>
    <row r="392" ht="15.75" customHeight="1">
      <c r="D392" s="7"/>
      <c r="E392" s="7"/>
    </row>
    <row r="393" ht="15.75" customHeight="1">
      <c r="D393" s="7"/>
      <c r="E393" s="7"/>
    </row>
    <row r="394" ht="15.75" customHeight="1">
      <c r="D394" s="7"/>
      <c r="E394" s="7"/>
    </row>
    <row r="395" ht="15.75" customHeight="1">
      <c r="D395" s="7"/>
      <c r="E395" s="7"/>
    </row>
    <row r="396" ht="15.75" customHeight="1">
      <c r="D396" s="7"/>
      <c r="E396" s="7"/>
    </row>
    <row r="397" ht="15.75" customHeight="1">
      <c r="D397" s="7"/>
      <c r="E397" s="7"/>
    </row>
    <row r="398" ht="15.75" customHeight="1">
      <c r="D398" s="7"/>
      <c r="E398" s="7"/>
    </row>
    <row r="399" ht="15.75" customHeight="1">
      <c r="D399" s="7"/>
      <c r="E399" s="7"/>
    </row>
    <row r="400" ht="15.75" customHeight="1">
      <c r="D400" s="7"/>
      <c r="E400" s="7"/>
    </row>
    <row r="401" ht="15.75" customHeight="1">
      <c r="D401" s="7"/>
      <c r="E401" s="7"/>
    </row>
    <row r="402" ht="15.75" customHeight="1">
      <c r="D402" s="7"/>
      <c r="E402" s="7"/>
    </row>
    <row r="403" ht="15.75" customHeight="1">
      <c r="D403" s="7"/>
      <c r="E403" s="7"/>
    </row>
    <row r="404" ht="15.75" customHeight="1">
      <c r="D404" s="7"/>
      <c r="E404" s="7"/>
    </row>
    <row r="405" ht="15.75" customHeight="1">
      <c r="D405" s="7"/>
      <c r="E405" s="7"/>
    </row>
    <row r="406" ht="15.75" customHeight="1">
      <c r="D406" s="7"/>
      <c r="E406" s="7"/>
    </row>
    <row r="407" ht="15.75" customHeight="1">
      <c r="D407" s="7"/>
      <c r="E407" s="7"/>
    </row>
    <row r="408" ht="15.75" customHeight="1">
      <c r="D408" s="7"/>
      <c r="E408" s="7"/>
    </row>
    <row r="409" ht="15.75" customHeight="1">
      <c r="D409" s="7"/>
      <c r="E409" s="7"/>
    </row>
    <row r="410" ht="15.75" customHeight="1">
      <c r="D410" s="7"/>
      <c r="E410" s="7"/>
    </row>
    <row r="411" ht="15.75" customHeight="1">
      <c r="D411" s="7"/>
      <c r="E411" s="7"/>
    </row>
    <row r="412" ht="15.75" customHeight="1">
      <c r="D412" s="7"/>
      <c r="E412" s="7"/>
    </row>
    <row r="413" ht="15.75" customHeight="1">
      <c r="D413" s="7"/>
      <c r="E413" s="7"/>
    </row>
    <row r="414" ht="15.75" customHeight="1">
      <c r="D414" s="7"/>
      <c r="E414" s="7"/>
    </row>
    <row r="415" ht="15.75" customHeight="1">
      <c r="D415" s="7"/>
      <c r="E415" s="7"/>
    </row>
    <row r="416" ht="15.75" customHeight="1">
      <c r="D416" s="7"/>
      <c r="E416" s="7"/>
    </row>
    <row r="417" ht="15.75" customHeight="1">
      <c r="D417" s="7"/>
      <c r="E417" s="7"/>
    </row>
    <row r="418" ht="15.75" customHeight="1">
      <c r="D418" s="7"/>
      <c r="E418" s="7"/>
    </row>
    <row r="419" ht="15.75" customHeight="1">
      <c r="D419" s="7"/>
      <c r="E419" s="7"/>
    </row>
    <row r="420" ht="15.75" customHeight="1">
      <c r="D420" s="7"/>
      <c r="E420" s="7"/>
    </row>
    <row r="421" ht="15.75" customHeight="1">
      <c r="D421" s="7"/>
      <c r="E421" s="7"/>
    </row>
    <row r="422" ht="15.75" customHeight="1">
      <c r="D422" s="7"/>
      <c r="E422" s="7"/>
    </row>
    <row r="423" ht="15.75" customHeight="1">
      <c r="D423" s="7"/>
      <c r="E423" s="7"/>
    </row>
    <row r="424" ht="15.75" customHeight="1">
      <c r="D424" s="7"/>
      <c r="E424" s="7"/>
    </row>
    <row r="425" ht="15.75" customHeight="1">
      <c r="D425" s="7"/>
      <c r="E425" s="7"/>
    </row>
    <row r="426" ht="15.75" customHeight="1">
      <c r="D426" s="7"/>
      <c r="E426" s="7"/>
    </row>
    <row r="427" ht="15.75" customHeight="1">
      <c r="D427" s="7"/>
      <c r="E427" s="7"/>
    </row>
    <row r="428" ht="15.75" customHeight="1">
      <c r="D428" s="7"/>
      <c r="E428" s="7"/>
    </row>
    <row r="429" ht="15.75" customHeight="1">
      <c r="D429" s="7"/>
      <c r="E429" s="7"/>
    </row>
    <row r="430" ht="15.75" customHeight="1">
      <c r="D430" s="7"/>
      <c r="E430" s="7"/>
    </row>
    <row r="431" ht="15.75" customHeight="1">
      <c r="D431" s="7"/>
      <c r="E431" s="7"/>
    </row>
    <row r="432" ht="15.75" customHeight="1">
      <c r="D432" s="7"/>
      <c r="E432" s="7"/>
    </row>
    <row r="433" ht="15.75" customHeight="1">
      <c r="D433" s="7"/>
      <c r="E433" s="7"/>
    </row>
    <row r="434" ht="15.75" customHeight="1">
      <c r="D434" s="7"/>
      <c r="E434" s="7"/>
    </row>
    <row r="435" ht="15.75" customHeight="1">
      <c r="D435" s="7"/>
      <c r="E435" s="7"/>
    </row>
    <row r="436" ht="15.75" customHeight="1">
      <c r="D436" s="7"/>
      <c r="E436" s="7"/>
    </row>
    <row r="437" ht="15.75" customHeight="1">
      <c r="D437" s="7"/>
      <c r="E437" s="7"/>
    </row>
    <row r="438" ht="15.75" customHeight="1">
      <c r="D438" s="7"/>
      <c r="E438" s="7"/>
    </row>
    <row r="439" ht="15.75" customHeight="1">
      <c r="D439" s="7"/>
      <c r="E439" s="7"/>
    </row>
    <row r="440" ht="15.75" customHeight="1">
      <c r="D440" s="7"/>
      <c r="E440" s="7"/>
    </row>
    <row r="441" ht="15.75" customHeight="1">
      <c r="D441" s="7"/>
      <c r="E441" s="7"/>
    </row>
    <row r="442" ht="15.75" customHeight="1">
      <c r="D442" s="7"/>
      <c r="E442" s="7"/>
    </row>
    <row r="443" ht="15.75" customHeight="1">
      <c r="D443" s="7"/>
      <c r="E443" s="7"/>
    </row>
    <row r="444" ht="15.75" customHeight="1">
      <c r="D444" s="7"/>
      <c r="E444" s="7"/>
    </row>
    <row r="445" ht="15.75" customHeight="1">
      <c r="D445" s="7"/>
      <c r="E445" s="7"/>
    </row>
    <row r="446" ht="15.75" customHeight="1">
      <c r="D446" s="7"/>
      <c r="E446" s="7"/>
    </row>
    <row r="447" ht="15.75" customHeight="1">
      <c r="D447" s="7"/>
      <c r="E447" s="7"/>
    </row>
    <row r="448" ht="15.75" customHeight="1">
      <c r="D448" s="7"/>
      <c r="E448" s="7"/>
    </row>
    <row r="449" ht="15.75" customHeight="1">
      <c r="D449" s="7"/>
      <c r="E449" s="7"/>
    </row>
    <row r="450" ht="15.75" customHeight="1">
      <c r="D450" s="7"/>
      <c r="E450" s="7"/>
    </row>
    <row r="451" ht="15.75" customHeight="1">
      <c r="D451" s="7"/>
      <c r="E451" s="7"/>
    </row>
    <row r="452" ht="15.75" customHeight="1">
      <c r="D452" s="7"/>
      <c r="E452" s="7"/>
    </row>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H2:H253">
    <cfRule type="expression" dxfId="4" priority="1">
      <formula>H2=""</formula>
    </cfRule>
  </conditionalFormatting>
  <dataValidations>
    <dataValidation type="list" allowBlank="1" sqref="E2:E452">
      <formula1>"كغ,غ,لتر,مل,قطعة,عبوة,زجاجة,صندوق,حصة,أخرى"</formula1>
    </dataValidation>
    <dataValidation type="list" allowBlank="1" sqref="D2:D452">
      <formula1>"مكوّن,مشروبات ومستلزمات,تغليف,تنظيف,مستهلكات معدات,أخرى"</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0"/>
    <col customWidth="1" min="2" max="2" width="70.0"/>
    <col customWidth="1" min="3" max="26" width="8.63"/>
  </cols>
  <sheetData>
    <row r="1" ht="30.0" customHeight="1">
      <c r="A1" s="8" t="s">
        <v>869</v>
      </c>
    </row>
    <row r="2">
      <c r="A2" s="9" t="s">
        <v>870</v>
      </c>
      <c r="B2" s="10">
        <v>252.0</v>
      </c>
    </row>
    <row r="3">
      <c r="A3" s="9" t="s">
        <v>871</v>
      </c>
      <c r="B3" s="9" t="s">
        <v>872</v>
      </c>
    </row>
    <row r="4">
      <c r="A4" s="9" t="s">
        <v>873</v>
      </c>
      <c r="B4" s="9" t="s">
        <v>874</v>
      </c>
    </row>
    <row r="5">
      <c r="A5" s="9" t="s">
        <v>5</v>
      </c>
      <c r="B5" s="9" t="s">
        <v>875</v>
      </c>
    </row>
    <row r="6">
      <c r="A6" s="9" t="s">
        <v>6</v>
      </c>
      <c r="B6" s="9" t="s">
        <v>876</v>
      </c>
    </row>
    <row r="7">
      <c r="A7" s="9" t="s">
        <v>877</v>
      </c>
      <c r="B7" s="9" t="s">
        <v>878</v>
      </c>
    </row>
    <row r="8">
      <c r="A8" s="9" t="s">
        <v>8</v>
      </c>
      <c r="B8" s="9" t="s">
        <v>879</v>
      </c>
    </row>
    <row r="9">
      <c r="A9" s="9" t="s">
        <v>880</v>
      </c>
      <c r="B9" s="9" t="s">
        <v>881</v>
      </c>
    </row>
    <row r="10">
      <c r="A10" s="9" t="s">
        <v>882</v>
      </c>
      <c r="B10" s="9" t="s">
        <v>883</v>
      </c>
    </row>
    <row r="11">
      <c r="A11" s="10"/>
      <c r="B11" s="10"/>
    </row>
    <row r="12">
      <c r="A12" s="11" t="s">
        <v>884</v>
      </c>
      <c r="B12" s="11" t="s">
        <v>885</v>
      </c>
    </row>
    <row r="13">
      <c r="A13" s="9" t="s">
        <v>13</v>
      </c>
      <c r="B13" s="10" t="s">
        <v>886</v>
      </c>
    </row>
    <row r="14">
      <c r="A14" s="9" t="s">
        <v>216</v>
      </c>
      <c r="B14" s="10" t="s">
        <v>887</v>
      </c>
    </row>
    <row r="15">
      <c r="A15" s="9" t="s">
        <v>767</v>
      </c>
      <c r="B15" s="10" t="s">
        <v>888</v>
      </c>
    </row>
    <row r="16">
      <c r="A16" s="9" t="s">
        <v>823</v>
      </c>
      <c r="B16" s="10" t="s">
        <v>889</v>
      </c>
    </row>
    <row r="17">
      <c r="A17" s="9" t="s">
        <v>819</v>
      </c>
      <c r="B17" s="10" t="s">
        <v>890</v>
      </c>
    </row>
    <row r="18">
      <c r="A18" s="9" t="s">
        <v>891</v>
      </c>
      <c r="B18" s="10" t="s">
        <v>892</v>
      </c>
    </row>
    <row r="19">
      <c r="A19" s="10"/>
      <c r="B19" s="10"/>
    </row>
    <row r="20">
      <c r="A20" s="11" t="s">
        <v>893</v>
      </c>
      <c r="B20" s="11" t="s">
        <v>885</v>
      </c>
    </row>
    <row r="21" ht="15.75" customHeight="1">
      <c r="A21" s="9" t="s">
        <v>14</v>
      </c>
      <c r="B21" s="10" t="s">
        <v>894</v>
      </c>
    </row>
    <row r="22" ht="15.75" customHeight="1">
      <c r="A22" s="9" t="s">
        <v>370</v>
      </c>
      <c r="B22" s="10" t="s">
        <v>895</v>
      </c>
    </row>
    <row r="23" ht="15.75" customHeight="1">
      <c r="A23" s="9" t="s">
        <v>167</v>
      </c>
      <c r="B23" s="10" t="s">
        <v>896</v>
      </c>
    </row>
    <row r="24" ht="15.75" customHeight="1">
      <c r="A24" s="9" t="s">
        <v>440</v>
      </c>
      <c r="B24" s="10" t="s">
        <v>897</v>
      </c>
    </row>
    <row r="25" ht="15.75" customHeight="1">
      <c r="A25" s="9" t="s">
        <v>97</v>
      </c>
      <c r="B25" s="10" t="s">
        <v>898</v>
      </c>
    </row>
    <row r="26" ht="15.75" customHeight="1">
      <c r="A26" s="9" t="s">
        <v>39</v>
      </c>
      <c r="B26" s="10" t="s">
        <v>899</v>
      </c>
    </row>
    <row r="27" ht="15.75" customHeight="1">
      <c r="A27" s="9" t="s">
        <v>654</v>
      </c>
      <c r="B27" s="10" t="s">
        <v>900</v>
      </c>
    </row>
    <row r="28" ht="15.75" customHeight="1">
      <c r="A28" s="9" t="s">
        <v>824</v>
      </c>
      <c r="B28" s="10" t="s">
        <v>901</v>
      </c>
    </row>
    <row r="29" ht="15.75" customHeight="1">
      <c r="A29" s="9" t="s">
        <v>605</v>
      </c>
      <c r="B29" s="10" t="s">
        <v>902</v>
      </c>
    </row>
    <row r="30" ht="15.75" customHeight="1">
      <c r="A30" s="9" t="s">
        <v>891</v>
      </c>
      <c r="B30" s="10" t="s">
        <v>892</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5.0"/>
    <col customWidth="1" min="2" max="2" width="70.0"/>
    <col customWidth="1" min="3" max="26" width="8.63"/>
  </cols>
  <sheetData>
    <row r="1">
      <c r="A1" s="12" t="s">
        <v>903</v>
      </c>
      <c r="B1" s="12" t="s">
        <v>904</v>
      </c>
    </row>
    <row r="2">
      <c r="A2" s="13" t="s">
        <v>905</v>
      </c>
      <c r="B2" s="14" t="s">
        <v>906</v>
      </c>
    </row>
    <row r="3">
      <c r="A3" s="13" t="s">
        <v>907</v>
      </c>
      <c r="B3" s="14" t="s">
        <v>908</v>
      </c>
    </row>
    <row r="4">
      <c r="A4" s="13" t="s">
        <v>909</v>
      </c>
      <c r="B4" s="14" t="s">
        <v>910</v>
      </c>
    </row>
    <row r="5">
      <c r="A5" s="13" t="s">
        <v>911</v>
      </c>
      <c r="B5" s="14" t="s">
        <v>912</v>
      </c>
    </row>
    <row r="6">
      <c r="A6" s="13" t="s">
        <v>913</v>
      </c>
      <c r="B6" s="14" t="s">
        <v>914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28.0"/>
    <col customWidth="1" min="3" max="3" width="26.0"/>
    <col customWidth="1" min="4" max="4" width="28.0"/>
    <col customWidth="1" min="5" max="5" width="27.0"/>
    <col customWidth="1" min="6" max="8" width="14.0"/>
    <col customWidth="1" min="9" max="9" width="16.0"/>
    <col customWidth="1" min="10" max="10" width="13.0"/>
    <col customWidth="1" min="11" max="11" width="9.0"/>
    <col customWidth="1" min="12" max="12" width="17.0"/>
    <col customWidth="1" min="13" max="13" width="16.0"/>
    <col customWidth="1" min="14" max="14" width="42.0"/>
    <col customWidth="1" min="15" max="15" width="14.0"/>
    <col customWidth="1" min="16" max="26" width="8.63"/>
  </cols>
  <sheetData>
    <row r="1">
      <c r="A1" s="15" t="s">
        <v>915</v>
      </c>
      <c r="B1" s="16" t="s">
        <v>916</v>
      </c>
      <c r="C1" s="16" t="s">
        <v>917</v>
      </c>
      <c r="D1" s="16" t="s">
        <v>918</v>
      </c>
      <c r="E1" s="16" t="s">
        <v>919</v>
      </c>
      <c r="F1" s="16" t="s">
        <v>920</v>
      </c>
      <c r="G1" s="16" t="s">
        <v>921</v>
      </c>
      <c r="H1" s="16" t="s">
        <v>922</v>
      </c>
      <c r="I1" s="16" t="s">
        <v>923</v>
      </c>
      <c r="J1" s="16" t="s">
        <v>924</v>
      </c>
      <c r="K1" s="16" t="s">
        <v>925</v>
      </c>
      <c r="L1" s="16" t="s">
        <v>926</v>
      </c>
      <c r="M1" s="16" t="s">
        <v>927</v>
      </c>
      <c r="N1" s="16" t="s">
        <v>9</v>
      </c>
      <c r="O1" s="17" t="s">
        <v>928</v>
      </c>
    </row>
    <row r="2">
      <c r="A2" s="18" t="s">
        <v>929</v>
      </c>
      <c r="B2" s="19" t="s">
        <v>930</v>
      </c>
      <c r="C2" s="20" t="str">
        <f>IFERROR(VLOOKUP(B2,'مراجع الوصفات'!$A$2:$D$79,2,FALSE),"")</f>
        <v>regular_tea</v>
      </c>
      <c r="D2" s="19" t="s">
        <v>602</v>
      </c>
      <c r="E2" s="20" t="str">
        <f>IFERROR(VLOOKUP(D2,'مراجع الوصفات'!$F$2:$I$253,2,FALSE),"")</f>
        <v>DRK-TEA-AHMAD-BAG</v>
      </c>
      <c r="F2" s="21">
        <v>1.0</v>
      </c>
      <c r="G2" s="19" t="s">
        <v>605</v>
      </c>
      <c r="H2" s="20" t="str">
        <f>IFERROR(VLOOKUP(D2,'مراجع الوصفات'!$F$2:$I$253,3,FALSE),"")</f>
        <v>حصة</v>
      </c>
      <c r="I2" s="22">
        <f t="shared" ref="I2:I301" si="1">IF(OR(F2="",G2="",H2=""),"",IF(G2=H2,F2,IF(AND(G2="غ",H2="كغ"),F2/1000,IF(AND(G2="كغ",H2="غ"),F2*1000,IF(AND(G2="مل",H2="لتر"),F2/1000,IF(AND(G2="لتر",H2="مل"),F2*1000,"خطأ وحدة"))))))</f>
        <v>1</v>
      </c>
      <c r="J2" s="23">
        <v>0.0</v>
      </c>
      <c r="K2" s="19" t="s">
        <v>931</v>
      </c>
      <c r="L2" s="24">
        <f>IFERROR(VLOOKUP(D2,'مراجع الوصفات'!$F$2:$I$253,4,FALSE),"")</f>
        <v>420</v>
      </c>
      <c r="M2" s="24">
        <f t="shared" ref="M2:M301" si="2">IF(OR(I2="",NOT(ISNUMBER(I2)),L2=""),"",I2*L2*(1+J2/100))</f>
        <v>420</v>
      </c>
      <c r="N2" s="19" t="s">
        <v>932</v>
      </c>
      <c r="O2" s="25" t="str">
        <f t="shared" ref="O2:O301" si="3">IF(AND(B2="",D2="",F2=""),"",IF(A2="تجاهل","تجاهل",IF(OR(B2="",D2="",F2="",G2="",H2=""),"ناقص",IF(NOT(ISNUMBER(I2)),"خطأ وحدة",IF(OR(J2&lt;0,J2&gt;100),"خطأ هدر","صالح")))))</f>
        <v>صالح</v>
      </c>
    </row>
    <row r="3">
      <c r="A3" s="18" t="s">
        <v>929</v>
      </c>
      <c r="B3" s="19" t="s">
        <v>933</v>
      </c>
      <c r="C3" s="20" t="str">
        <f>IFERROR(VLOOKUP(B3,'مراجع الوصفات'!$A$2:$D$79,2,FALSE),"")</f>
        <v>mint_tea</v>
      </c>
      <c r="D3" s="19" t="s">
        <v>602</v>
      </c>
      <c r="E3" s="20" t="str">
        <f>IFERROR(VLOOKUP(D3,'مراجع الوصفات'!$F$2:$I$253,2,FALSE),"")</f>
        <v>DRK-TEA-AHMAD-BAG</v>
      </c>
      <c r="F3" s="21">
        <v>1.0</v>
      </c>
      <c r="G3" s="19" t="s">
        <v>605</v>
      </c>
      <c r="H3" s="20" t="str">
        <f>IFERROR(VLOOKUP(D3,'مراجع الوصفات'!$F$2:$I$253,3,FALSE),"")</f>
        <v>حصة</v>
      </c>
      <c r="I3" s="22">
        <f t="shared" si="1"/>
        <v>1</v>
      </c>
      <c r="J3" s="23">
        <v>0.0</v>
      </c>
      <c r="K3" s="19" t="s">
        <v>931</v>
      </c>
      <c r="L3" s="24">
        <f>IFERROR(VLOOKUP(D3,'مراجع الوصفات'!$F$2:$I$253,4,FALSE),"")</f>
        <v>420</v>
      </c>
      <c r="M3" s="24">
        <f t="shared" si="2"/>
        <v>420</v>
      </c>
      <c r="N3" s="26"/>
      <c r="O3" s="25" t="str">
        <f t="shared" si="3"/>
        <v>صالح</v>
      </c>
    </row>
    <row r="4">
      <c r="A4" s="27" t="s">
        <v>929</v>
      </c>
      <c r="B4" s="19" t="s">
        <v>933</v>
      </c>
      <c r="C4" s="20" t="str">
        <f>IFERROR(VLOOKUP(B4,'مراجع الوصفات'!$A$2:$D$79,2,FALSE),"")</f>
        <v>mint_tea</v>
      </c>
      <c r="D4" s="19" t="s">
        <v>101</v>
      </c>
      <c r="E4" s="20" t="str">
        <f>IFERROR(VLOOKUP(D4,'مراجع الوصفات'!$F$2:$I$253,2,FALSE),"")</f>
        <v>ING-HERB-MINT</v>
      </c>
      <c r="F4" s="21">
        <v>0.05</v>
      </c>
      <c r="G4" s="19" t="s">
        <v>39</v>
      </c>
      <c r="H4" s="20" t="str">
        <f>IFERROR(VLOOKUP(D4,'مراجع الوصفات'!$F$2:$I$253,3,FALSE),"")</f>
        <v>عبوة</v>
      </c>
      <c r="I4" s="22">
        <f t="shared" si="1"/>
        <v>0.05</v>
      </c>
      <c r="J4" s="23">
        <v>0.0</v>
      </c>
      <c r="K4" s="19" t="s">
        <v>931</v>
      </c>
      <c r="L4" s="24">
        <f>IFERROR(VLOOKUP(D4,'مراجع الوصفات'!$F$2:$I$253,4,FALSE),"")</f>
        <v>1500</v>
      </c>
      <c r="M4" s="24">
        <f t="shared" si="2"/>
        <v>75</v>
      </c>
      <c r="N4" s="19" t="s">
        <v>934</v>
      </c>
      <c r="O4" s="25" t="str">
        <f t="shared" si="3"/>
        <v>صالح</v>
      </c>
    </row>
    <row r="5">
      <c r="A5" s="18" t="s">
        <v>929</v>
      </c>
      <c r="B5" s="19" t="s">
        <v>935</v>
      </c>
      <c r="C5" s="20" t="str">
        <f>IFERROR(VLOOKUP(B5,'مراجع الوصفات'!$A$2:$D$79,2,FALSE),"")</f>
        <v>sage_tea</v>
      </c>
      <c r="D5" s="19" t="s">
        <v>602</v>
      </c>
      <c r="E5" s="20" t="str">
        <f>IFERROR(VLOOKUP(D5,'مراجع الوصفات'!$F$2:$I$253,2,FALSE),"")</f>
        <v>DRK-TEA-AHMAD-BAG</v>
      </c>
      <c r="F5" s="21">
        <v>1.0</v>
      </c>
      <c r="G5" s="19" t="s">
        <v>605</v>
      </c>
      <c r="H5" s="20" t="str">
        <f>IFERROR(VLOOKUP(D5,'مراجع الوصفات'!$F$2:$I$253,3,FALSE),"")</f>
        <v>حصة</v>
      </c>
      <c r="I5" s="22">
        <f t="shared" si="1"/>
        <v>1</v>
      </c>
      <c r="J5" s="23">
        <v>0.0</v>
      </c>
      <c r="K5" s="19" t="s">
        <v>931</v>
      </c>
      <c r="L5" s="24">
        <f>IFERROR(VLOOKUP(D5,'مراجع الوصفات'!$F$2:$I$253,4,FALSE),"")</f>
        <v>420</v>
      </c>
      <c r="M5" s="24">
        <f t="shared" si="2"/>
        <v>420</v>
      </c>
      <c r="N5" s="26"/>
      <c r="O5" s="25" t="str">
        <f t="shared" si="3"/>
        <v>صالح</v>
      </c>
    </row>
    <row r="6">
      <c r="A6" s="27" t="s">
        <v>929</v>
      </c>
      <c r="B6" s="19" t="s">
        <v>935</v>
      </c>
      <c r="C6" s="20" t="str">
        <f>IFERROR(VLOOKUP(B6,'مراجع الوصفات'!$A$2:$D$79,2,FALSE),"")</f>
        <v>sage_tea</v>
      </c>
      <c r="D6" s="19" t="s">
        <v>562</v>
      </c>
      <c r="E6" s="20" t="str">
        <f>IFERROR(VLOOKUP(D6,'مراجع الوصفات'!$F$2:$I$253,2,FALSE),"")</f>
        <v>ING-HERB-SAGE</v>
      </c>
      <c r="F6" s="21">
        <v>2.0</v>
      </c>
      <c r="G6" s="19" t="s">
        <v>370</v>
      </c>
      <c r="H6" s="20" t="str">
        <f>IFERROR(VLOOKUP(D6,'مراجع الوصفات'!$F$2:$I$253,3,FALSE),"")</f>
        <v>كغ</v>
      </c>
      <c r="I6" s="22">
        <f t="shared" si="1"/>
        <v>0.002</v>
      </c>
      <c r="J6" s="23">
        <v>0.0</v>
      </c>
      <c r="K6" s="19" t="s">
        <v>931</v>
      </c>
      <c r="L6" s="24" t="str">
        <f>IFERROR(VLOOKUP(D6,'مراجع الوصفات'!$F$2:$I$253,4,FALSE),"")</f>
        <v/>
      </c>
      <c r="M6" s="24" t="str">
        <f t="shared" si="2"/>
        <v/>
      </c>
      <c r="N6" s="19" t="s">
        <v>936</v>
      </c>
      <c r="O6" s="25" t="str">
        <f t="shared" si="3"/>
        <v>صالح</v>
      </c>
    </row>
    <row r="7">
      <c r="A7" s="27" t="s">
        <v>929</v>
      </c>
      <c r="B7" s="19" t="s">
        <v>937</v>
      </c>
      <c r="C7" s="20" t="str">
        <f>IFERROR(VLOOKUP(B7,'مراجع الوصفات'!$A$2:$D$79,2,FALSE),"")</f>
        <v>earl_grey_tea</v>
      </c>
      <c r="D7" s="19" t="s">
        <v>607</v>
      </c>
      <c r="E7" s="20" t="str">
        <f>IFERROR(VLOOKUP(D7,'مراجع الوصفات'!$F$2:$I$253,2,FALSE),"")</f>
        <v>DRK-TEA-EARLGREY-BAG</v>
      </c>
      <c r="F7" s="21">
        <v>1.0</v>
      </c>
      <c r="G7" s="19" t="s">
        <v>605</v>
      </c>
      <c r="H7" s="20" t="str">
        <f>IFERROR(VLOOKUP(D7,'مراجع الوصفات'!$F$2:$I$253,3,FALSE),"")</f>
        <v>حصة</v>
      </c>
      <c r="I7" s="22">
        <f t="shared" si="1"/>
        <v>1</v>
      </c>
      <c r="J7" s="23">
        <v>0.0</v>
      </c>
      <c r="K7" s="19" t="s">
        <v>931</v>
      </c>
      <c r="L7" s="24">
        <f>IFERROR(VLOOKUP(D7,'مراجع الوصفات'!$F$2:$I$253,4,FALSE),"")</f>
        <v>585</v>
      </c>
      <c r="M7" s="24">
        <f t="shared" si="2"/>
        <v>585</v>
      </c>
      <c r="N7" s="26"/>
      <c r="O7" s="25" t="str">
        <f t="shared" si="3"/>
        <v>صالح</v>
      </c>
    </row>
    <row r="8">
      <c r="A8" s="27" t="s">
        <v>929</v>
      </c>
      <c r="B8" s="19" t="s">
        <v>938</v>
      </c>
      <c r="C8" s="20" t="str">
        <f>IFERROR(VLOOKUP(B8,'مراجع الوصفات'!$A$2:$D$79,2,FALSE),"")</f>
        <v>fruit_flavored_tea</v>
      </c>
      <c r="D8" s="19" t="s">
        <v>615</v>
      </c>
      <c r="E8" s="20" t="str">
        <f>IFERROR(VLOOKUP(D8,'مراجع الوصفات'!$F$2:$I$253,2,FALSE),"")</f>
        <v>DRK-TEA-FRUIT-BAG</v>
      </c>
      <c r="F8" s="21">
        <v>1.0</v>
      </c>
      <c r="G8" s="19" t="s">
        <v>605</v>
      </c>
      <c r="H8" s="20" t="str">
        <f>IFERROR(VLOOKUP(D8,'مراجع الوصفات'!$F$2:$I$253,3,FALSE),"")</f>
        <v>حصة</v>
      </c>
      <c r="I8" s="22">
        <f t="shared" si="1"/>
        <v>1</v>
      </c>
      <c r="J8" s="23">
        <v>0.0</v>
      </c>
      <c r="K8" s="19" t="s">
        <v>931</v>
      </c>
      <c r="L8" s="24">
        <f>IFERROR(VLOOKUP(D8,'مراجع الوصفات'!$F$2:$I$253,4,FALSE),"")</f>
        <v>1325</v>
      </c>
      <c r="M8" s="24">
        <f t="shared" si="2"/>
        <v>1325</v>
      </c>
      <c r="N8" s="19" t="s">
        <v>939</v>
      </c>
      <c r="O8" s="25" t="str">
        <f t="shared" si="3"/>
        <v>صالح</v>
      </c>
    </row>
    <row r="9">
      <c r="A9" s="27" t="s">
        <v>929</v>
      </c>
      <c r="B9" s="19" t="s">
        <v>940</v>
      </c>
      <c r="C9" s="20" t="str">
        <f>IFERROR(VLOOKUP(B9,'مراجع الوصفات'!$A$2:$D$79,2,FALSE),"")</f>
        <v>zhourat</v>
      </c>
      <c r="D9" s="19" t="s">
        <v>622</v>
      </c>
      <c r="E9" s="20" t="str">
        <f>IFERROR(VLOOKUP(D9,'مراجع الوصفات'!$F$2:$I$253,2,FALSE),"")</f>
        <v>DRK-HERBAL-ZHOURAT</v>
      </c>
      <c r="F9" s="21">
        <v>5.0</v>
      </c>
      <c r="G9" s="19" t="s">
        <v>370</v>
      </c>
      <c r="H9" s="20" t="str">
        <f>IFERROR(VLOOKUP(D9,'مراجع الوصفات'!$F$2:$I$253,3,FALSE),"")</f>
        <v>كغ</v>
      </c>
      <c r="I9" s="22">
        <f t="shared" si="1"/>
        <v>0.005</v>
      </c>
      <c r="J9" s="23">
        <v>0.0</v>
      </c>
      <c r="K9" s="19" t="s">
        <v>931</v>
      </c>
      <c r="L9" s="24" t="str">
        <f>IFERROR(VLOOKUP(D9,'مراجع الوصفات'!$F$2:$I$253,4,FALSE),"")</f>
        <v/>
      </c>
      <c r="M9" s="24" t="str">
        <f t="shared" si="2"/>
        <v/>
      </c>
      <c r="N9" s="19" t="s">
        <v>941</v>
      </c>
      <c r="O9" s="25" t="str">
        <f t="shared" si="3"/>
        <v>صالح</v>
      </c>
    </row>
    <row r="10">
      <c r="A10" s="27" t="s">
        <v>929</v>
      </c>
      <c r="B10" s="19" t="s">
        <v>942</v>
      </c>
      <c r="C10" s="20" t="str">
        <f>IFERROR(VLOOKUP(B10,'مراجع الوصفات'!$A$2:$D$79,2,FALSE),"")</f>
        <v>hot_chocolate_water</v>
      </c>
      <c r="D10" s="19" t="s">
        <v>632</v>
      </c>
      <c r="E10" s="20" t="str">
        <f>IFERROR(VLOOKUP(D10,'مراجع الوصفات'!$F$2:$I$253,2,FALSE),"")</f>
        <v>DRK-CHOCO-SACHET</v>
      </c>
      <c r="F10" s="21">
        <v>1.0</v>
      </c>
      <c r="G10" s="19" t="s">
        <v>605</v>
      </c>
      <c r="H10" s="20" t="str">
        <f>IFERROR(VLOOKUP(D10,'مراجع الوصفات'!$F$2:$I$253,3,FALSE),"")</f>
        <v>حصة</v>
      </c>
      <c r="I10" s="22">
        <f t="shared" si="1"/>
        <v>1</v>
      </c>
      <c r="J10" s="23">
        <v>0.0</v>
      </c>
      <c r="K10" s="19" t="s">
        <v>931</v>
      </c>
      <c r="L10" s="24">
        <f>IFERROR(VLOOKUP(D10,'مراجع الوصفات'!$F$2:$I$253,4,FALSE),"")</f>
        <v>3000</v>
      </c>
      <c r="M10" s="24">
        <f t="shared" si="2"/>
        <v>3000</v>
      </c>
      <c r="N10" s="26"/>
      <c r="O10" s="25" t="str">
        <f t="shared" si="3"/>
        <v>صالح</v>
      </c>
    </row>
    <row r="11">
      <c r="A11" s="27" t="s">
        <v>929</v>
      </c>
      <c r="B11" s="19" t="s">
        <v>943</v>
      </c>
      <c r="C11" s="20" t="str">
        <f>IFERROR(VLOOKUP(B11,'مراجع الوصفات'!$A$2:$D$79,2,FALSE),"")</f>
        <v>hot_chocolate_milk</v>
      </c>
      <c r="D11" s="19" t="s">
        <v>632</v>
      </c>
      <c r="E11" s="20" t="str">
        <f>IFERROR(VLOOKUP(D11,'مراجع الوصفات'!$F$2:$I$253,2,FALSE),"")</f>
        <v>DRK-CHOCO-SACHET</v>
      </c>
      <c r="F11" s="21">
        <v>1.0</v>
      </c>
      <c r="G11" s="19" t="s">
        <v>605</v>
      </c>
      <c r="H11" s="20" t="str">
        <f>IFERROR(VLOOKUP(D11,'مراجع الوصفات'!$F$2:$I$253,3,FALSE),"")</f>
        <v>حصة</v>
      </c>
      <c r="I11" s="22">
        <f t="shared" si="1"/>
        <v>1</v>
      </c>
      <c r="J11" s="23">
        <v>0.0</v>
      </c>
      <c r="K11" s="19" t="s">
        <v>931</v>
      </c>
      <c r="L11" s="24">
        <f>IFERROR(VLOOKUP(D11,'مراجع الوصفات'!$F$2:$I$253,4,FALSE),"")</f>
        <v>3000</v>
      </c>
      <c r="M11" s="24">
        <f t="shared" si="2"/>
        <v>3000</v>
      </c>
      <c r="N11" s="26"/>
      <c r="O11" s="25" t="str">
        <f t="shared" si="3"/>
        <v>صالح</v>
      </c>
    </row>
    <row r="12">
      <c r="A12" s="27" t="s">
        <v>929</v>
      </c>
      <c r="B12" s="19" t="s">
        <v>943</v>
      </c>
      <c r="C12" s="20" t="str">
        <f>IFERROR(VLOOKUP(B12,'مراجع الوصفات'!$A$2:$D$79,2,FALSE),"")</f>
        <v>hot_chocolate_milk</v>
      </c>
      <c r="D12" s="19" t="s">
        <v>164</v>
      </c>
      <c r="E12" s="20" t="str">
        <f>IFERROR(VLOOKUP(D12,'مراجع الوصفات'!$F$2:$I$253,2,FALSE),"")</f>
        <v>ING-DAIRY-MILK</v>
      </c>
      <c r="F12" s="21">
        <v>200.0</v>
      </c>
      <c r="G12" s="19" t="s">
        <v>440</v>
      </c>
      <c r="H12" s="20" t="str">
        <f>IFERROR(VLOOKUP(D12,'مراجع الوصفات'!$F$2:$I$253,3,FALSE),"")</f>
        <v>لتر</v>
      </c>
      <c r="I12" s="22">
        <f t="shared" si="1"/>
        <v>0.2</v>
      </c>
      <c r="J12" s="23">
        <v>0.0</v>
      </c>
      <c r="K12" s="19" t="s">
        <v>931</v>
      </c>
      <c r="L12" s="24">
        <f>IFERROR(VLOOKUP(D12,'مراجع الوصفات'!$F$2:$I$253,4,FALSE),"")</f>
        <v>15000</v>
      </c>
      <c r="M12" s="24">
        <f t="shared" si="2"/>
        <v>3000</v>
      </c>
      <c r="N12" s="19" t="s">
        <v>944</v>
      </c>
      <c r="O12" s="25" t="str">
        <f t="shared" si="3"/>
        <v>صالح</v>
      </c>
    </row>
    <row r="13">
      <c r="A13" s="27" t="s">
        <v>929</v>
      </c>
      <c r="B13" s="19" t="s">
        <v>945</v>
      </c>
      <c r="C13" s="20" t="str">
        <f>IFERROR(VLOOKUP(B13,'مراجع الوصفات'!$A$2:$D$79,2,FALSE),"")</f>
        <v>matcha_water</v>
      </c>
      <c r="D13" s="19" t="s">
        <v>628</v>
      </c>
      <c r="E13" s="20" t="str">
        <f>IFERROR(VLOOKUP(D13,'مراجع الوصفات'!$F$2:$I$253,2,FALSE),"")</f>
        <v>DRK-MATCHA-PORTION</v>
      </c>
      <c r="F13" s="21">
        <v>1.0</v>
      </c>
      <c r="G13" s="19" t="s">
        <v>605</v>
      </c>
      <c r="H13" s="20" t="str">
        <f>IFERROR(VLOOKUP(D13,'مراجع الوصفات'!$F$2:$I$253,3,FALSE),"")</f>
        <v>حصة</v>
      </c>
      <c r="I13" s="22">
        <f t="shared" si="1"/>
        <v>1</v>
      </c>
      <c r="J13" s="23">
        <v>0.0</v>
      </c>
      <c r="K13" s="19" t="s">
        <v>931</v>
      </c>
      <c r="L13" s="24">
        <f>IFERROR(VLOOKUP(D13,'مراجع الوصفات'!$F$2:$I$253,4,FALSE),"")</f>
        <v>4450</v>
      </c>
      <c r="M13" s="24">
        <f t="shared" si="2"/>
        <v>4450</v>
      </c>
      <c r="N13" s="26"/>
      <c r="O13" s="25" t="str">
        <f t="shared" si="3"/>
        <v>صالح</v>
      </c>
    </row>
    <row r="14">
      <c r="A14" s="27" t="s">
        <v>929</v>
      </c>
      <c r="B14" s="19" t="s">
        <v>946</v>
      </c>
      <c r="C14" s="20" t="str">
        <f>IFERROR(VLOOKUP(B14,'مراجع الوصفات'!$A$2:$D$79,2,FALSE),"")</f>
        <v>hot_matcha_latte</v>
      </c>
      <c r="D14" s="19" t="s">
        <v>628</v>
      </c>
      <c r="E14" s="20" t="str">
        <f>IFERROR(VLOOKUP(D14,'مراجع الوصفات'!$F$2:$I$253,2,FALSE),"")</f>
        <v>DRK-MATCHA-PORTION</v>
      </c>
      <c r="F14" s="21">
        <v>1.0</v>
      </c>
      <c r="G14" s="19" t="s">
        <v>605</v>
      </c>
      <c r="H14" s="20" t="str">
        <f>IFERROR(VLOOKUP(D14,'مراجع الوصفات'!$F$2:$I$253,3,FALSE),"")</f>
        <v>حصة</v>
      </c>
      <c r="I14" s="22">
        <f t="shared" si="1"/>
        <v>1</v>
      </c>
      <c r="J14" s="23">
        <v>0.0</v>
      </c>
      <c r="K14" s="19" t="s">
        <v>931</v>
      </c>
      <c r="L14" s="24">
        <f>IFERROR(VLOOKUP(D14,'مراجع الوصفات'!$F$2:$I$253,4,FALSE),"")</f>
        <v>4450</v>
      </c>
      <c r="M14" s="24">
        <f t="shared" si="2"/>
        <v>4450</v>
      </c>
      <c r="N14" s="26"/>
      <c r="O14" s="25" t="str">
        <f t="shared" si="3"/>
        <v>صالح</v>
      </c>
    </row>
    <row r="15">
      <c r="A15" s="27" t="s">
        <v>929</v>
      </c>
      <c r="B15" s="19" t="s">
        <v>946</v>
      </c>
      <c r="C15" s="20" t="str">
        <f>IFERROR(VLOOKUP(B15,'مراجع الوصفات'!$A$2:$D$79,2,FALSE),"")</f>
        <v>hot_matcha_latte</v>
      </c>
      <c r="D15" s="19" t="s">
        <v>164</v>
      </c>
      <c r="E15" s="20" t="str">
        <f>IFERROR(VLOOKUP(D15,'مراجع الوصفات'!$F$2:$I$253,2,FALSE),"")</f>
        <v>ING-DAIRY-MILK</v>
      </c>
      <c r="F15" s="21">
        <v>200.0</v>
      </c>
      <c r="G15" s="19" t="s">
        <v>440</v>
      </c>
      <c r="H15" s="20" t="str">
        <f>IFERROR(VLOOKUP(D15,'مراجع الوصفات'!$F$2:$I$253,3,FALSE),"")</f>
        <v>لتر</v>
      </c>
      <c r="I15" s="22">
        <f t="shared" si="1"/>
        <v>0.2</v>
      </c>
      <c r="J15" s="23">
        <v>0.0</v>
      </c>
      <c r="K15" s="19" t="s">
        <v>931</v>
      </c>
      <c r="L15" s="24">
        <f>IFERROR(VLOOKUP(D15,'مراجع الوصفات'!$F$2:$I$253,4,FALSE),"")</f>
        <v>15000</v>
      </c>
      <c r="M15" s="24">
        <f t="shared" si="2"/>
        <v>3000</v>
      </c>
      <c r="N15" s="19" t="s">
        <v>944</v>
      </c>
      <c r="O15" s="25" t="str">
        <f t="shared" si="3"/>
        <v>صالح</v>
      </c>
    </row>
    <row r="16">
      <c r="A16" s="27" t="s">
        <v>929</v>
      </c>
      <c r="B16" s="19" t="s">
        <v>947</v>
      </c>
      <c r="C16" s="20" t="str">
        <f>IFERROR(VLOOKUP(B16,'مراجع الوصفات'!$A$2:$D$79,2,FALSE),"")</f>
        <v>cola_7up_glass</v>
      </c>
      <c r="D16" s="19" t="s">
        <v>659</v>
      </c>
      <c r="E16" s="20" t="str">
        <f>IFERROR(VLOOKUP(D16,'مراجع الوصفات'!$F$2:$I$253,2,FALSE),"")</f>
        <v>DRK-SODA-SUPRIN-225</v>
      </c>
      <c r="F16" s="21">
        <v>0.111</v>
      </c>
      <c r="G16" s="19" t="s">
        <v>654</v>
      </c>
      <c r="H16" s="20" t="str">
        <f>IFERROR(VLOOKUP(D16,'مراجع الوصفات'!$F$2:$I$253,3,FALSE),"")</f>
        <v>زجاجة</v>
      </c>
      <c r="I16" s="22">
        <f t="shared" si="1"/>
        <v>0.111</v>
      </c>
      <c r="J16" s="23">
        <v>0.0</v>
      </c>
      <c r="K16" s="19" t="s">
        <v>931</v>
      </c>
      <c r="L16" s="24">
        <f>IFERROR(VLOOKUP(D16,'مراجع الوصفات'!$F$2:$I$253,4,FALSE),"")</f>
        <v>15000</v>
      </c>
      <c r="M16" s="24">
        <f t="shared" si="2"/>
        <v>1665</v>
      </c>
      <c r="N16" s="19" t="s">
        <v>948</v>
      </c>
      <c r="O16" s="25" t="str">
        <f t="shared" si="3"/>
        <v>صالح</v>
      </c>
    </row>
    <row r="17">
      <c r="A17" s="27" t="s">
        <v>929</v>
      </c>
      <c r="B17" s="19" t="s">
        <v>949</v>
      </c>
      <c r="C17" s="20" t="str">
        <f>IFERROR(VLOOKUP(B17,'مراجع الوصفات'!$A$2:$D$79,2,FALSE),"")</f>
        <v>canned_fizzy_drink</v>
      </c>
      <c r="D17" s="19" t="s">
        <v>663</v>
      </c>
      <c r="E17" s="20" t="str">
        <f>IFERROR(VLOOKUP(D17,'مراجع الوصفات'!$F$2:$I$253,2,FALSE),"")</f>
        <v>DRK-SODA-CAN</v>
      </c>
      <c r="F17" s="21">
        <v>1.0</v>
      </c>
      <c r="G17" s="19" t="s">
        <v>97</v>
      </c>
      <c r="H17" s="20" t="str">
        <f>IFERROR(VLOOKUP(D17,'مراجع الوصفات'!$F$2:$I$253,3,FALSE),"")</f>
        <v>قطعة</v>
      </c>
      <c r="I17" s="22">
        <f t="shared" si="1"/>
        <v>1</v>
      </c>
      <c r="J17" s="23">
        <v>0.0</v>
      </c>
      <c r="K17" s="19" t="s">
        <v>931</v>
      </c>
      <c r="L17" s="24" t="str">
        <f>IFERROR(VLOOKUP(D17,'مراجع الوصفات'!$F$2:$I$253,4,FALSE),"")</f>
        <v/>
      </c>
      <c r="M17" s="24" t="str">
        <f t="shared" si="2"/>
        <v/>
      </c>
      <c r="N17" s="26"/>
      <c r="O17" s="25" t="str">
        <f t="shared" si="3"/>
        <v>صالح</v>
      </c>
    </row>
    <row r="18">
      <c r="A18" s="27" t="s">
        <v>929</v>
      </c>
      <c r="B18" s="19" t="s">
        <v>950</v>
      </c>
      <c r="C18" s="20" t="str">
        <f>IFERROR(VLOOKUP(B18,'مراجع الوصفات'!$A$2:$D$79,2,FALSE),"")</f>
        <v>juice_glass</v>
      </c>
      <c r="D18" s="19" t="s">
        <v>678</v>
      </c>
      <c r="E18" s="20" t="str">
        <f>IFERROR(VLOOKUP(D18,'مراجع الوصفات'!$F$2:$I$253,2,FALSE),"")</f>
        <v>DRK-JUICE-FIORI-1L</v>
      </c>
      <c r="F18" s="21">
        <v>250.0</v>
      </c>
      <c r="G18" s="19" t="s">
        <v>440</v>
      </c>
      <c r="H18" s="20" t="str">
        <f>IFERROR(VLOOKUP(D18,'مراجع الوصفات'!$F$2:$I$253,3,FALSE),"")</f>
        <v>لتر</v>
      </c>
      <c r="I18" s="22">
        <f t="shared" si="1"/>
        <v>0.25</v>
      </c>
      <c r="J18" s="23">
        <v>0.0</v>
      </c>
      <c r="K18" s="19" t="s">
        <v>931</v>
      </c>
      <c r="L18" s="24">
        <f>IFERROR(VLOOKUP(D18,'مراجع الوصفات'!$F$2:$I$253,4,FALSE),"")</f>
        <v>15000</v>
      </c>
      <c r="M18" s="24">
        <f t="shared" si="2"/>
        <v>3750</v>
      </c>
      <c r="N18" s="19" t="s">
        <v>951</v>
      </c>
      <c r="O18" s="25" t="str">
        <f t="shared" si="3"/>
        <v>صالح</v>
      </c>
    </row>
    <row r="19">
      <c r="A19" s="27" t="s">
        <v>929</v>
      </c>
      <c r="B19" s="19" t="s">
        <v>952</v>
      </c>
      <c r="C19" s="20" t="str">
        <f>IFERROR(VLOOKUP(B19,'مراجع الوصفات'!$A$2:$D$79,2,FALSE),"")</f>
        <v>large_juice</v>
      </c>
      <c r="D19" s="19" t="s">
        <v>678</v>
      </c>
      <c r="E19" s="20" t="str">
        <f>IFERROR(VLOOKUP(D19,'مراجع الوصفات'!$F$2:$I$253,2,FALSE),"")</f>
        <v>DRK-JUICE-FIORI-1L</v>
      </c>
      <c r="F19" s="21">
        <v>400.0</v>
      </c>
      <c r="G19" s="19" t="s">
        <v>440</v>
      </c>
      <c r="H19" s="20" t="str">
        <f>IFERROR(VLOOKUP(D19,'مراجع الوصفات'!$F$2:$I$253,3,FALSE),"")</f>
        <v>لتر</v>
      </c>
      <c r="I19" s="22">
        <f t="shared" si="1"/>
        <v>0.4</v>
      </c>
      <c r="J19" s="23">
        <v>0.0</v>
      </c>
      <c r="K19" s="19" t="s">
        <v>931</v>
      </c>
      <c r="L19" s="24">
        <f>IFERROR(VLOOKUP(D19,'مراجع الوصفات'!$F$2:$I$253,4,FALSE),"")</f>
        <v>15000</v>
      </c>
      <c r="M19" s="24">
        <f t="shared" si="2"/>
        <v>6000</v>
      </c>
      <c r="N19" s="19" t="s">
        <v>953</v>
      </c>
      <c r="O19" s="25" t="str">
        <f t="shared" si="3"/>
        <v>صالح</v>
      </c>
    </row>
    <row r="20">
      <c r="A20" s="27" t="s">
        <v>929</v>
      </c>
      <c r="B20" s="19" t="s">
        <v>954</v>
      </c>
      <c r="C20" s="20" t="str">
        <f>IFERROR(VLOOKUP(B20,'مراجع الوصفات'!$A$2:$D$79,2,FALSE),"")</f>
        <v>cold_yogurt_drink</v>
      </c>
      <c r="D20" s="19" t="s">
        <v>213</v>
      </c>
      <c r="E20" s="20" t="str">
        <f>IFERROR(VLOOKUP(D20,'مراجع الوصفات'!$F$2:$I$253,2,FALSE),"")</f>
        <v>DRK-AYRAN-READY</v>
      </c>
      <c r="F20" s="21">
        <v>300.0</v>
      </c>
      <c r="G20" s="19" t="s">
        <v>440</v>
      </c>
      <c r="H20" s="20" t="str">
        <f>IFERROR(VLOOKUP(D20,'مراجع الوصفات'!$F$2:$I$253,3,FALSE),"")</f>
        <v>لتر</v>
      </c>
      <c r="I20" s="22">
        <f t="shared" si="1"/>
        <v>0.3</v>
      </c>
      <c r="J20" s="23">
        <v>0.0</v>
      </c>
      <c r="K20" s="19" t="s">
        <v>931</v>
      </c>
      <c r="L20" s="24" t="str">
        <f>IFERROR(VLOOKUP(D20,'مراجع الوصفات'!$F$2:$I$253,4,FALSE),"")</f>
        <v/>
      </c>
      <c r="M20" s="24" t="str">
        <f t="shared" si="2"/>
        <v/>
      </c>
      <c r="N20" s="19" t="s">
        <v>955</v>
      </c>
      <c r="O20" s="25" t="str">
        <f t="shared" si="3"/>
        <v>صالح</v>
      </c>
    </row>
    <row r="21" ht="15.75" customHeight="1">
      <c r="A21" s="27" t="s">
        <v>929</v>
      </c>
      <c r="B21" s="19" t="s">
        <v>956</v>
      </c>
      <c r="C21" s="20" t="str">
        <f>IFERROR(VLOOKUP(B21,'مراجع الوصفات'!$A$2:$D$79,2,FALSE),"")</f>
        <v>dibs_lemon</v>
      </c>
      <c r="D21" s="19" t="s">
        <v>448</v>
      </c>
      <c r="E21" s="20" t="str">
        <f>IFERROR(VLOOKUP(D21,'مراجع الوصفات'!$F$2:$I$253,2,FALSE),"")</f>
        <v>ING-SWEET-GRAPEMOLASSES</v>
      </c>
      <c r="F21" s="21">
        <v>30.0</v>
      </c>
      <c r="G21" s="19" t="s">
        <v>370</v>
      </c>
      <c r="H21" s="20" t="str">
        <f>IFERROR(VLOOKUP(D21,'مراجع الوصفات'!$F$2:$I$253,3,FALSE),"")</f>
        <v>كغ</v>
      </c>
      <c r="I21" s="22">
        <f t="shared" si="1"/>
        <v>0.03</v>
      </c>
      <c r="J21" s="23">
        <v>0.0</v>
      </c>
      <c r="K21" s="19" t="s">
        <v>931</v>
      </c>
      <c r="L21" s="24" t="str">
        <f>IFERROR(VLOOKUP(D21,'مراجع الوصفات'!$F$2:$I$253,4,FALSE),"")</f>
        <v/>
      </c>
      <c r="M21" s="24" t="str">
        <f t="shared" si="2"/>
        <v/>
      </c>
      <c r="N21" s="19" t="s">
        <v>957</v>
      </c>
      <c r="O21" s="25" t="str">
        <f t="shared" si="3"/>
        <v>صالح</v>
      </c>
    </row>
    <row r="22" ht="15.75" customHeight="1">
      <c r="A22" s="27" t="s">
        <v>929</v>
      </c>
      <c r="B22" s="19" t="s">
        <v>956</v>
      </c>
      <c r="C22" s="20" t="str">
        <f>IFERROR(VLOOKUP(B22,'مراجع الوصفات'!$A$2:$D$79,2,FALSE),"")</f>
        <v>dibs_lemon</v>
      </c>
      <c r="D22" s="19" t="s">
        <v>24</v>
      </c>
      <c r="E22" s="20" t="str">
        <f>IFERROR(VLOOKUP(D22,'مراجع الوصفات'!$F$2:$I$253,2,FALSE),"")</f>
        <v>ING-FRT-LEMON</v>
      </c>
      <c r="F22" s="21">
        <v>35.0</v>
      </c>
      <c r="G22" s="19" t="s">
        <v>370</v>
      </c>
      <c r="H22" s="20" t="str">
        <f>IFERROR(VLOOKUP(D22,'مراجع الوصفات'!$F$2:$I$253,3,FALSE),"")</f>
        <v>كغ</v>
      </c>
      <c r="I22" s="22">
        <f t="shared" si="1"/>
        <v>0.035</v>
      </c>
      <c r="J22" s="23">
        <v>0.0</v>
      </c>
      <c r="K22" s="19" t="s">
        <v>931</v>
      </c>
      <c r="L22" s="24">
        <f>IFERROR(VLOOKUP(D22,'مراجع الوصفات'!$F$2:$I$253,4,FALSE),"")</f>
        <v>30000</v>
      </c>
      <c r="M22" s="24">
        <f t="shared" si="2"/>
        <v>1050</v>
      </c>
      <c r="N22" s="19" t="s">
        <v>958</v>
      </c>
      <c r="O22" s="25" t="str">
        <f t="shared" si="3"/>
        <v>صالح</v>
      </c>
    </row>
    <row r="23" ht="15.75" customHeight="1">
      <c r="A23" s="27" t="s">
        <v>929</v>
      </c>
      <c r="B23" s="19" t="s">
        <v>959</v>
      </c>
      <c r="C23" s="20" t="str">
        <f>IFERROR(VLOOKUP(B23,'مراجع الوصفات'!$A$2:$D$79,2,FALSE),"")</f>
        <v>karma_jallab</v>
      </c>
      <c r="D23" s="19" t="s">
        <v>639</v>
      </c>
      <c r="E23" s="20" t="str">
        <f>IFERROR(VLOOKUP(D23,'مراجع الوصفات'!$F$2:$I$253,2,FALSE),"")</f>
        <v>DRK-LOCAL-JALLAB</v>
      </c>
      <c r="F23" s="21">
        <v>40.0</v>
      </c>
      <c r="G23" s="19" t="s">
        <v>440</v>
      </c>
      <c r="H23" s="20" t="str">
        <f>IFERROR(VLOOKUP(D23,'مراجع الوصفات'!$F$2:$I$253,3,FALSE),"")</f>
        <v>لتر</v>
      </c>
      <c r="I23" s="22">
        <f t="shared" si="1"/>
        <v>0.04</v>
      </c>
      <c r="J23" s="23">
        <v>0.0</v>
      </c>
      <c r="K23" s="19" t="s">
        <v>931</v>
      </c>
      <c r="L23" s="24" t="str">
        <f>IFERROR(VLOOKUP(D23,'مراجع الوصفات'!$F$2:$I$253,4,FALSE),"")</f>
        <v/>
      </c>
      <c r="M23" s="24" t="str">
        <f t="shared" si="2"/>
        <v/>
      </c>
      <c r="N23" s="19" t="s">
        <v>960</v>
      </c>
      <c r="O23" s="25" t="str">
        <f t="shared" si="3"/>
        <v>صالح</v>
      </c>
    </row>
    <row r="24" ht="15.75" customHeight="1">
      <c r="A24" s="27" t="s">
        <v>929</v>
      </c>
      <c r="B24" s="19" t="s">
        <v>961</v>
      </c>
      <c r="C24" s="20" t="str">
        <f>IFERROR(VLOOKUP(B24,'مراجع الوصفات'!$A$2:$D$79,2,FALSE),"")</f>
        <v>iced_matcha_latte</v>
      </c>
      <c r="D24" s="19" t="s">
        <v>628</v>
      </c>
      <c r="E24" s="20" t="str">
        <f>IFERROR(VLOOKUP(D24,'مراجع الوصفات'!$F$2:$I$253,2,FALSE),"")</f>
        <v>DRK-MATCHA-PORTION</v>
      </c>
      <c r="F24" s="21">
        <v>1.0</v>
      </c>
      <c r="G24" s="19" t="s">
        <v>605</v>
      </c>
      <c r="H24" s="20" t="str">
        <f>IFERROR(VLOOKUP(D24,'مراجع الوصفات'!$F$2:$I$253,3,FALSE),"")</f>
        <v>حصة</v>
      </c>
      <c r="I24" s="22">
        <f t="shared" si="1"/>
        <v>1</v>
      </c>
      <c r="J24" s="23">
        <v>0.0</v>
      </c>
      <c r="K24" s="19" t="s">
        <v>931</v>
      </c>
      <c r="L24" s="24">
        <f>IFERROR(VLOOKUP(D24,'مراجع الوصفات'!$F$2:$I$253,4,FALSE),"")</f>
        <v>4450</v>
      </c>
      <c r="M24" s="24">
        <f t="shared" si="2"/>
        <v>4450</v>
      </c>
      <c r="N24" s="26"/>
      <c r="O24" s="25" t="str">
        <f t="shared" si="3"/>
        <v>صالح</v>
      </c>
    </row>
    <row r="25" ht="15.75" customHeight="1">
      <c r="A25" s="27" t="s">
        <v>929</v>
      </c>
      <c r="B25" s="19" t="s">
        <v>961</v>
      </c>
      <c r="C25" s="20" t="str">
        <f>IFERROR(VLOOKUP(B25,'مراجع الوصفات'!$A$2:$D$79,2,FALSE),"")</f>
        <v>iced_matcha_latte</v>
      </c>
      <c r="D25" s="19" t="s">
        <v>164</v>
      </c>
      <c r="E25" s="20" t="str">
        <f>IFERROR(VLOOKUP(D25,'مراجع الوصفات'!$F$2:$I$253,2,FALSE),"")</f>
        <v>ING-DAIRY-MILK</v>
      </c>
      <c r="F25" s="21">
        <v>200.0</v>
      </c>
      <c r="G25" s="19" t="s">
        <v>440</v>
      </c>
      <c r="H25" s="20" t="str">
        <f>IFERROR(VLOOKUP(D25,'مراجع الوصفات'!$F$2:$I$253,3,FALSE),"")</f>
        <v>لتر</v>
      </c>
      <c r="I25" s="22">
        <f t="shared" si="1"/>
        <v>0.2</v>
      </c>
      <c r="J25" s="23">
        <v>0.0</v>
      </c>
      <c r="K25" s="19" t="s">
        <v>931</v>
      </c>
      <c r="L25" s="24">
        <f>IFERROR(VLOOKUP(D25,'مراجع الوصفات'!$F$2:$I$253,4,FALSE),"")</f>
        <v>15000</v>
      </c>
      <c r="M25" s="24">
        <f t="shared" si="2"/>
        <v>3000</v>
      </c>
      <c r="N25" s="19" t="s">
        <v>944</v>
      </c>
      <c r="O25" s="25" t="str">
        <f t="shared" si="3"/>
        <v>صالح</v>
      </c>
    </row>
    <row r="26" ht="15.75" customHeight="1">
      <c r="A26" s="27" t="s">
        <v>929</v>
      </c>
      <c r="B26" s="19" t="s">
        <v>961</v>
      </c>
      <c r="C26" s="20" t="str">
        <f>IFERROR(VLOOKUP(B26,'مراجع الوصفات'!$A$2:$D$79,2,FALSE),"")</f>
        <v>iced_matcha_latte</v>
      </c>
      <c r="D26" s="19" t="s">
        <v>685</v>
      </c>
      <c r="E26" s="20" t="str">
        <f>IFERROR(VLOOKUP(D26,'مراجع الوصفات'!$F$2:$I$253,2,FALSE),"")</f>
        <v>DRK-ICE</v>
      </c>
      <c r="F26" s="21">
        <v>150.0</v>
      </c>
      <c r="G26" s="19" t="s">
        <v>370</v>
      </c>
      <c r="H26" s="20" t="str">
        <f>IFERROR(VLOOKUP(D26,'مراجع الوصفات'!$F$2:$I$253,3,FALSE),"")</f>
        <v>كغ</v>
      </c>
      <c r="I26" s="22">
        <f t="shared" si="1"/>
        <v>0.15</v>
      </c>
      <c r="J26" s="23">
        <v>0.0</v>
      </c>
      <c r="K26" s="19" t="s">
        <v>931</v>
      </c>
      <c r="L26" s="24">
        <f>IFERROR(VLOOKUP(D26,'مراجع الوصفات'!$F$2:$I$253,4,FALSE),"")</f>
        <v>4000</v>
      </c>
      <c r="M26" s="24">
        <f t="shared" si="2"/>
        <v>600</v>
      </c>
      <c r="N26" s="19" t="s">
        <v>962</v>
      </c>
      <c r="O26" s="25" t="str">
        <f t="shared" si="3"/>
        <v>صالح</v>
      </c>
    </row>
    <row r="27" ht="15.75" customHeight="1">
      <c r="A27" s="27" t="s">
        <v>929</v>
      </c>
      <c r="B27" s="19" t="s">
        <v>963</v>
      </c>
      <c r="C27" s="20" t="str">
        <f>IFERROR(VLOOKUP(B27,'مراجع الوصفات'!$A$2:$D$79,2,FALSE),"")</f>
        <v>wajib_cup_mate</v>
      </c>
      <c r="D27" s="19" t="s">
        <v>625</v>
      </c>
      <c r="E27" s="20" t="str">
        <f>IFERROR(VLOOKUP(D27,'مراجع الوصفات'!$F$2:$I$253,2,FALSE),"")</f>
        <v>DRK-MATE-YERBA</v>
      </c>
      <c r="F27" s="21">
        <v>25.0</v>
      </c>
      <c r="G27" s="19" t="s">
        <v>370</v>
      </c>
      <c r="H27" s="20" t="str">
        <f>IFERROR(VLOOKUP(D27,'مراجع الوصفات'!$F$2:$I$253,3,FALSE),"")</f>
        <v>كغ</v>
      </c>
      <c r="I27" s="22">
        <f t="shared" si="1"/>
        <v>0.025</v>
      </c>
      <c r="J27" s="23">
        <v>0.0</v>
      </c>
      <c r="K27" s="19" t="s">
        <v>931</v>
      </c>
      <c r="L27" s="24" t="str">
        <f>IFERROR(VLOOKUP(D27,'مراجع الوصفات'!$F$2:$I$253,4,FALSE),"")</f>
        <v/>
      </c>
      <c r="M27" s="24" t="str">
        <f t="shared" si="2"/>
        <v/>
      </c>
      <c r="N27" s="19" t="s">
        <v>964</v>
      </c>
      <c r="O27" s="25" t="str">
        <f t="shared" si="3"/>
        <v>صالح</v>
      </c>
    </row>
    <row r="28" ht="15.75" customHeight="1">
      <c r="A28" s="27" t="s">
        <v>929</v>
      </c>
      <c r="B28" s="19" t="s">
        <v>965</v>
      </c>
      <c r="C28" s="20" t="str">
        <f>IFERROR(VLOOKUP(B28,'مراجع الوصفات'!$A$2:$D$79,2,FALSE),"")</f>
        <v>table_mate</v>
      </c>
      <c r="D28" s="19" t="s">
        <v>625</v>
      </c>
      <c r="E28" s="20" t="str">
        <f>IFERROR(VLOOKUP(D28,'مراجع الوصفات'!$F$2:$I$253,2,FALSE),"")</f>
        <v>DRK-MATE-YERBA</v>
      </c>
      <c r="F28" s="21">
        <v>50.0</v>
      </c>
      <c r="G28" s="19" t="s">
        <v>370</v>
      </c>
      <c r="H28" s="20" t="str">
        <f>IFERROR(VLOOKUP(D28,'مراجع الوصفات'!$F$2:$I$253,3,FALSE),"")</f>
        <v>كغ</v>
      </c>
      <c r="I28" s="22">
        <f t="shared" si="1"/>
        <v>0.05</v>
      </c>
      <c r="J28" s="23">
        <v>0.0</v>
      </c>
      <c r="K28" s="19" t="s">
        <v>931</v>
      </c>
      <c r="L28" s="24" t="str">
        <f>IFERROR(VLOOKUP(D28,'مراجع الوصفات'!$F$2:$I$253,4,FALSE),"")</f>
        <v/>
      </c>
      <c r="M28" s="24" t="str">
        <f t="shared" si="2"/>
        <v/>
      </c>
      <c r="N28" s="19" t="s">
        <v>966</v>
      </c>
      <c r="O28" s="25" t="str">
        <f t="shared" si="3"/>
        <v>صالح</v>
      </c>
    </row>
    <row r="29" ht="15.75" customHeight="1">
      <c r="A29" s="27" t="s">
        <v>929</v>
      </c>
      <c r="B29" s="19" t="s">
        <v>967</v>
      </c>
      <c r="C29" s="20" t="str">
        <f>IFERROR(VLOOKUP(B29,'مراجع الوصفات'!$A$2:$D$79,2,FALSE),"")</f>
        <v>basalt_zhourat</v>
      </c>
      <c r="D29" s="19" t="s">
        <v>622</v>
      </c>
      <c r="E29" s="20" t="str">
        <f>IFERROR(VLOOKUP(D29,'مراجع الوصفات'!$F$2:$I$253,2,FALSE),"")</f>
        <v>DRK-HERBAL-ZHOURAT</v>
      </c>
      <c r="F29" s="21">
        <v>5.0</v>
      </c>
      <c r="G29" s="19" t="s">
        <v>370</v>
      </c>
      <c r="H29" s="20" t="str">
        <f>IFERROR(VLOOKUP(D29,'مراجع الوصفات'!$F$2:$I$253,3,FALSE),"")</f>
        <v>كغ</v>
      </c>
      <c r="I29" s="22">
        <f t="shared" si="1"/>
        <v>0.005</v>
      </c>
      <c r="J29" s="23">
        <v>0.0</v>
      </c>
      <c r="K29" s="19" t="s">
        <v>931</v>
      </c>
      <c r="L29" s="24" t="str">
        <f>IFERROR(VLOOKUP(D29,'مراجع الوصفات'!$F$2:$I$253,4,FALSE),"")</f>
        <v/>
      </c>
      <c r="M29" s="24" t="str">
        <f t="shared" si="2"/>
        <v/>
      </c>
      <c r="N29" s="19" t="s">
        <v>968</v>
      </c>
      <c r="O29" s="25" t="str">
        <f t="shared" si="3"/>
        <v>صالح</v>
      </c>
    </row>
    <row r="30" ht="15.75" customHeight="1">
      <c r="A30" s="27" t="s">
        <v>929</v>
      </c>
      <c r="B30" s="19" t="s">
        <v>969</v>
      </c>
      <c r="C30" s="20" t="str">
        <f>IFERROR(VLOOKUP(B30,'مراجع الوصفات'!$A$2:$D$79,2,FALSE),"")</f>
        <v>apple_sage_tea</v>
      </c>
      <c r="D30" s="19" t="s">
        <v>602</v>
      </c>
      <c r="E30" s="20" t="str">
        <f>IFERROR(VLOOKUP(D30,'مراجع الوصفات'!$F$2:$I$253,2,FALSE),"")</f>
        <v>DRK-TEA-AHMAD-BAG</v>
      </c>
      <c r="F30" s="21">
        <v>1.0</v>
      </c>
      <c r="G30" s="19" t="s">
        <v>605</v>
      </c>
      <c r="H30" s="20" t="str">
        <f>IFERROR(VLOOKUP(D30,'مراجع الوصفات'!$F$2:$I$253,3,FALSE),"")</f>
        <v>حصة</v>
      </c>
      <c r="I30" s="22">
        <f t="shared" si="1"/>
        <v>1</v>
      </c>
      <c r="J30" s="23">
        <v>0.0</v>
      </c>
      <c r="K30" s="19" t="s">
        <v>931</v>
      </c>
      <c r="L30" s="24">
        <f>IFERROR(VLOOKUP(D30,'مراجع الوصفات'!$F$2:$I$253,4,FALSE),"")</f>
        <v>420</v>
      </c>
      <c r="M30" s="24">
        <f t="shared" si="2"/>
        <v>420</v>
      </c>
      <c r="N30" s="26"/>
      <c r="O30" s="25" t="str">
        <f t="shared" si="3"/>
        <v>صالح</v>
      </c>
    </row>
    <row r="31" ht="15.75" customHeight="1">
      <c r="A31" s="27" t="s">
        <v>929</v>
      </c>
      <c r="B31" s="19" t="s">
        <v>969</v>
      </c>
      <c r="C31" s="20" t="str">
        <f>IFERROR(VLOOKUP(B31,'مراجع الوصفات'!$A$2:$D$79,2,FALSE),"")</f>
        <v>apple_sage_tea</v>
      </c>
      <c r="D31" s="19" t="s">
        <v>125</v>
      </c>
      <c r="E31" s="20" t="str">
        <f>IFERROR(VLOOKUP(D31,'مراجع الوصفات'!$F$2:$I$253,2,FALSE),"")</f>
        <v>ING-FRT-APPLE</v>
      </c>
      <c r="F31" s="21">
        <v>50.0</v>
      </c>
      <c r="G31" s="19" t="s">
        <v>370</v>
      </c>
      <c r="H31" s="20" t="str">
        <f>IFERROR(VLOOKUP(D31,'مراجع الوصفات'!$F$2:$I$253,3,FALSE),"")</f>
        <v>كغ</v>
      </c>
      <c r="I31" s="22">
        <f t="shared" si="1"/>
        <v>0.05</v>
      </c>
      <c r="J31" s="23">
        <v>0.0</v>
      </c>
      <c r="K31" s="19" t="s">
        <v>931</v>
      </c>
      <c r="L31" s="24" t="str">
        <f>IFERROR(VLOOKUP(D31,'مراجع الوصفات'!$F$2:$I$253,4,FALSE),"")</f>
        <v/>
      </c>
      <c r="M31" s="24" t="str">
        <f t="shared" si="2"/>
        <v/>
      </c>
      <c r="N31" s="19" t="s">
        <v>970</v>
      </c>
      <c r="O31" s="25" t="str">
        <f t="shared" si="3"/>
        <v>صالح</v>
      </c>
    </row>
    <row r="32" ht="15.75" customHeight="1">
      <c r="A32" s="27" t="s">
        <v>929</v>
      </c>
      <c r="B32" s="19" t="s">
        <v>969</v>
      </c>
      <c r="C32" s="20" t="str">
        <f>IFERROR(VLOOKUP(B32,'مراجع الوصفات'!$A$2:$D$79,2,FALSE),"")</f>
        <v>apple_sage_tea</v>
      </c>
      <c r="D32" s="19" t="s">
        <v>562</v>
      </c>
      <c r="E32" s="20" t="str">
        <f>IFERROR(VLOOKUP(D32,'مراجع الوصفات'!$F$2:$I$253,2,FALSE),"")</f>
        <v>ING-HERB-SAGE</v>
      </c>
      <c r="F32" s="21">
        <v>2.0</v>
      </c>
      <c r="G32" s="19" t="s">
        <v>370</v>
      </c>
      <c r="H32" s="20" t="str">
        <f>IFERROR(VLOOKUP(D32,'مراجع الوصفات'!$F$2:$I$253,3,FALSE),"")</f>
        <v>كغ</v>
      </c>
      <c r="I32" s="22">
        <f t="shared" si="1"/>
        <v>0.002</v>
      </c>
      <c r="J32" s="23">
        <v>0.0</v>
      </c>
      <c r="K32" s="19" t="s">
        <v>931</v>
      </c>
      <c r="L32" s="24" t="str">
        <f>IFERROR(VLOOKUP(D32,'مراجع الوصفات'!$F$2:$I$253,4,FALSE),"")</f>
        <v/>
      </c>
      <c r="M32" s="24" t="str">
        <f t="shared" si="2"/>
        <v/>
      </c>
      <c r="N32" s="19" t="s">
        <v>971</v>
      </c>
      <c r="O32" s="25" t="str">
        <f t="shared" si="3"/>
        <v>صالح</v>
      </c>
    </row>
    <row r="33" ht="15.75" customHeight="1">
      <c r="A33" s="27" t="s">
        <v>929</v>
      </c>
      <c r="B33" s="19" t="s">
        <v>972</v>
      </c>
      <c r="C33" s="20" t="str">
        <f>IFERROR(VLOOKUP(B33,'مراجع الوصفات'!$A$2:$D$79,2,FALSE),"")</f>
        <v>rayan_arak_glass</v>
      </c>
      <c r="D33" s="19" t="s">
        <v>689</v>
      </c>
      <c r="E33" s="20" t="str">
        <f>IFERROR(VLOOKUP(D33,'مراجع الوصفات'!$F$2:$I$253,2,FALSE),"")</f>
        <v>DRK-ALC-ARAK-RAYAN</v>
      </c>
      <c r="F33" s="21">
        <v>50.0</v>
      </c>
      <c r="G33" s="19" t="s">
        <v>440</v>
      </c>
      <c r="H33" s="20" t="str">
        <f>IFERROR(VLOOKUP(D33,'مراجع الوصفات'!$F$2:$I$253,3,FALSE),"")</f>
        <v>لتر</v>
      </c>
      <c r="I33" s="22">
        <f t="shared" si="1"/>
        <v>0.05</v>
      </c>
      <c r="J33" s="23">
        <v>0.0</v>
      </c>
      <c r="K33" s="19" t="s">
        <v>931</v>
      </c>
      <c r="L33" s="24">
        <f>IFERROR(VLOOKUP(D33,'مراجع الوصفات'!$F$2:$I$253,4,FALSE),"")</f>
        <v>52000</v>
      </c>
      <c r="M33" s="24">
        <f t="shared" si="2"/>
        <v>2600</v>
      </c>
      <c r="N33" s="19" t="s">
        <v>973</v>
      </c>
      <c r="O33" s="25" t="str">
        <f t="shared" si="3"/>
        <v>صالح</v>
      </c>
    </row>
    <row r="34" ht="15.75" customHeight="1">
      <c r="A34" s="27" t="s">
        <v>929</v>
      </c>
      <c r="B34" s="19" t="s">
        <v>974</v>
      </c>
      <c r="C34" s="20" t="str">
        <f>IFERROR(VLOOKUP(B34,'مراجع الوصفات'!$A$2:$D$79,2,FALSE),"")</f>
        <v>rayan_arak_small_carafe</v>
      </c>
      <c r="D34" s="19" t="s">
        <v>689</v>
      </c>
      <c r="E34" s="20" t="str">
        <f>IFERROR(VLOOKUP(D34,'مراجع الوصفات'!$F$2:$I$253,2,FALSE),"")</f>
        <v>DRK-ALC-ARAK-RAYAN</v>
      </c>
      <c r="F34" s="21">
        <v>250.0</v>
      </c>
      <c r="G34" s="19" t="s">
        <v>440</v>
      </c>
      <c r="H34" s="20" t="str">
        <f>IFERROR(VLOOKUP(D34,'مراجع الوصفات'!$F$2:$I$253,3,FALSE),"")</f>
        <v>لتر</v>
      </c>
      <c r="I34" s="22">
        <f t="shared" si="1"/>
        <v>0.25</v>
      </c>
      <c r="J34" s="23">
        <v>0.0</v>
      </c>
      <c r="K34" s="19" t="s">
        <v>931</v>
      </c>
      <c r="L34" s="24">
        <f>IFERROR(VLOOKUP(D34,'مراجع الوصفات'!$F$2:$I$253,4,FALSE),"")</f>
        <v>52000</v>
      </c>
      <c r="M34" s="24">
        <f t="shared" si="2"/>
        <v>13000</v>
      </c>
      <c r="N34" s="19" t="s">
        <v>975</v>
      </c>
      <c r="O34" s="25" t="str">
        <f t="shared" si="3"/>
        <v>صالح</v>
      </c>
    </row>
    <row r="35" ht="15.75" customHeight="1">
      <c r="A35" s="27" t="s">
        <v>929</v>
      </c>
      <c r="B35" s="19" t="s">
        <v>976</v>
      </c>
      <c r="C35" s="20" t="str">
        <f>IFERROR(VLOOKUP(B35,'مراجع الوصفات'!$A$2:$D$79,2,FALSE),"")</f>
        <v>rayan_arak_table_liter</v>
      </c>
      <c r="D35" s="19" t="s">
        <v>689</v>
      </c>
      <c r="E35" s="20" t="str">
        <f>IFERROR(VLOOKUP(D35,'مراجع الوصفات'!$F$2:$I$253,2,FALSE),"")</f>
        <v>DRK-ALC-ARAK-RAYAN</v>
      </c>
      <c r="F35" s="21">
        <v>1.0</v>
      </c>
      <c r="G35" s="19" t="s">
        <v>167</v>
      </c>
      <c r="H35" s="20" t="str">
        <f>IFERROR(VLOOKUP(D35,'مراجع الوصفات'!$F$2:$I$253,3,FALSE),"")</f>
        <v>لتر</v>
      </c>
      <c r="I35" s="22">
        <f t="shared" si="1"/>
        <v>1</v>
      </c>
      <c r="J35" s="23">
        <v>0.0</v>
      </c>
      <c r="K35" s="19" t="s">
        <v>931</v>
      </c>
      <c r="L35" s="24">
        <f>IFERROR(VLOOKUP(D35,'مراجع الوصفات'!$F$2:$I$253,4,FALSE),"")</f>
        <v>52000</v>
      </c>
      <c r="M35" s="24">
        <f t="shared" si="2"/>
        <v>52000</v>
      </c>
      <c r="N35" s="26"/>
      <c r="O35" s="25" t="str">
        <f t="shared" si="3"/>
        <v>صالح</v>
      </c>
    </row>
    <row r="36" ht="15.75" customHeight="1">
      <c r="A36" s="27" t="s">
        <v>929</v>
      </c>
      <c r="B36" s="19" t="s">
        <v>700</v>
      </c>
      <c r="C36" s="20" t="str">
        <f>IFERROR(VLOOKUP(B36,'مراجع الوصفات'!$A$2:$D$79,2,FALSE),"")</f>
        <v>light_beer</v>
      </c>
      <c r="D36" s="19" t="s">
        <v>700</v>
      </c>
      <c r="E36" s="20" t="str">
        <f>IFERROR(VLOOKUP(D36,'مراجع الوصفات'!$F$2:$I$253,2,FALSE),"")</f>
        <v>DRK-ALC-BEER-LIGHT</v>
      </c>
      <c r="F36" s="21">
        <v>1.0</v>
      </c>
      <c r="G36" s="19" t="s">
        <v>654</v>
      </c>
      <c r="H36" s="20" t="str">
        <f>IFERROR(VLOOKUP(D36,'مراجع الوصفات'!$F$2:$I$253,3,FALSE),"")</f>
        <v>زجاجة</v>
      </c>
      <c r="I36" s="22">
        <f t="shared" si="1"/>
        <v>1</v>
      </c>
      <c r="J36" s="23">
        <v>0.0</v>
      </c>
      <c r="K36" s="19" t="s">
        <v>931</v>
      </c>
      <c r="L36" s="24">
        <f>IFERROR(VLOOKUP(D36,'مراجع الوصفات'!$F$2:$I$253,4,FALSE),"")</f>
        <v>35000</v>
      </c>
      <c r="M36" s="24">
        <f t="shared" si="2"/>
        <v>35000</v>
      </c>
      <c r="N36" s="26"/>
      <c r="O36" s="25" t="str">
        <f t="shared" si="3"/>
        <v>صالح</v>
      </c>
    </row>
    <row r="37" ht="15.75" customHeight="1">
      <c r="A37" s="27" t="s">
        <v>929</v>
      </c>
      <c r="B37" s="19" t="s">
        <v>697</v>
      </c>
      <c r="C37" s="20" t="str">
        <f>IFERROR(VLOOKUP(B37,'مراجع الوصفات'!$A$2:$D$79,2,FALSE),"")</f>
        <v>strong_beer</v>
      </c>
      <c r="D37" s="19" t="s">
        <v>697</v>
      </c>
      <c r="E37" s="20" t="str">
        <f>IFERROR(VLOOKUP(D37,'مراجع الوصفات'!$F$2:$I$253,2,FALSE),"")</f>
        <v>DRK-ALC-BEER-STRONG</v>
      </c>
      <c r="F37" s="21">
        <v>1.0</v>
      </c>
      <c r="G37" s="19" t="s">
        <v>654</v>
      </c>
      <c r="H37" s="20" t="str">
        <f>IFERROR(VLOOKUP(D37,'مراجع الوصفات'!$F$2:$I$253,3,FALSE),"")</f>
        <v>زجاجة</v>
      </c>
      <c r="I37" s="22">
        <f t="shared" si="1"/>
        <v>1</v>
      </c>
      <c r="J37" s="23">
        <v>0.0</v>
      </c>
      <c r="K37" s="19" t="s">
        <v>931</v>
      </c>
      <c r="L37" s="24">
        <f>IFERROR(VLOOKUP(D37,'مراجع الوصفات'!$F$2:$I$253,4,FALSE),"")</f>
        <v>40000</v>
      </c>
      <c r="M37" s="24">
        <f t="shared" si="2"/>
        <v>40000</v>
      </c>
      <c r="N37" s="26"/>
      <c r="O37" s="25" t="str">
        <f t="shared" si="3"/>
        <v>صالح</v>
      </c>
    </row>
    <row r="38" ht="15.75" customHeight="1">
      <c r="A38" s="27" t="s">
        <v>929</v>
      </c>
      <c r="B38" s="19" t="s">
        <v>977</v>
      </c>
      <c r="C38" s="20" t="str">
        <f>IFERROR(VLOOKUP(B38,'مراجع الوصفات'!$A$2:$D$79,2,FALSE),"")</f>
        <v/>
      </c>
      <c r="D38" s="19" t="s">
        <v>342</v>
      </c>
      <c r="E38" s="20" t="str">
        <f>IFERROR(VLOOKUP(D38,'مراجع الوصفات'!$F$2:$I$253,2,FALSE),"")</f>
        <v>ING-BREAD-SAMOON</v>
      </c>
      <c r="F38" s="21">
        <v>1.0</v>
      </c>
      <c r="G38" s="19" t="s">
        <v>97</v>
      </c>
      <c r="H38" s="20" t="str">
        <f>IFERROR(VLOOKUP(D38,'مراجع الوصفات'!$F$2:$I$253,3,FALSE),"")</f>
        <v>قطعة</v>
      </c>
      <c r="I38" s="22">
        <f t="shared" si="1"/>
        <v>1</v>
      </c>
      <c r="J38" s="23">
        <v>0.0</v>
      </c>
      <c r="K38" s="19" t="s">
        <v>931</v>
      </c>
      <c r="L38" s="24" t="str">
        <f>IFERROR(VLOOKUP(D38,'مراجع الوصفات'!$F$2:$I$253,4,FALSE),"")</f>
        <v/>
      </c>
      <c r="M38" s="24" t="str">
        <f t="shared" si="2"/>
        <v/>
      </c>
      <c r="N38" s="19" t="s">
        <v>978</v>
      </c>
      <c r="O38" s="25" t="str">
        <f t="shared" si="3"/>
        <v>صالح</v>
      </c>
    </row>
    <row r="39" ht="15.75" customHeight="1">
      <c r="A39" s="27" t="s">
        <v>929</v>
      </c>
      <c r="B39" s="19" t="s">
        <v>977</v>
      </c>
      <c r="C39" s="20" t="str">
        <f>IFERROR(VLOOKUP(B39,'مراجع الوصفات'!$A$2:$D$79,2,FALSE),"")</f>
        <v/>
      </c>
      <c r="D39" s="19" t="s">
        <v>200</v>
      </c>
      <c r="E39" s="20" t="str">
        <f>IFERROR(VLOOKUP(D39,'مراجع الوصفات'!$F$2:$I$253,2,FALSE),"")</f>
        <v>ING-DAIRY-LABNEH</v>
      </c>
      <c r="F39" s="21">
        <v>100.0</v>
      </c>
      <c r="G39" s="19" t="s">
        <v>370</v>
      </c>
      <c r="H39" s="20" t="str">
        <f>IFERROR(VLOOKUP(D39,'مراجع الوصفات'!$F$2:$I$253,3,FALSE),"")</f>
        <v>كغ</v>
      </c>
      <c r="I39" s="22">
        <f t="shared" si="1"/>
        <v>0.1</v>
      </c>
      <c r="J39" s="23">
        <v>0.0</v>
      </c>
      <c r="K39" s="19" t="s">
        <v>931</v>
      </c>
      <c r="L39" s="24" t="str">
        <f>IFERROR(VLOOKUP(D39,'مراجع الوصفات'!$F$2:$I$253,4,FALSE),"")</f>
        <v/>
      </c>
      <c r="M39" s="24" t="str">
        <f t="shared" si="2"/>
        <v/>
      </c>
      <c r="N39" s="26"/>
      <c r="O39" s="25" t="str">
        <f t="shared" si="3"/>
        <v>صالح</v>
      </c>
    </row>
    <row r="40" ht="15.75" customHeight="1">
      <c r="A40" s="27" t="s">
        <v>929</v>
      </c>
      <c r="B40" s="19" t="s">
        <v>977</v>
      </c>
      <c r="C40" s="20" t="str">
        <f>IFERROR(VLOOKUP(B40,'مراجع الوصفات'!$A$2:$D$79,2,FALSE),"")</f>
        <v/>
      </c>
      <c r="D40" s="19" t="s">
        <v>101</v>
      </c>
      <c r="E40" s="20" t="str">
        <f>IFERROR(VLOOKUP(D40,'مراجع الوصفات'!$F$2:$I$253,2,FALSE),"")</f>
        <v>ING-HERB-MINT</v>
      </c>
      <c r="F40" s="21">
        <v>0.05</v>
      </c>
      <c r="G40" s="19" t="s">
        <v>39</v>
      </c>
      <c r="H40" s="20" t="str">
        <f>IFERROR(VLOOKUP(D40,'مراجع الوصفات'!$F$2:$I$253,3,FALSE),"")</f>
        <v>عبوة</v>
      </c>
      <c r="I40" s="22">
        <f t="shared" si="1"/>
        <v>0.05</v>
      </c>
      <c r="J40" s="23">
        <v>0.0</v>
      </c>
      <c r="K40" s="19" t="s">
        <v>931</v>
      </c>
      <c r="L40" s="24">
        <f>IFERROR(VLOOKUP(D40,'مراجع الوصفات'!$F$2:$I$253,4,FALSE),"")</f>
        <v>1500</v>
      </c>
      <c r="M40" s="24">
        <f t="shared" si="2"/>
        <v>75</v>
      </c>
      <c r="N40" s="19" t="s">
        <v>979</v>
      </c>
      <c r="O40" s="25" t="str">
        <f t="shared" si="3"/>
        <v>صالح</v>
      </c>
    </row>
    <row r="41" ht="15.75" customHeight="1">
      <c r="A41" s="27" t="s">
        <v>929</v>
      </c>
      <c r="B41" s="19" t="s">
        <v>977</v>
      </c>
      <c r="C41" s="20" t="str">
        <f>IFERROR(VLOOKUP(B41,'مراجع الوصفات'!$A$2:$D$79,2,FALSE),"")</f>
        <v/>
      </c>
      <c r="D41" s="19" t="s">
        <v>419</v>
      </c>
      <c r="E41" s="20" t="str">
        <f>IFERROR(VLOOKUP(D41,'مراجع الوصفات'!$F$2:$I$253,2,FALSE),"")</f>
        <v>ING-OIL-OLIVE</v>
      </c>
      <c r="F41" s="21">
        <v>10.0</v>
      </c>
      <c r="G41" s="19" t="s">
        <v>440</v>
      </c>
      <c r="H41" s="20" t="str">
        <f>IFERROR(VLOOKUP(D41,'مراجع الوصفات'!$F$2:$I$253,3,FALSE),"")</f>
        <v>لتر</v>
      </c>
      <c r="I41" s="22">
        <f t="shared" si="1"/>
        <v>0.01</v>
      </c>
      <c r="J41" s="23">
        <v>0.0</v>
      </c>
      <c r="K41" s="19" t="s">
        <v>931</v>
      </c>
      <c r="L41" s="24" t="str">
        <f>IFERROR(VLOOKUP(D41,'مراجع الوصفات'!$F$2:$I$253,4,FALSE),"")</f>
        <v/>
      </c>
      <c r="M41" s="24" t="str">
        <f t="shared" si="2"/>
        <v/>
      </c>
      <c r="N41" s="26"/>
      <c r="O41" s="25" t="str">
        <f t="shared" si="3"/>
        <v>صالح</v>
      </c>
    </row>
    <row r="42" ht="15.75" customHeight="1">
      <c r="A42" s="27" t="s">
        <v>929</v>
      </c>
      <c r="B42" s="19" t="s">
        <v>977</v>
      </c>
      <c r="C42" s="20" t="str">
        <f>IFERROR(VLOOKUP(B42,'مراجع الوصفات'!$A$2:$D$79,2,FALSE),"")</f>
        <v/>
      </c>
      <c r="D42" s="19" t="s">
        <v>28</v>
      </c>
      <c r="E42" s="20" t="str">
        <f>IFERROR(VLOOKUP(D42,'مراجع الوصفات'!$F$2:$I$253,2,FALSE),"")</f>
        <v>ING-VEG-TOMATO</v>
      </c>
      <c r="F42" s="21">
        <v>50.0</v>
      </c>
      <c r="G42" s="19" t="s">
        <v>370</v>
      </c>
      <c r="H42" s="20" t="str">
        <f>IFERROR(VLOOKUP(D42,'مراجع الوصفات'!$F$2:$I$253,3,FALSE),"")</f>
        <v>كغ</v>
      </c>
      <c r="I42" s="22">
        <f t="shared" si="1"/>
        <v>0.05</v>
      </c>
      <c r="J42" s="23">
        <v>0.0</v>
      </c>
      <c r="K42" s="19" t="s">
        <v>931</v>
      </c>
      <c r="L42" s="24">
        <f>IFERROR(VLOOKUP(D42,'مراجع الوصفات'!$F$2:$I$253,4,FALSE),"")</f>
        <v>9000</v>
      </c>
      <c r="M42" s="24">
        <f t="shared" si="2"/>
        <v>450</v>
      </c>
      <c r="N42" s="26"/>
      <c r="O42" s="25" t="str">
        <f t="shared" si="3"/>
        <v>صالح</v>
      </c>
    </row>
    <row r="43" ht="15.75" customHeight="1">
      <c r="A43" s="27" t="s">
        <v>929</v>
      </c>
      <c r="B43" s="19" t="s">
        <v>977</v>
      </c>
      <c r="C43" s="20" t="str">
        <f>IFERROR(VLOOKUP(B43,'مراجع الوصفات'!$A$2:$D$79,2,FALSE),"")</f>
        <v/>
      </c>
      <c r="D43" s="19" t="s">
        <v>52</v>
      </c>
      <c r="E43" s="20" t="str">
        <f>IFERROR(VLOOKUP(D43,'مراجع الوصفات'!$F$2:$I$253,2,FALSE),"")</f>
        <v>ING-VEG-CUCUMBER</v>
      </c>
      <c r="F43" s="21">
        <v>50.0</v>
      </c>
      <c r="G43" s="19" t="s">
        <v>370</v>
      </c>
      <c r="H43" s="20" t="str">
        <f>IFERROR(VLOOKUP(D43,'مراجع الوصفات'!$F$2:$I$253,3,FALSE),"")</f>
        <v>كغ</v>
      </c>
      <c r="I43" s="22">
        <f t="shared" si="1"/>
        <v>0.05</v>
      </c>
      <c r="J43" s="23">
        <v>0.0</v>
      </c>
      <c r="K43" s="19" t="s">
        <v>931</v>
      </c>
      <c r="L43" s="24">
        <f>IFERROR(VLOOKUP(D43,'مراجع الوصفات'!$F$2:$I$253,4,FALSE),"")</f>
        <v>5000</v>
      </c>
      <c r="M43" s="24">
        <f t="shared" si="2"/>
        <v>250</v>
      </c>
      <c r="N43" s="26"/>
      <c r="O43" s="25" t="str">
        <f t="shared" si="3"/>
        <v>صالح</v>
      </c>
    </row>
    <row r="44" ht="15.75" customHeight="1">
      <c r="A44" s="27" t="s">
        <v>929</v>
      </c>
      <c r="B44" s="19" t="s">
        <v>980</v>
      </c>
      <c r="C44" s="20" t="str">
        <f>IFERROR(VLOOKUP(B44,'مراجع الوصفات'!$A$2:$D$79,2,FALSE),"")</f>
        <v/>
      </c>
      <c r="D44" s="19" t="s">
        <v>342</v>
      </c>
      <c r="E44" s="20" t="str">
        <f>IFERROR(VLOOKUP(D44,'مراجع الوصفات'!$F$2:$I$253,2,FALSE),"")</f>
        <v>ING-BREAD-SAMOON</v>
      </c>
      <c r="F44" s="21">
        <v>1.0</v>
      </c>
      <c r="G44" s="19" t="s">
        <v>97</v>
      </c>
      <c r="H44" s="20" t="str">
        <f>IFERROR(VLOOKUP(D44,'مراجع الوصفات'!$F$2:$I$253,3,FALSE),"")</f>
        <v>قطعة</v>
      </c>
      <c r="I44" s="22">
        <f t="shared" si="1"/>
        <v>1</v>
      </c>
      <c r="J44" s="23">
        <v>0.0</v>
      </c>
      <c r="K44" s="19" t="s">
        <v>931</v>
      </c>
      <c r="L44" s="24" t="str">
        <f>IFERROR(VLOOKUP(D44,'مراجع الوصفات'!$F$2:$I$253,4,FALSE),"")</f>
        <v/>
      </c>
      <c r="M44" s="24" t="str">
        <f t="shared" si="2"/>
        <v/>
      </c>
      <c r="N44" s="26"/>
      <c r="O44" s="25" t="str">
        <f t="shared" si="3"/>
        <v>صالح</v>
      </c>
    </row>
    <row r="45" ht="15.75" customHeight="1">
      <c r="A45" s="27" t="s">
        <v>929</v>
      </c>
      <c r="B45" s="19" t="s">
        <v>980</v>
      </c>
      <c r="C45" s="20" t="str">
        <f>IFERROR(VLOOKUP(B45,'مراجع الوصفات'!$A$2:$D$79,2,FALSE),"")</f>
        <v/>
      </c>
      <c r="D45" s="19" t="s">
        <v>419</v>
      </c>
      <c r="E45" s="20" t="str">
        <f>IFERROR(VLOOKUP(D45,'مراجع الوصفات'!$F$2:$I$253,2,FALSE),"")</f>
        <v>ING-OIL-OLIVE</v>
      </c>
      <c r="F45" s="21">
        <v>20.0</v>
      </c>
      <c r="G45" s="19" t="s">
        <v>440</v>
      </c>
      <c r="H45" s="20" t="str">
        <f>IFERROR(VLOOKUP(D45,'مراجع الوصفات'!$F$2:$I$253,3,FALSE),"")</f>
        <v>لتر</v>
      </c>
      <c r="I45" s="22">
        <f t="shared" si="1"/>
        <v>0.02</v>
      </c>
      <c r="J45" s="23">
        <v>0.0</v>
      </c>
      <c r="K45" s="19" t="s">
        <v>931</v>
      </c>
      <c r="L45" s="24" t="str">
        <f>IFERROR(VLOOKUP(D45,'مراجع الوصفات'!$F$2:$I$253,4,FALSE),"")</f>
        <v/>
      </c>
      <c r="M45" s="24" t="str">
        <f t="shared" si="2"/>
        <v/>
      </c>
      <c r="N45" s="26"/>
      <c r="O45" s="25" t="str">
        <f t="shared" si="3"/>
        <v>صالح</v>
      </c>
    </row>
    <row r="46" ht="15.75" customHeight="1">
      <c r="A46" s="27" t="s">
        <v>929</v>
      </c>
      <c r="B46" s="19" t="s">
        <v>980</v>
      </c>
      <c r="C46" s="20" t="str">
        <f>IFERROR(VLOOKUP(B46,'مراجع الوصفات'!$A$2:$D$79,2,FALSE),"")</f>
        <v/>
      </c>
      <c r="D46" s="19" t="s">
        <v>547</v>
      </c>
      <c r="E46" s="20" t="str">
        <f>IFERROR(VLOOKUP(D46,'مراجع الوصفات'!$F$2:$I$253,2,FALSE),"")</f>
        <v>ING-HERB-DRIEDTHYME</v>
      </c>
      <c r="F46" s="21">
        <v>15.0</v>
      </c>
      <c r="G46" s="19" t="s">
        <v>370</v>
      </c>
      <c r="H46" s="20" t="str">
        <f>IFERROR(VLOOKUP(D46,'مراجع الوصفات'!$F$2:$I$253,3,FALSE),"")</f>
        <v>كغ</v>
      </c>
      <c r="I46" s="22">
        <f t="shared" si="1"/>
        <v>0.015</v>
      </c>
      <c r="J46" s="23">
        <v>0.0</v>
      </c>
      <c r="K46" s="19" t="s">
        <v>931</v>
      </c>
      <c r="L46" s="24" t="str">
        <f>IFERROR(VLOOKUP(D46,'مراجع الوصفات'!$F$2:$I$253,4,FALSE),"")</f>
        <v/>
      </c>
      <c r="M46" s="24" t="str">
        <f t="shared" si="2"/>
        <v/>
      </c>
      <c r="N46" s="26"/>
      <c r="O46" s="25" t="str">
        <f t="shared" si="3"/>
        <v>صالح</v>
      </c>
    </row>
    <row r="47" ht="15.75" customHeight="1">
      <c r="A47" s="27" t="s">
        <v>929</v>
      </c>
      <c r="B47" s="19" t="s">
        <v>980</v>
      </c>
      <c r="C47" s="20" t="str">
        <f>IFERROR(VLOOKUP(B47,'مراجع الوصفات'!$A$2:$D$79,2,FALSE),"")</f>
        <v/>
      </c>
      <c r="D47" s="19" t="s">
        <v>28</v>
      </c>
      <c r="E47" s="20" t="str">
        <f>IFERROR(VLOOKUP(D47,'مراجع الوصفات'!$F$2:$I$253,2,FALSE),"")</f>
        <v>ING-VEG-TOMATO</v>
      </c>
      <c r="F47" s="21">
        <v>40.0</v>
      </c>
      <c r="G47" s="19" t="s">
        <v>370</v>
      </c>
      <c r="H47" s="20" t="str">
        <f>IFERROR(VLOOKUP(D47,'مراجع الوصفات'!$F$2:$I$253,3,FALSE),"")</f>
        <v>كغ</v>
      </c>
      <c r="I47" s="22">
        <f t="shared" si="1"/>
        <v>0.04</v>
      </c>
      <c r="J47" s="23">
        <v>0.0</v>
      </c>
      <c r="K47" s="19" t="s">
        <v>931</v>
      </c>
      <c r="L47" s="24">
        <f>IFERROR(VLOOKUP(D47,'مراجع الوصفات'!$F$2:$I$253,4,FALSE),"")</f>
        <v>9000</v>
      </c>
      <c r="M47" s="24">
        <f t="shared" si="2"/>
        <v>360</v>
      </c>
      <c r="N47" s="26"/>
      <c r="O47" s="25" t="str">
        <f t="shared" si="3"/>
        <v>صالح</v>
      </c>
    </row>
    <row r="48" ht="15.75" customHeight="1">
      <c r="A48" s="27" t="s">
        <v>929</v>
      </c>
      <c r="B48" s="19" t="s">
        <v>980</v>
      </c>
      <c r="C48" s="20" t="str">
        <f>IFERROR(VLOOKUP(B48,'مراجع الوصفات'!$A$2:$D$79,2,FALSE),"")</f>
        <v/>
      </c>
      <c r="D48" s="19" t="s">
        <v>52</v>
      </c>
      <c r="E48" s="20" t="str">
        <f>IFERROR(VLOOKUP(D48,'مراجع الوصفات'!$F$2:$I$253,2,FALSE),"")</f>
        <v>ING-VEG-CUCUMBER</v>
      </c>
      <c r="F48" s="21">
        <v>40.0</v>
      </c>
      <c r="G48" s="19" t="s">
        <v>370</v>
      </c>
      <c r="H48" s="20" t="str">
        <f>IFERROR(VLOOKUP(D48,'مراجع الوصفات'!$F$2:$I$253,3,FALSE),"")</f>
        <v>كغ</v>
      </c>
      <c r="I48" s="22">
        <f t="shared" si="1"/>
        <v>0.04</v>
      </c>
      <c r="J48" s="23">
        <v>0.0</v>
      </c>
      <c r="K48" s="19" t="s">
        <v>931</v>
      </c>
      <c r="L48" s="24">
        <f>IFERROR(VLOOKUP(D48,'مراجع الوصفات'!$F$2:$I$253,4,FALSE),"")</f>
        <v>5000</v>
      </c>
      <c r="M48" s="24">
        <f t="shared" si="2"/>
        <v>200</v>
      </c>
      <c r="N48" s="26"/>
      <c r="O48" s="25" t="str">
        <f t="shared" si="3"/>
        <v>صالح</v>
      </c>
    </row>
    <row r="49" ht="15.75" customHeight="1">
      <c r="A49" s="27" t="s">
        <v>929</v>
      </c>
      <c r="B49" s="19" t="s">
        <v>981</v>
      </c>
      <c r="C49" s="20" t="str">
        <f>IFERROR(VLOOKUP(B49,'مراجع الوصفات'!$A$2:$D$79,2,FALSE),"")</f>
        <v/>
      </c>
      <c r="D49" s="19" t="s">
        <v>342</v>
      </c>
      <c r="E49" s="20" t="str">
        <f>IFERROR(VLOOKUP(D49,'مراجع الوصفات'!$F$2:$I$253,2,FALSE),"")</f>
        <v>ING-BREAD-SAMOON</v>
      </c>
      <c r="F49" s="21">
        <v>1.0</v>
      </c>
      <c r="G49" s="19" t="s">
        <v>97</v>
      </c>
      <c r="H49" s="20" t="str">
        <f>IFERROR(VLOOKUP(D49,'مراجع الوصفات'!$F$2:$I$253,3,FALSE),"")</f>
        <v>قطعة</v>
      </c>
      <c r="I49" s="22">
        <f t="shared" si="1"/>
        <v>1</v>
      </c>
      <c r="J49" s="23">
        <v>0.0</v>
      </c>
      <c r="K49" s="19" t="s">
        <v>931</v>
      </c>
      <c r="L49" s="24" t="str">
        <f>IFERROR(VLOOKUP(D49,'مراجع الوصفات'!$F$2:$I$253,4,FALSE),"")</f>
        <v/>
      </c>
      <c r="M49" s="24" t="str">
        <f t="shared" si="2"/>
        <v/>
      </c>
      <c r="N49" s="26"/>
      <c r="O49" s="25" t="str">
        <f t="shared" si="3"/>
        <v>صالح</v>
      </c>
    </row>
    <row r="50" ht="15.75" customHeight="1">
      <c r="A50" s="27" t="s">
        <v>929</v>
      </c>
      <c r="B50" s="19" t="s">
        <v>981</v>
      </c>
      <c r="C50" s="20" t="str">
        <f>IFERROR(VLOOKUP(B50,'مراجع الوصفات'!$A$2:$D$79,2,FALSE),"")</f>
        <v/>
      </c>
      <c r="D50" s="19" t="s">
        <v>270</v>
      </c>
      <c r="E50" s="20" t="str">
        <f>IFERROR(VLOOKUP(D50,'مراجع الوصفات'!$F$2:$I$253,2,FALSE),"")</f>
        <v>ING-PREP-MUHAMMARA</v>
      </c>
      <c r="F50" s="21">
        <v>120.0</v>
      </c>
      <c r="G50" s="19" t="s">
        <v>370</v>
      </c>
      <c r="H50" s="20" t="str">
        <f>IFERROR(VLOOKUP(D50,'مراجع الوصفات'!$F$2:$I$253,3,FALSE),"")</f>
        <v>كغ</v>
      </c>
      <c r="I50" s="22">
        <f t="shared" si="1"/>
        <v>0.12</v>
      </c>
      <c r="J50" s="23">
        <v>0.0</v>
      </c>
      <c r="K50" s="19" t="s">
        <v>931</v>
      </c>
      <c r="L50" s="24" t="str">
        <f>IFERROR(VLOOKUP(D50,'مراجع الوصفات'!$F$2:$I$253,4,FALSE),"")</f>
        <v/>
      </c>
      <c r="M50" s="24" t="str">
        <f t="shared" si="2"/>
        <v/>
      </c>
      <c r="N50" s="26"/>
      <c r="O50" s="25" t="str">
        <f t="shared" si="3"/>
        <v>صالح</v>
      </c>
    </row>
    <row r="51" ht="15.75" customHeight="1">
      <c r="A51" s="27" t="s">
        <v>929</v>
      </c>
      <c r="B51" s="19" t="s">
        <v>981</v>
      </c>
      <c r="C51" s="20" t="str">
        <f>IFERROR(VLOOKUP(B51,'مراجع الوصفات'!$A$2:$D$79,2,FALSE),"")</f>
        <v/>
      </c>
      <c r="D51" s="19" t="s">
        <v>404</v>
      </c>
      <c r="E51" s="20" t="str">
        <f>IFERROR(VLOOKUP(D51,'مراجع الوصفات'!$F$2:$I$253,2,FALSE),"")</f>
        <v>ING-PICKLE-MIXED</v>
      </c>
      <c r="F51" s="21">
        <v>0.08</v>
      </c>
      <c r="G51" s="19" t="s">
        <v>39</v>
      </c>
      <c r="H51" s="20" t="str">
        <f>IFERROR(VLOOKUP(D51,'مراجع الوصفات'!$F$2:$I$253,3,FALSE),"")</f>
        <v>عبوة</v>
      </c>
      <c r="I51" s="22">
        <f t="shared" si="1"/>
        <v>0.08</v>
      </c>
      <c r="J51" s="23">
        <v>0.0</v>
      </c>
      <c r="K51" s="19" t="s">
        <v>931</v>
      </c>
      <c r="L51" s="24">
        <f>IFERROR(VLOOKUP(D51,'مراجع الوصفات'!$F$2:$I$253,4,FALSE),"")</f>
        <v>7000</v>
      </c>
      <c r="M51" s="24">
        <f t="shared" si="2"/>
        <v>560</v>
      </c>
      <c r="N51" s="19" t="s">
        <v>982</v>
      </c>
      <c r="O51" s="25" t="str">
        <f t="shared" si="3"/>
        <v>صالح</v>
      </c>
    </row>
    <row r="52" ht="15.75" customHeight="1">
      <c r="A52" s="27" t="s">
        <v>929</v>
      </c>
      <c r="B52" s="19" t="s">
        <v>983</v>
      </c>
      <c r="C52" s="20" t="str">
        <f>IFERROR(VLOOKUP(B52,'مراجع الوصفات'!$A$2:$D$79,2,FALSE),"")</f>
        <v/>
      </c>
      <c r="D52" s="19" t="s">
        <v>342</v>
      </c>
      <c r="E52" s="20" t="str">
        <f>IFERROR(VLOOKUP(D52,'مراجع الوصفات'!$F$2:$I$253,2,FALSE),"")</f>
        <v>ING-BREAD-SAMOON</v>
      </c>
      <c r="F52" s="21">
        <v>1.0</v>
      </c>
      <c r="G52" s="19" t="s">
        <v>97</v>
      </c>
      <c r="H52" s="20" t="str">
        <f>IFERROR(VLOOKUP(D52,'مراجع الوصفات'!$F$2:$I$253,3,FALSE),"")</f>
        <v>قطعة</v>
      </c>
      <c r="I52" s="22">
        <f t="shared" si="1"/>
        <v>1</v>
      </c>
      <c r="J52" s="23">
        <v>0.0</v>
      </c>
      <c r="K52" s="19" t="s">
        <v>931</v>
      </c>
      <c r="L52" s="24" t="str">
        <f>IFERROR(VLOOKUP(D52,'مراجع الوصفات'!$F$2:$I$253,4,FALSE),"")</f>
        <v/>
      </c>
      <c r="M52" s="24" t="str">
        <f t="shared" si="2"/>
        <v/>
      </c>
      <c r="N52" s="26"/>
      <c r="O52" s="25" t="str">
        <f t="shared" si="3"/>
        <v>صالح</v>
      </c>
    </row>
    <row r="53" ht="15.75" customHeight="1">
      <c r="A53" s="27" t="s">
        <v>929</v>
      </c>
      <c r="B53" s="19" t="s">
        <v>983</v>
      </c>
      <c r="C53" s="20" t="str">
        <f>IFERROR(VLOOKUP(B53,'مراجع الوصفات'!$A$2:$D$79,2,FALSE),"")</f>
        <v/>
      </c>
      <c r="D53" s="19" t="s">
        <v>185</v>
      </c>
      <c r="E53" s="20" t="str">
        <f>IFERROR(VLOOKUP(D53,'مراجع الوصفات'!$F$2:$I$253,2,FALSE),"")</f>
        <v>ING-CHEESE-WHITE</v>
      </c>
      <c r="F53" s="21">
        <v>100.0</v>
      </c>
      <c r="G53" s="19" t="s">
        <v>370</v>
      </c>
      <c r="H53" s="20" t="str">
        <f>IFERROR(VLOOKUP(D53,'مراجع الوصفات'!$F$2:$I$253,3,FALSE),"")</f>
        <v>كغ</v>
      </c>
      <c r="I53" s="22">
        <f t="shared" si="1"/>
        <v>0.1</v>
      </c>
      <c r="J53" s="23">
        <v>0.0</v>
      </c>
      <c r="K53" s="19" t="s">
        <v>931</v>
      </c>
      <c r="L53" s="24" t="str">
        <f>IFERROR(VLOOKUP(D53,'مراجع الوصفات'!$F$2:$I$253,4,FALSE),"")</f>
        <v/>
      </c>
      <c r="M53" s="24" t="str">
        <f t="shared" si="2"/>
        <v/>
      </c>
      <c r="N53" s="26"/>
      <c r="O53" s="25" t="str">
        <f t="shared" si="3"/>
        <v>صالح</v>
      </c>
    </row>
    <row r="54" ht="15.75" customHeight="1">
      <c r="A54" s="27" t="s">
        <v>929</v>
      </c>
      <c r="B54" s="19" t="s">
        <v>983</v>
      </c>
      <c r="C54" s="20" t="str">
        <f>IFERROR(VLOOKUP(B54,'مراجع الوصفات'!$A$2:$D$79,2,FALSE),"")</f>
        <v/>
      </c>
      <c r="D54" s="19" t="s">
        <v>111</v>
      </c>
      <c r="E54" s="20" t="str">
        <f>IFERROR(VLOOKUP(D54,'مراجع الوصفات'!$F$2:$I$253,2,FALSE),"")</f>
        <v>ING-HERB-BASIL</v>
      </c>
      <c r="F54" s="21">
        <v>0.05</v>
      </c>
      <c r="G54" s="19" t="s">
        <v>39</v>
      </c>
      <c r="H54" s="20" t="str">
        <f>IFERROR(VLOOKUP(D54,'مراجع الوصفات'!$F$2:$I$253,3,FALSE),"")</f>
        <v>عبوة</v>
      </c>
      <c r="I54" s="22">
        <f t="shared" si="1"/>
        <v>0.05</v>
      </c>
      <c r="J54" s="23">
        <v>0.0</v>
      </c>
      <c r="K54" s="19" t="s">
        <v>931</v>
      </c>
      <c r="L54" s="24" t="str">
        <f>IFERROR(VLOOKUP(D54,'مراجع الوصفات'!$F$2:$I$253,4,FALSE),"")</f>
        <v/>
      </c>
      <c r="M54" s="24" t="str">
        <f t="shared" si="2"/>
        <v/>
      </c>
      <c r="N54" s="26"/>
      <c r="O54" s="25" t="str">
        <f t="shared" si="3"/>
        <v>صالح</v>
      </c>
    </row>
    <row r="55" ht="15.75" customHeight="1">
      <c r="A55" s="27" t="s">
        <v>929</v>
      </c>
      <c r="B55" s="19" t="s">
        <v>983</v>
      </c>
      <c r="C55" s="20" t="str">
        <f>IFERROR(VLOOKUP(B55,'مراجع الوصفات'!$A$2:$D$79,2,FALSE),"")</f>
        <v/>
      </c>
      <c r="D55" s="19" t="s">
        <v>419</v>
      </c>
      <c r="E55" s="20" t="str">
        <f>IFERROR(VLOOKUP(D55,'مراجع الوصفات'!$F$2:$I$253,2,FALSE),"")</f>
        <v>ING-OIL-OLIVE</v>
      </c>
      <c r="F55" s="21">
        <v>10.0</v>
      </c>
      <c r="G55" s="19" t="s">
        <v>440</v>
      </c>
      <c r="H55" s="20" t="str">
        <f>IFERROR(VLOOKUP(D55,'مراجع الوصفات'!$F$2:$I$253,3,FALSE),"")</f>
        <v>لتر</v>
      </c>
      <c r="I55" s="22">
        <f t="shared" si="1"/>
        <v>0.01</v>
      </c>
      <c r="J55" s="23">
        <v>0.0</v>
      </c>
      <c r="K55" s="19" t="s">
        <v>931</v>
      </c>
      <c r="L55" s="24" t="str">
        <f>IFERROR(VLOOKUP(D55,'مراجع الوصفات'!$F$2:$I$253,4,FALSE),"")</f>
        <v/>
      </c>
      <c r="M55" s="24" t="str">
        <f t="shared" si="2"/>
        <v/>
      </c>
      <c r="N55" s="26"/>
      <c r="O55" s="25" t="str">
        <f t="shared" si="3"/>
        <v>صالح</v>
      </c>
    </row>
    <row r="56" ht="15.75" customHeight="1">
      <c r="A56" s="27" t="s">
        <v>929</v>
      </c>
      <c r="B56" s="19" t="s">
        <v>983</v>
      </c>
      <c r="C56" s="20" t="str">
        <f>IFERROR(VLOOKUP(B56,'مراجع الوصفات'!$A$2:$D$79,2,FALSE),"")</f>
        <v/>
      </c>
      <c r="D56" s="19" t="s">
        <v>28</v>
      </c>
      <c r="E56" s="20" t="str">
        <f>IFERROR(VLOOKUP(D56,'مراجع الوصفات'!$F$2:$I$253,2,FALSE),"")</f>
        <v>ING-VEG-TOMATO</v>
      </c>
      <c r="F56" s="21">
        <v>50.0</v>
      </c>
      <c r="G56" s="19" t="s">
        <v>370</v>
      </c>
      <c r="H56" s="20" t="str">
        <f>IFERROR(VLOOKUP(D56,'مراجع الوصفات'!$F$2:$I$253,3,FALSE),"")</f>
        <v>كغ</v>
      </c>
      <c r="I56" s="22">
        <f t="shared" si="1"/>
        <v>0.05</v>
      </c>
      <c r="J56" s="23">
        <v>0.0</v>
      </c>
      <c r="K56" s="19" t="s">
        <v>931</v>
      </c>
      <c r="L56" s="24">
        <f>IFERROR(VLOOKUP(D56,'مراجع الوصفات'!$F$2:$I$253,4,FALSE),"")</f>
        <v>9000</v>
      </c>
      <c r="M56" s="24">
        <f t="shared" si="2"/>
        <v>450</v>
      </c>
      <c r="N56" s="26"/>
      <c r="O56" s="25" t="str">
        <f t="shared" si="3"/>
        <v>صالح</v>
      </c>
    </row>
    <row r="57" ht="15.75" customHeight="1">
      <c r="A57" s="27" t="s">
        <v>929</v>
      </c>
      <c r="B57" s="19" t="s">
        <v>983</v>
      </c>
      <c r="C57" s="20" t="str">
        <f>IFERROR(VLOOKUP(B57,'مراجع الوصفات'!$A$2:$D$79,2,FALSE),"")</f>
        <v/>
      </c>
      <c r="D57" s="19" t="s">
        <v>52</v>
      </c>
      <c r="E57" s="20" t="str">
        <f>IFERROR(VLOOKUP(D57,'مراجع الوصفات'!$F$2:$I$253,2,FALSE),"")</f>
        <v>ING-VEG-CUCUMBER</v>
      </c>
      <c r="F57" s="21">
        <v>50.0</v>
      </c>
      <c r="G57" s="19" t="s">
        <v>370</v>
      </c>
      <c r="H57" s="20" t="str">
        <f>IFERROR(VLOOKUP(D57,'مراجع الوصفات'!$F$2:$I$253,3,FALSE),"")</f>
        <v>كغ</v>
      </c>
      <c r="I57" s="22">
        <f t="shared" si="1"/>
        <v>0.05</v>
      </c>
      <c r="J57" s="23">
        <v>0.0</v>
      </c>
      <c r="K57" s="19" t="s">
        <v>931</v>
      </c>
      <c r="L57" s="24">
        <f>IFERROR(VLOOKUP(D57,'مراجع الوصفات'!$F$2:$I$253,4,FALSE),"")</f>
        <v>5000</v>
      </c>
      <c r="M57" s="24">
        <f t="shared" si="2"/>
        <v>250</v>
      </c>
      <c r="N57" s="26"/>
      <c r="O57" s="25" t="str">
        <f t="shared" si="3"/>
        <v>صالح</v>
      </c>
    </row>
    <row r="58" ht="15.75" customHeight="1">
      <c r="A58" s="27" t="s">
        <v>929</v>
      </c>
      <c r="B58" s="19" t="s">
        <v>984</v>
      </c>
      <c r="C58" s="20" t="str">
        <f>IFERROR(VLOOKUP(B58,'مراجع الوصفات'!$A$2:$D$79,2,FALSE),"")</f>
        <v/>
      </c>
      <c r="D58" s="19" t="s">
        <v>342</v>
      </c>
      <c r="E58" s="20" t="str">
        <f>IFERROR(VLOOKUP(D58,'مراجع الوصفات'!$F$2:$I$253,2,FALSE),"")</f>
        <v>ING-BREAD-SAMOON</v>
      </c>
      <c r="F58" s="21">
        <v>1.0</v>
      </c>
      <c r="G58" s="19" t="s">
        <v>97</v>
      </c>
      <c r="H58" s="20" t="str">
        <f>IFERROR(VLOOKUP(D58,'مراجع الوصفات'!$F$2:$I$253,3,FALSE),"")</f>
        <v>قطعة</v>
      </c>
      <c r="I58" s="22">
        <f t="shared" si="1"/>
        <v>1</v>
      </c>
      <c r="J58" s="23">
        <v>0.0</v>
      </c>
      <c r="K58" s="19" t="s">
        <v>931</v>
      </c>
      <c r="L58" s="24" t="str">
        <f>IFERROR(VLOOKUP(D58,'مراجع الوصفات'!$F$2:$I$253,4,FALSE),"")</f>
        <v/>
      </c>
      <c r="M58" s="24" t="str">
        <f t="shared" si="2"/>
        <v/>
      </c>
      <c r="N58" s="26"/>
      <c r="O58" s="25" t="str">
        <f t="shared" si="3"/>
        <v>صالح</v>
      </c>
    </row>
    <row r="59" ht="15.75" customHeight="1">
      <c r="A59" s="27" t="s">
        <v>929</v>
      </c>
      <c r="B59" s="19" t="s">
        <v>984</v>
      </c>
      <c r="C59" s="20" t="str">
        <f>IFERROR(VLOOKUP(B59,'مراجع الوصفات'!$A$2:$D$79,2,FALSE),"")</f>
        <v/>
      </c>
      <c r="D59" s="19" t="s">
        <v>181</v>
      </c>
      <c r="E59" s="20" t="str">
        <f>IFERROR(VLOOKUP(D59,'مراجع الوصفات'!$F$2:$I$253,2,FALSE),"")</f>
        <v>ING-DAIRY-EGG</v>
      </c>
      <c r="F59" s="21">
        <v>2.0</v>
      </c>
      <c r="G59" s="19" t="s">
        <v>97</v>
      </c>
      <c r="H59" s="20" t="str">
        <f>IFERROR(VLOOKUP(D59,'مراجع الوصفات'!$F$2:$I$253,3,FALSE),"")</f>
        <v>قطعة</v>
      </c>
      <c r="I59" s="22">
        <f t="shared" si="1"/>
        <v>2</v>
      </c>
      <c r="J59" s="23">
        <v>0.0</v>
      </c>
      <c r="K59" s="19" t="s">
        <v>931</v>
      </c>
      <c r="L59" s="24">
        <f>IFERROR(VLOOKUP(D59,'مراجع الوصفات'!$F$2:$I$253,4,FALSE),"")</f>
        <v>1500</v>
      </c>
      <c r="M59" s="24">
        <f t="shared" si="2"/>
        <v>3000</v>
      </c>
      <c r="N59" s="26"/>
      <c r="O59" s="25" t="str">
        <f t="shared" si="3"/>
        <v>صالح</v>
      </c>
    </row>
    <row r="60" ht="15.75" customHeight="1">
      <c r="A60" s="27" t="s">
        <v>929</v>
      </c>
      <c r="B60" s="19" t="s">
        <v>984</v>
      </c>
      <c r="C60" s="20" t="str">
        <f>IFERROR(VLOOKUP(B60,'مراجع الوصفات'!$A$2:$D$79,2,FALSE),"")</f>
        <v/>
      </c>
      <c r="D60" s="19" t="s">
        <v>185</v>
      </c>
      <c r="E60" s="20" t="str">
        <f>IFERROR(VLOOKUP(D60,'مراجع الوصفات'!$F$2:$I$253,2,FALSE),"")</f>
        <v>ING-CHEESE-WHITE</v>
      </c>
      <c r="F60" s="21">
        <v>50.0</v>
      </c>
      <c r="G60" s="19" t="s">
        <v>370</v>
      </c>
      <c r="H60" s="20" t="str">
        <f>IFERROR(VLOOKUP(D60,'مراجع الوصفات'!$F$2:$I$253,3,FALSE),"")</f>
        <v>كغ</v>
      </c>
      <c r="I60" s="22">
        <f t="shared" si="1"/>
        <v>0.05</v>
      </c>
      <c r="J60" s="23">
        <v>0.0</v>
      </c>
      <c r="K60" s="19" t="s">
        <v>931</v>
      </c>
      <c r="L60" s="24" t="str">
        <f>IFERROR(VLOOKUP(D60,'مراجع الوصفات'!$F$2:$I$253,4,FALSE),"")</f>
        <v/>
      </c>
      <c r="M60" s="24" t="str">
        <f t="shared" si="2"/>
        <v/>
      </c>
      <c r="N60" s="26"/>
      <c r="O60" s="25" t="str">
        <f t="shared" si="3"/>
        <v>صالح</v>
      </c>
    </row>
    <row r="61" ht="15.75" customHeight="1">
      <c r="A61" s="27" t="s">
        <v>929</v>
      </c>
      <c r="B61" s="19" t="s">
        <v>984</v>
      </c>
      <c r="C61" s="20" t="str">
        <f>IFERROR(VLOOKUP(B61,'مراجع الوصفات'!$A$2:$D$79,2,FALSE),"")</f>
        <v/>
      </c>
      <c r="D61" s="19" t="s">
        <v>28</v>
      </c>
      <c r="E61" s="20" t="str">
        <f>IFERROR(VLOOKUP(D61,'مراجع الوصفات'!$F$2:$I$253,2,FALSE),"")</f>
        <v>ING-VEG-TOMATO</v>
      </c>
      <c r="F61" s="21">
        <v>40.0</v>
      </c>
      <c r="G61" s="19" t="s">
        <v>370</v>
      </c>
      <c r="H61" s="20" t="str">
        <f>IFERROR(VLOOKUP(D61,'مراجع الوصفات'!$F$2:$I$253,3,FALSE),"")</f>
        <v>كغ</v>
      </c>
      <c r="I61" s="22">
        <f t="shared" si="1"/>
        <v>0.04</v>
      </c>
      <c r="J61" s="23">
        <v>0.0</v>
      </c>
      <c r="K61" s="19" t="s">
        <v>931</v>
      </c>
      <c r="L61" s="24">
        <f>IFERROR(VLOOKUP(D61,'مراجع الوصفات'!$F$2:$I$253,4,FALSE),"")</f>
        <v>9000</v>
      </c>
      <c r="M61" s="24">
        <f t="shared" si="2"/>
        <v>360</v>
      </c>
      <c r="N61" s="26"/>
      <c r="O61" s="25" t="str">
        <f t="shared" si="3"/>
        <v>صالح</v>
      </c>
    </row>
    <row r="62" ht="15.75" customHeight="1">
      <c r="A62" s="27" t="s">
        <v>929</v>
      </c>
      <c r="B62" s="19" t="s">
        <v>984</v>
      </c>
      <c r="C62" s="20" t="str">
        <f>IFERROR(VLOOKUP(B62,'مراجع الوصفات'!$A$2:$D$79,2,FALSE),"")</f>
        <v/>
      </c>
      <c r="D62" s="19" t="s">
        <v>52</v>
      </c>
      <c r="E62" s="20" t="str">
        <f>IFERROR(VLOOKUP(D62,'مراجع الوصفات'!$F$2:$I$253,2,FALSE),"")</f>
        <v>ING-VEG-CUCUMBER</v>
      </c>
      <c r="F62" s="21">
        <v>40.0</v>
      </c>
      <c r="G62" s="19" t="s">
        <v>370</v>
      </c>
      <c r="H62" s="20" t="str">
        <f>IFERROR(VLOOKUP(D62,'مراجع الوصفات'!$F$2:$I$253,3,FALSE),"")</f>
        <v>كغ</v>
      </c>
      <c r="I62" s="22">
        <f t="shared" si="1"/>
        <v>0.04</v>
      </c>
      <c r="J62" s="23">
        <v>0.0</v>
      </c>
      <c r="K62" s="19" t="s">
        <v>931</v>
      </c>
      <c r="L62" s="24">
        <f>IFERROR(VLOOKUP(D62,'مراجع الوصفات'!$F$2:$I$253,4,FALSE),"")</f>
        <v>5000</v>
      </c>
      <c r="M62" s="24">
        <f t="shared" si="2"/>
        <v>200</v>
      </c>
      <c r="N62" s="26"/>
      <c r="O62" s="25" t="str">
        <f t="shared" si="3"/>
        <v>صالح</v>
      </c>
    </row>
    <row r="63" ht="15.75" customHeight="1">
      <c r="A63" s="27" t="s">
        <v>929</v>
      </c>
      <c r="B63" s="19" t="s">
        <v>985</v>
      </c>
      <c r="C63" s="20" t="str">
        <f>IFERROR(VLOOKUP(B63,'مراجع الوصفات'!$A$2:$D$79,2,FALSE),"")</f>
        <v/>
      </c>
      <c r="D63" s="19" t="s">
        <v>342</v>
      </c>
      <c r="E63" s="20" t="str">
        <f>IFERROR(VLOOKUP(D63,'مراجع الوصفات'!$F$2:$I$253,2,FALSE),"")</f>
        <v>ING-BREAD-SAMOON</v>
      </c>
      <c r="F63" s="21">
        <v>1.0</v>
      </c>
      <c r="G63" s="19" t="s">
        <v>97</v>
      </c>
      <c r="H63" s="20" t="str">
        <f>IFERROR(VLOOKUP(D63,'مراجع الوصفات'!$F$2:$I$253,3,FALSE),"")</f>
        <v>قطعة</v>
      </c>
      <c r="I63" s="22">
        <f t="shared" si="1"/>
        <v>1</v>
      </c>
      <c r="J63" s="23">
        <v>0.0</v>
      </c>
      <c r="K63" s="19" t="s">
        <v>931</v>
      </c>
      <c r="L63" s="24" t="str">
        <f>IFERROR(VLOOKUP(D63,'مراجع الوصفات'!$F$2:$I$253,4,FALSE),"")</f>
        <v/>
      </c>
      <c r="M63" s="24" t="str">
        <f t="shared" si="2"/>
        <v/>
      </c>
      <c r="N63" s="26"/>
      <c r="O63" s="25" t="str">
        <f t="shared" si="3"/>
        <v>صالح</v>
      </c>
    </row>
    <row r="64" ht="15.75" customHeight="1">
      <c r="A64" s="27" t="s">
        <v>929</v>
      </c>
      <c r="B64" s="19" t="s">
        <v>985</v>
      </c>
      <c r="C64" s="20" t="str">
        <f>IFERROR(VLOOKUP(B64,'مراجع الوصفات'!$A$2:$D$79,2,FALSE),"")</f>
        <v/>
      </c>
      <c r="D64" s="19" t="s">
        <v>218</v>
      </c>
      <c r="E64" s="20" t="str">
        <f>IFERROR(VLOOKUP(D64,'مراجع الوصفات'!$F$2:$I$253,2,FALSE),"")</f>
        <v>ING-MEAT-CHICKENBREAST</v>
      </c>
      <c r="F64" s="21">
        <v>120.0</v>
      </c>
      <c r="G64" s="19" t="s">
        <v>370</v>
      </c>
      <c r="H64" s="20" t="str">
        <f>IFERROR(VLOOKUP(D64,'مراجع الوصفات'!$F$2:$I$253,3,FALSE),"")</f>
        <v>كغ</v>
      </c>
      <c r="I64" s="22">
        <f t="shared" si="1"/>
        <v>0.12</v>
      </c>
      <c r="J64" s="23">
        <v>10.0</v>
      </c>
      <c r="K64" s="19" t="s">
        <v>931</v>
      </c>
      <c r="L64" s="24">
        <f>IFERROR(VLOOKUP(D64,'مراجع الوصفات'!$F$2:$I$253,4,FALSE),"")</f>
        <v>35000</v>
      </c>
      <c r="M64" s="24">
        <f t="shared" si="2"/>
        <v>4620</v>
      </c>
      <c r="N64" s="19" t="s">
        <v>986</v>
      </c>
      <c r="O64" s="25" t="str">
        <f t="shared" si="3"/>
        <v>صالح</v>
      </c>
    </row>
    <row r="65" ht="15.75" customHeight="1">
      <c r="A65" s="27" t="s">
        <v>929</v>
      </c>
      <c r="B65" s="19" t="s">
        <v>985</v>
      </c>
      <c r="C65" s="20" t="str">
        <f>IFERROR(VLOOKUP(B65,'مراجع الوصفات'!$A$2:$D$79,2,FALSE),"")</f>
        <v/>
      </c>
      <c r="D65" s="19" t="s">
        <v>200</v>
      </c>
      <c r="E65" s="20" t="str">
        <f>IFERROR(VLOOKUP(D65,'مراجع الوصفات'!$F$2:$I$253,2,FALSE),"")</f>
        <v>ING-DAIRY-LABNEH</v>
      </c>
      <c r="F65" s="21">
        <v>50.0</v>
      </c>
      <c r="G65" s="19" t="s">
        <v>370</v>
      </c>
      <c r="H65" s="20" t="str">
        <f>IFERROR(VLOOKUP(D65,'مراجع الوصفات'!$F$2:$I$253,3,FALSE),"")</f>
        <v>كغ</v>
      </c>
      <c r="I65" s="22">
        <f t="shared" si="1"/>
        <v>0.05</v>
      </c>
      <c r="J65" s="23">
        <v>0.0</v>
      </c>
      <c r="K65" s="19" t="s">
        <v>931</v>
      </c>
      <c r="L65" s="24" t="str">
        <f>IFERROR(VLOOKUP(D65,'مراجع الوصفات'!$F$2:$I$253,4,FALSE),"")</f>
        <v/>
      </c>
      <c r="M65" s="24" t="str">
        <f t="shared" si="2"/>
        <v/>
      </c>
      <c r="N65" s="19" t="s">
        <v>987</v>
      </c>
      <c r="O65" s="25" t="str">
        <f t="shared" si="3"/>
        <v>صالح</v>
      </c>
    </row>
    <row r="66" ht="15.75" customHeight="1">
      <c r="A66" s="27" t="s">
        <v>929</v>
      </c>
      <c r="B66" s="19" t="s">
        <v>985</v>
      </c>
      <c r="C66" s="20" t="str">
        <f>IFERROR(VLOOKUP(B66,'مراجع الوصفات'!$A$2:$D$79,2,FALSE),"")</f>
        <v/>
      </c>
      <c r="D66" s="19" t="s">
        <v>85</v>
      </c>
      <c r="E66" s="20" t="str">
        <f>IFERROR(VLOOKUP(D66,'مراجع الوصفات'!$F$2:$I$253,2,FALSE),"")</f>
        <v>ING-VEG-GARLIC</v>
      </c>
      <c r="F66" s="21">
        <v>5.0</v>
      </c>
      <c r="G66" s="19" t="s">
        <v>370</v>
      </c>
      <c r="H66" s="20" t="str">
        <f>IFERROR(VLOOKUP(D66,'مراجع الوصفات'!$F$2:$I$253,3,FALSE),"")</f>
        <v>كغ</v>
      </c>
      <c r="I66" s="22">
        <f t="shared" si="1"/>
        <v>0.005</v>
      </c>
      <c r="J66" s="23">
        <v>0.0</v>
      </c>
      <c r="K66" s="19" t="s">
        <v>931</v>
      </c>
      <c r="L66" s="24">
        <f>IFERROR(VLOOKUP(D66,'مراجع الوصفات'!$F$2:$I$253,4,FALSE),"")</f>
        <v>8000</v>
      </c>
      <c r="M66" s="24">
        <f t="shared" si="2"/>
        <v>40</v>
      </c>
      <c r="N66" s="26"/>
      <c r="O66" s="25" t="str">
        <f t="shared" si="3"/>
        <v>صالح</v>
      </c>
    </row>
    <row r="67" ht="15.75" customHeight="1">
      <c r="A67" s="27" t="s">
        <v>929</v>
      </c>
      <c r="B67" s="19" t="s">
        <v>985</v>
      </c>
      <c r="C67" s="20" t="str">
        <f>IFERROR(VLOOKUP(B67,'مراجع الوصفات'!$A$2:$D$79,2,FALSE),"")</f>
        <v/>
      </c>
      <c r="D67" s="19" t="s">
        <v>404</v>
      </c>
      <c r="E67" s="20" t="str">
        <f>IFERROR(VLOOKUP(D67,'مراجع الوصفات'!$F$2:$I$253,2,FALSE),"")</f>
        <v>ING-PICKLE-MIXED</v>
      </c>
      <c r="F67" s="21">
        <v>0.08</v>
      </c>
      <c r="G67" s="19" t="s">
        <v>39</v>
      </c>
      <c r="H67" s="20" t="str">
        <f>IFERROR(VLOOKUP(D67,'مراجع الوصفات'!$F$2:$I$253,3,FALSE),"")</f>
        <v>عبوة</v>
      </c>
      <c r="I67" s="22">
        <f t="shared" si="1"/>
        <v>0.08</v>
      </c>
      <c r="J67" s="23">
        <v>0.0</v>
      </c>
      <c r="K67" s="19" t="s">
        <v>931</v>
      </c>
      <c r="L67" s="24">
        <f>IFERROR(VLOOKUP(D67,'مراجع الوصفات'!$F$2:$I$253,4,FALSE),"")</f>
        <v>7000</v>
      </c>
      <c r="M67" s="24">
        <f t="shared" si="2"/>
        <v>560</v>
      </c>
      <c r="N67" s="26"/>
      <c r="O67" s="25" t="str">
        <f t="shared" si="3"/>
        <v>صالح</v>
      </c>
    </row>
    <row r="68" ht="15.75" customHeight="1">
      <c r="A68" s="27" t="s">
        <v>929</v>
      </c>
      <c r="B68" s="19" t="s">
        <v>985</v>
      </c>
      <c r="C68" s="20" t="str">
        <f>IFERROR(VLOOKUP(B68,'مراجع الوصفات'!$A$2:$D$79,2,FALSE),"")</f>
        <v/>
      </c>
      <c r="D68" s="19" t="s">
        <v>66</v>
      </c>
      <c r="E68" s="20" t="str">
        <f>IFERROR(VLOOKUP(D68,'مراجع الوصفات'!$F$2:$I$253,2,FALSE),"")</f>
        <v>ING-VEG-LETTUCE</v>
      </c>
      <c r="F68" s="21">
        <v>0.05</v>
      </c>
      <c r="G68" s="19" t="s">
        <v>39</v>
      </c>
      <c r="H68" s="20" t="str">
        <f>IFERROR(VLOOKUP(D68,'مراجع الوصفات'!$F$2:$I$253,3,FALSE),"")</f>
        <v>عبوة</v>
      </c>
      <c r="I68" s="22">
        <f t="shared" si="1"/>
        <v>0.05</v>
      </c>
      <c r="J68" s="23">
        <v>0.0</v>
      </c>
      <c r="K68" s="19" t="s">
        <v>931</v>
      </c>
      <c r="L68" s="24">
        <f>IFERROR(VLOOKUP(D68,'مراجع الوصفات'!$F$2:$I$253,4,FALSE),"")</f>
        <v>8000</v>
      </c>
      <c r="M68" s="24">
        <f t="shared" si="2"/>
        <v>400</v>
      </c>
      <c r="N68" s="26"/>
      <c r="O68" s="25" t="str">
        <f t="shared" si="3"/>
        <v>صالح</v>
      </c>
    </row>
    <row r="69" ht="15.75" customHeight="1">
      <c r="A69" s="27" t="s">
        <v>929</v>
      </c>
      <c r="B69" s="19" t="s">
        <v>988</v>
      </c>
      <c r="C69" s="20" t="str">
        <f>IFERROR(VLOOKUP(B69,'مراجع الوصفات'!$A$2:$D$79,2,FALSE),"")</f>
        <v/>
      </c>
      <c r="D69" s="19" t="s">
        <v>342</v>
      </c>
      <c r="E69" s="20" t="str">
        <f>IFERROR(VLOOKUP(D69,'مراجع الوصفات'!$F$2:$I$253,2,FALSE),"")</f>
        <v>ING-BREAD-SAMOON</v>
      </c>
      <c r="F69" s="21">
        <v>1.0</v>
      </c>
      <c r="G69" s="19" t="s">
        <v>97</v>
      </c>
      <c r="H69" s="20" t="str">
        <f>IFERROR(VLOOKUP(D69,'مراجع الوصفات'!$F$2:$I$253,3,FALSE),"")</f>
        <v>قطعة</v>
      </c>
      <c r="I69" s="22">
        <f t="shared" si="1"/>
        <v>1</v>
      </c>
      <c r="J69" s="23">
        <v>0.0</v>
      </c>
      <c r="K69" s="19" t="s">
        <v>931</v>
      </c>
      <c r="L69" s="24" t="str">
        <f>IFERROR(VLOOKUP(D69,'مراجع الوصفات'!$F$2:$I$253,4,FALSE),"")</f>
        <v/>
      </c>
      <c r="M69" s="24" t="str">
        <f t="shared" si="2"/>
        <v/>
      </c>
      <c r="N69" s="26"/>
      <c r="O69" s="25" t="str">
        <f t="shared" si="3"/>
        <v>صالح</v>
      </c>
    </row>
    <row r="70" ht="15.75" customHeight="1">
      <c r="A70" s="27" t="s">
        <v>929</v>
      </c>
      <c r="B70" s="19" t="s">
        <v>988</v>
      </c>
      <c r="C70" s="20" t="str">
        <f>IFERROR(VLOOKUP(B70,'مراجع الوصفات'!$A$2:$D$79,2,FALSE),"")</f>
        <v/>
      </c>
      <c r="D70" s="19" t="s">
        <v>218</v>
      </c>
      <c r="E70" s="20" t="str">
        <f>IFERROR(VLOOKUP(D70,'مراجع الوصفات'!$F$2:$I$253,2,FALSE),"")</f>
        <v>ING-MEAT-CHICKENBREAST</v>
      </c>
      <c r="F70" s="21">
        <v>120.0</v>
      </c>
      <c r="G70" s="19" t="s">
        <v>370</v>
      </c>
      <c r="H70" s="20" t="str">
        <f>IFERROR(VLOOKUP(D70,'مراجع الوصفات'!$F$2:$I$253,3,FALSE),"")</f>
        <v>كغ</v>
      </c>
      <c r="I70" s="22">
        <f t="shared" si="1"/>
        <v>0.12</v>
      </c>
      <c r="J70" s="23">
        <v>10.0</v>
      </c>
      <c r="K70" s="19" t="s">
        <v>931</v>
      </c>
      <c r="L70" s="24">
        <f>IFERROR(VLOOKUP(D70,'مراجع الوصفات'!$F$2:$I$253,4,FALSE),"")</f>
        <v>35000</v>
      </c>
      <c r="M70" s="24">
        <f t="shared" si="2"/>
        <v>4620</v>
      </c>
      <c r="N70" s="19" t="s">
        <v>986</v>
      </c>
      <c r="O70" s="25" t="str">
        <f t="shared" si="3"/>
        <v>صالح</v>
      </c>
    </row>
    <row r="71" ht="15.75" customHeight="1">
      <c r="A71" s="27" t="s">
        <v>929</v>
      </c>
      <c r="B71" s="19" t="s">
        <v>988</v>
      </c>
      <c r="C71" s="20" t="str">
        <f>IFERROR(VLOOKUP(B71,'مراجع الوصفات'!$A$2:$D$79,2,FALSE),"")</f>
        <v/>
      </c>
      <c r="D71" s="19" t="s">
        <v>412</v>
      </c>
      <c r="E71" s="20" t="str">
        <f>IFERROR(VLOOKUP(D71,'مراجع الوصفات'!$F$2:$I$253,2,FALSE),"")</f>
        <v>ING-SAUCE-CHILIPASTE</v>
      </c>
      <c r="F71" s="21">
        <v>15.0</v>
      </c>
      <c r="G71" s="19" t="s">
        <v>370</v>
      </c>
      <c r="H71" s="20" t="str">
        <f>IFERROR(VLOOKUP(D71,'مراجع الوصفات'!$F$2:$I$253,3,FALSE),"")</f>
        <v>كغ</v>
      </c>
      <c r="I71" s="22">
        <f t="shared" si="1"/>
        <v>0.015</v>
      </c>
      <c r="J71" s="23">
        <v>0.0</v>
      </c>
      <c r="K71" s="19" t="s">
        <v>931</v>
      </c>
      <c r="L71" s="24">
        <f>IFERROR(VLOOKUP(D71,'مراجع الوصفات'!$F$2:$I$253,4,FALSE),"")</f>
        <v>32000</v>
      </c>
      <c r="M71" s="24">
        <f t="shared" si="2"/>
        <v>480</v>
      </c>
      <c r="N71" s="26"/>
      <c r="O71" s="25" t="str">
        <f t="shared" si="3"/>
        <v>صالح</v>
      </c>
    </row>
    <row r="72" ht="15.75" customHeight="1">
      <c r="A72" s="27" t="s">
        <v>929</v>
      </c>
      <c r="B72" s="19" t="s">
        <v>988</v>
      </c>
      <c r="C72" s="20" t="str">
        <f>IFERROR(VLOOKUP(B72,'مراجع الوصفات'!$A$2:$D$79,2,FALSE),"")</f>
        <v/>
      </c>
      <c r="D72" s="19" t="s">
        <v>381</v>
      </c>
      <c r="E72" s="20" t="str">
        <f>IFERROR(VLOOKUP(D72,'مراجع الوصفات'!$F$2:$I$253,2,FALSE),"")</f>
        <v>ING-SAUCE-MAYO</v>
      </c>
      <c r="F72" s="21">
        <v>0.08</v>
      </c>
      <c r="G72" s="19" t="s">
        <v>39</v>
      </c>
      <c r="H72" s="20" t="str">
        <f>IFERROR(VLOOKUP(D72,'مراجع الوصفات'!$F$2:$I$253,3,FALSE),"")</f>
        <v>عبوة</v>
      </c>
      <c r="I72" s="22">
        <f t="shared" si="1"/>
        <v>0.08</v>
      </c>
      <c r="J72" s="23">
        <v>0.0</v>
      </c>
      <c r="K72" s="19" t="s">
        <v>931</v>
      </c>
      <c r="L72" s="24">
        <f>IFERROR(VLOOKUP(D72,'مراجع الوصفات'!$F$2:$I$253,4,FALSE),"")</f>
        <v>23000</v>
      </c>
      <c r="M72" s="24">
        <f t="shared" si="2"/>
        <v>1840</v>
      </c>
      <c r="N72" s="19" t="s">
        <v>989</v>
      </c>
      <c r="O72" s="25" t="str">
        <f t="shared" si="3"/>
        <v>صالح</v>
      </c>
    </row>
    <row r="73" ht="15.75" customHeight="1">
      <c r="A73" s="27" t="s">
        <v>929</v>
      </c>
      <c r="B73" s="19" t="s">
        <v>988</v>
      </c>
      <c r="C73" s="20" t="str">
        <f>IFERROR(VLOOKUP(B73,'مراجع الوصفات'!$A$2:$D$79,2,FALSE),"")</f>
        <v/>
      </c>
      <c r="D73" s="19" t="s">
        <v>404</v>
      </c>
      <c r="E73" s="20" t="str">
        <f>IFERROR(VLOOKUP(D73,'مراجع الوصفات'!$F$2:$I$253,2,FALSE),"")</f>
        <v>ING-PICKLE-MIXED</v>
      </c>
      <c r="F73" s="21">
        <v>0.08</v>
      </c>
      <c r="G73" s="19" t="s">
        <v>39</v>
      </c>
      <c r="H73" s="20" t="str">
        <f>IFERROR(VLOOKUP(D73,'مراجع الوصفات'!$F$2:$I$253,3,FALSE),"")</f>
        <v>عبوة</v>
      </c>
      <c r="I73" s="22">
        <f t="shared" si="1"/>
        <v>0.08</v>
      </c>
      <c r="J73" s="23">
        <v>0.0</v>
      </c>
      <c r="K73" s="19" t="s">
        <v>931</v>
      </c>
      <c r="L73" s="24">
        <f>IFERROR(VLOOKUP(D73,'مراجع الوصفات'!$F$2:$I$253,4,FALSE),"")</f>
        <v>7000</v>
      </c>
      <c r="M73" s="24">
        <f t="shared" si="2"/>
        <v>560</v>
      </c>
      <c r="N73" s="26"/>
      <c r="O73" s="25" t="str">
        <f t="shared" si="3"/>
        <v>صالح</v>
      </c>
    </row>
    <row r="74" ht="15.75" customHeight="1">
      <c r="A74" s="27" t="s">
        <v>929</v>
      </c>
      <c r="B74" s="19" t="s">
        <v>988</v>
      </c>
      <c r="C74" s="20" t="str">
        <f>IFERROR(VLOOKUP(B74,'مراجع الوصفات'!$A$2:$D$79,2,FALSE),"")</f>
        <v/>
      </c>
      <c r="D74" s="19" t="s">
        <v>66</v>
      </c>
      <c r="E74" s="20" t="str">
        <f>IFERROR(VLOOKUP(D74,'مراجع الوصفات'!$F$2:$I$253,2,FALSE),"")</f>
        <v>ING-VEG-LETTUCE</v>
      </c>
      <c r="F74" s="21">
        <v>0.05</v>
      </c>
      <c r="G74" s="19" t="s">
        <v>39</v>
      </c>
      <c r="H74" s="20" t="str">
        <f>IFERROR(VLOOKUP(D74,'مراجع الوصفات'!$F$2:$I$253,3,FALSE),"")</f>
        <v>عبوة</v>
      </c>
      <c r="I74" s="22">
        <f t="shared" si="1"/>
        <v>0.05</v>
      </c>
      <c r="J74" s="23">
        <v>0.0</v>
      </c>
      <c r="K74" s="19" t="s">
        <v>931</v>
      </c>
      <c r="L74" s="24">
        <f>IFERROR(VLOOKUP(D74,'مراجع الوصفات'!$F$2:$I$253,4,FALSE),"")</f>
        <v>8000</v>
      </c>
      <c r="M74" s="24">
        <f t="shared" si="2"/>
        <v>400</v>
      </c>
      <c r="N74" s="26"/>
      <c r="O74" s="25" t="str">
        <f t="shared" si="3"/>
        <v>صالح</v>
      </c>
    </row>
    <row r="75" ht="15.75" customHeight="1">
      <c r="A75" s="27" t="s">
        <v>929</v>
      </c>
      <c r="B75" s="19" t="s">
        <v>990</v>
      </c>
      <c r="C75" s="20" t="str">
        <f>IFERROR(VLOOKUP(B75,'مراجع الوصفات'!$A$2:$D$79,2,FALSE),"")</f>
        <v/>
      </c>
      <c r="D75" s="19" t="s">
        <v>342</v>
      </c>
      <c r="E75" s="20" t="str">
        <f>IFERROR(VLOOKUP(D75,'مراجع الوصفات'!$F$2:$I$253,2,FALSE),"")</f>
        <v>ING-BREAD-SAMOON</v>
      </c>
      <c r="F75" s="21">
        <v>1.0</v>
      </c>
      <c r="G75" s="19" t="s">
        <v>97</v>
      </c>
      <c r="H75" s="20" t="str">
        <f>IFERROR(VLOOKUP(D75,'مراجع الوصفات'!$F$2:$I$253,3,FALSE),"")</f>
        <v>قطعة</v>
      </c>
      <c r="I75" s="22">
        <f t="shared" si="1"/>
        <v>1</v>
      </c>
      <c r="J75" s="23">
        <v>0.0</v>
      </c>
      <c r="K75" s="19" t="s">
        <v>931</v>
      </c>
      <c r="L75" s="24" t="str">
        <f>IFERROR(VLOOKUP(D75,'مراجع الوصفات'!$F$2:$I$253,4,FALSE),"")</f>
        <v/>
      </c>
      <c r="M75" s="24" t="str">
        <f t="shared" si="2"/>
        <v/>
      </c>
      <c r="N75" s="26"/>
      <c r="O75" s="25" t="str">
        <f t="shared" si="3"/>
        <v>صالح</v>
      </c>
    </row>
    <row r="76" ht="15.75" customHeight="1">
      <c r="A76" s="27" t="s">
        <v>929</v>
      </c>
      <c r="B76" s="19" t="s">
        <v>990</v>
      </c>
      <c r="C76" s="20" t="str">
        <f>IFERROR(VLOOKUP(B76,'مراجع الوصفات'!$A$2:$D$79,2,FALSE),"")</f>
        <v/>
      </c>
      <c r="D76" s="19" t="s">
        <v>175</v>
      </c>
      <c r="E76" s="20" t="str">
        <f>IFERROR(VLOOKUP(D76,'مراجع الوصفات'!$F$2:$I$253,2,FALSE),"")</f>
        <v>ING-DAIRY-BUTTER</v>
      </c>
      <c r="F76" s="21">
        <v>30.0</v>
      </c>
      <c r="G76" s="19" t="s">
        <v>370</v>
      </c>
      <c r="H76" s="20" t="str">
        <f>IFERROR(VLOOKUP(D76,'مراجع الوصفات'!$F$2:$I$253,3,FALSE),"")</f>
        <v>كغ</v>
      </c>
      <c r="I76" s="22">
        <f t="shared" si="1"/>
        <v>0.03</v>
      </c>
      <c r="J76" s="23">
        <v>0.0</v>
      </c>
      <c r="K76" s="19" t="s">
        <v>931</v>
      </c>
      <c r="L76" s="24" t="str">
        <f>IFERROR(VLOOKUP(D76,'مراجع الوصفات'!$F$2:$I$253,4,FALSE),"")</f>
        <v/>
      </c>
      <c r="M76" s="24" t="str">
        <f t="shared" si="2"/>
        <v/>
      </c>
      <c r="N76" s="26"/>
      <c r="O76" s="25" t="str">
        <f t="shared" si="3"/>
        <v>صالح</v>
      </c>
    </row>
    <row r="77" ht="15.75" customHeight="1">
      <c r="A77" s="27" t="s">
        <v>929</v>
      </c>
      <c r="B77" s="19" t="s">
        <v>990</v>
      </c>
      <c r="C77" s="20" t="str">
        <f>IFERROR(VLOOKUP(B77,'مراجع الوصفات'!$A$2:$D$79,2,FALSE),"")</f>
        <v/>
      </c>
      <c r="D77" s="19" t="s">
        <v>445</v>
      </c>
      <c r="E77" s="20" t="str">
        <f>IFERROR(VLOOKUP(D77,'مراجع الوصفات'!$F$2:$I$253,2,FALSE),"")</f>
        <v>ING-SWEET-JAM</v>
      </c>
      <c r="F77" s="21">
        <v>40.0</v>
      </c>
      <c r="G77" s="19" t="s">
        <v>370</v>
      </c>
      <c r="H77" s="20" t="str">
        <f>IFERROR(VLOOKUP(D77,'مراجع الوصفات'!$F$2:$I$253,3,FALSE),"")</f>
        <v>كغ</v>
      </c>
      <c r="I77" s="22">
        <f t="shared" si="1"/>
        <v>0.04</v>
      </c>
      <c r="J77" s="23">
        <v>0.0</v>
      </c>
      <c r="K77" s="19" t="s">
        <v>931</v>
      </c>
      <c r="L77" s="24" t="str">
        <f>IFERROR(VLOOKUP(D77,'مراجع الوصفات'!$F$2:$I$253,4,FALSE),"")</f>
        <v/>
      </c>
      <c r="M77" s="24" t="str">
        <f t="shared" si="2"/>
        <v/>
      </c>
      <c r="N77" s="26"/>
      <c r="O77" s="25" t="str">
        <f t="shared" si="3"/>
        <v>صالح</v>
      </c>
    </row>
    <row r="78" ht="15.75" customHeight="1">
      <c r="A78" s="27" t="s">
        <v>929</v>
      </c>
      <c r="B78" s="19" t="s">
        <v>991</v>
      </c>
      <c r="C78" s="20" t="str">
        <f>IFERROR(VLOOKUP(B78,'مراجع الوصفات'!$A$2:$D$79,2,FALSE),"")</f>
        <v/>
      </c>
      <c r="D78" s="19" t="s">
        <v>585</v>
      </c>
      <c r="E78" s="20" t="str">
        <f>IFERROR(VLOOKUP(D78,'مراجع الوصفات'!$F$2:$I$253,2,FALSE),"")</f>
        <v>DRK-COF-TURKISH</v>
      </c>
      <c r="F78" s="21">
        <v>7.0</v>
      </c>
      <c r="G78" s="19" t="s">
        <v>370</v>
      </c>
      <c r="H78" s="20" t="str">
        <f>IFERROR(VLOOKUP(D78,'مراجع الوصفات'!$F$2:$I$253,3,FALSE),"")</f>
        <v>كغ</v>
      </c>
      <c r="I78" s="22">
        <f t="shared" si="1"/>
        <v>0.007</v>
      </c>
      <c r="J78" s="23">
        <v>0.0</v>
      </c>
      <c r="K78" s="19" t="s">
        <v>931</v>
      </c>
      <c r="L78" s="24" t="str">
        <f>IFERROR(VLOOKUP(D78,'مراجع الوصفات'!$F$2:$I$253,4,FALSE),"")</f>
        <v/>
      </c>
      <c r="M78" s="24" t="str">
        <f t="shared" si="2"/>
        <v/>
      </c>
      <c r="N78" s="19" t="s">
        <v>992</v>
      </c>
      <c r="O78" s="25" t="str">
        <f t="shared" si="3"/>
        <v>صالح</v>
      </c>
    </row>
    <row r="79" ht="15.75" customHeight="1">
      <c r="A79" s="27" t="s">
        <v>929</v>
      </c>
      <c r="B79" s="19" t="s">
        <v>993</v>
      </c>
      <c r="C79" s="20" t="str">
        <f>IFERROR(VLOOKUP(B79,'مراجع الوصفات'!$A$2:$D$79,2,FALSE),"")</f>
        <v/>
      </c>
      <c r="D79" s="19" t="s">
        <v>588</v>
      </c>
      <c r="E79" s="20" t="str">
        <f>IFERROR(VLOOKUP(D79,'مراجع الوصفات'!$F$2:$I$253,2,FALSE),"")</f>
        <v>DRK-COF-ESPRESSO</v>
      </c>
      <c r="F79" s="21">
        <v>18.0</v>
      </c>
      <c r="G79" s="19" t="s">
        <v>370</v>
      </c>
      <c r="H79" s="20" t="str">
        <f>IFERROR(VLOOKUP(D79,'مراجع الوصفات'!$F$2:$I$253,3,FALSE),"")</f>
        <v>كغ</v>
      </c>
      <c r="I79" s="22">
        <f t="shared" si="1"/>
        <v>0.018</v>
      </c>
      <c r="J79" s="23">
        <v>0.0</v>
      </c>
      <c r="K79" s="19" t="s">
        <v>931</v>
      </c>
      <c r="L79" s="24" t="str">
        <f>IFERROR(VLOOKUP(D79,'مراجع الوصفات'!$F$2:$I$253,4,FALSE),"")</f>
        <v/>
      </c>
      <c r="M79" s="24" t="str">
        <f t="shared" si="2"/>
        <v/>
      </c>
      <c r="N79" s="19" t="s">
        <v>994</v>
      </c>
      <c r="O79" s="25" t="str">
        <f t="shared" si="3"/>
        <v>صالح</v>
      </c>
    </row>
    <row r="80" ht="15.75" customHeight="1">
      <c r="A80" s="27" t="s">
        <v>929</v>
      </c>
      <c r="B80" s="19" t="s">
        <v>995</v>
      </c>
      <c r="C80" s="20" t="str">
        <f>IFERROR(VLOOKUP(B80,'مراجع الوصفات'!$A$2:$D$79,2,FALSE),"")</f>
        <v/>
      </c>
      <c r="D80" s="19" t="s">
        <v>588</v>
      </c>
      <c r="E80" s="20" t="str">
        <f>IFERROR(VLOOKUP(D80,'مراجع الوصفات'!$F$2:$I$253,2,FALSE),"")</f>
        <v>DRK-COF-ESPRESSO</v>
      </c>
      <c r="F80" s="21">
        <v>18.0</v>
      </c>
      <c r="G80" s="19" t="s">
        <v>370</v>
      </c>
      <c r="H80" s="20" t="str">
        <f>IFERROR(VLOOKUP(D80,'مراجع الوصفات'!$F$2:$I$253,3,FALSE),"")</f>
        <v>كغ</v>
      </c>
      <c r="I80" s="22">
        <f t="shared" si="1"/>
        <v>0.018</v>
      </c>
      <c r="J80" s="23">
        <v>0.0</v>
      </c>
      <c r="K80" s="19" t="s">
        <v>931</v>
      </c>
      <c r="L80" s="24" t="str">
        <f>IFERROR(VLOOKUP(D80,'مراجع الوصفات'!$F$2:$I$253,4,FALSE),"")</f>
        <v/>
      </c>
      <c r="M80" s="24" t="str">
        <f t="shared" si="2"/>
        <v/>
      </c>
      <c r="N80" s="26"/>
      <c r="O80" s="25" t="str">
        <f t="shared" si="3"/>
        <v>صالح</v>
      </c>
    </row>
    <row r="81" ht="15.75" customHeight="1">
      <c r="A81" s="27" t="s">
        <v>929</v>
      </c>
      <c r="B81" s="19" t="s">
        <v>995</v>
      </c>
      <c r="C81" s="20" t="str">
        <f>IFERROR(VLOOKUP(B81,'مراجع الوصفات'!$A$2:$D$79,2,FALSE),"")</f>
        <v/>
      </c>
      <c r="D81" s="19" t="s">
        <v>164</v>
      </c>
      <c r="E81" s="20" t="str">
        <f>IFERROR(VLOOKUP(D81,'مراجع الوصفات'!$F$2:$I$253,2,FALSE),"")</f>
        <v>ING-DAIRY-MILK</v>
      </c>
      <c r="F81" s="21">
        <v>150.0</v>
      </c>
      <c r="G81" s="19" t="s">
        <v>440</v>
      </c>
      <c r="H81" s="20" t="str">
        <f>IFERROR(VLOOKUP(D81,'مراجع الوصفات'!$F$2:$I$253,3,FALSE),"")</f>
        <v>لتر</v>
      </c>
      <c r="I81" s="22">
        <f t="shared" si="1"/>
        <v>0.15</v>
      </c>
      <c r="J81" s="23">
        <v>0.0</v>
      </c>
      <c r="K81" s="19" t="s">
        <v>931</v>
      </c>
      <c r="L81" s="24">
        <f>IFERROR(VLOOKUP(D81,'مراجع الوصفات'!$F$2:$I$253,4,FALSE),"")</f>
        <v>15000</v>
      </c>
      <c r="M81" s="24">
        <f t="shared" si="2"/>
        <v>2250</v>
      </c>
      <c r="N81" s="26"/>
      <c r="O81" s="25" t="str">
        <f t="shared" si="3"/>
        <v>صالح</v>
      </c>
    </row>
    <row r="82" ht="15.75" customHeight="1">
      <c r="A82" s="27" t="s">
        <v>929</v>
      </c>
      <c r="B82" s="19" t="s">
        <v>996</v>
      </c>
      <c r="C82" s="20" t="str">
        <f>IFERROR(VLOOKUP(B82,'مراجع الوصفات'!$A$2:$D$79,2,FALSE),"")</f>
        <v/>
      </c>
      <c r="D82" s="19" t="s">
        <v>588</v>
      </c>
      <c r="E82" s="20" t="str">
        <f>IFERROR(VLOOKUP(D82,'مراجع الوصفات'!$F$2:$I$253,2,FALSE),"")</f>
        <v>DRK-COF-ESPRESSO</v>
      </c>
      <c r="F82" s="21">
        <v>18.0</v>
      </c>
      <c r="G82" s="19" t="s">
        <v>370</v>
      </c>
      <c r="H82" s="20" t="str">
        <f>IFERROR(VLOOKUP(D82,'مراجع الوصفات'!$F$2:$I$253,3,FALSE),"")</f>
        <v>كغ</v>
      </c>
      <c r="I82" s="22">
        <f t="shared" si="1"/>
        <v>0.018</v>
      </c>
      <c r="J82" s="23">
        <v>0.0</v>
      </c>
      <c r="K82" s="19" t="s">
        <v>931</v>
      </c>
      <c r="L82" s="24" t="str">
        <f>IFERROR(VLOOKUP(D82,'مراجع الوصفات'!$F$2:$I$253,4,FALSE),"")</f>
        <v/>
      </c>
      <c r="M82" s="24" t="str">
        <f t="shared" si="2"/>
        <v/>
      </c>
      <c r="N82" s="26"/>
      <c r="O82" s="25" t="str">
        <f t="shared" si="3"/>
        <v>صالح</v>
      </c>
    </row>
    <row r="83" ht="15.75" customHeight="1">
      <c r="A83" s="27" t="s">
        <v>929</v>
      </c>
      <c r="B83" s="19" t="s">
        <v>996</v>
      </c>
      <c r="C83" s="20" t="str">
        <f>IFERROR(VLOOKUP(B83,'مراجع الوصفات'!$A$2:$D$79,2,FALSE),"")</f>
        <v/>
      </c>
      <c r="D83" s="19" t="s">
        <v>164</v>
      </c>
      <c r="E83" s="20" t="str">
        <f>IFERROR(VLOOKUP(D83,'مراجع الوصفات'!$F$2:$I$253,2,FALSE),"")</f>
        <v>ING-DAIRY-MILK</v>
      </c>
      <c r="F83" s="21">
        <v>220.0</v>
      </c>
      <c r="G83" s="19" t="s">
        <v>440</v>
      </c>
      <c r="H83" s="20" t="str">
        <f>IFERROR(VLOOKUP(D83,'مراجع الوصفات'!$F$2:$I$253,3,FALSE),"")</f>
        <v>لتر</v>
      </c>
      <c r="I83" s="22">
        <f t="shared" si="1"/>
        <v>0.22</v>
      </c>
      <c r="J83" s="23">
        <v>0.0</v>
      </c>
      <c r="K83" s="19" t="s">
        <v>931</v>
      </c>
      <c r="L83" s="24">
        <f>IFERROR(VLOOKUP(D83,'مراجع الوصفات'!$F$2:$I$253,4,FALSE),"")</f>
        <v>15000</v>
      </c>
      <c r="M83" s="24">
        <f t="shared" si="2"/>
        <v>3300</v>
      </c>
      <c r="N83" s="26"/>
      <c r="O83" s="25" t="str">
        <f t="shared" si="3"/>
        <v>صالح</v>
      </c>
    </row>
    <row r="84" ht="15.75" customHeight="1">
      <c r="A84" s="27" t="s">
        <v>929</v>
      </c>
      <c r="B84" s="19" t="s">
        <v>997</v>
      </c>
      <c r="C84" s="20" t="str">
        <f>IFERROR(VLOOKUP(B84,'مراجع الوصفات'!$A$2:$D$79,2,FALSE),"")</f>
        <v/>
      </c>
      <c r="D84" s="19" t="s">
        <v>588</v>
      </c>
      <c r="E84" s="20" t="str">
        <f>IFERROR(VLOOKUP(D84,'مراجع الوصفات'!$F$2:$I$253,2,FALSE),"")</f>
        <v>DRK-COF-ESPRESSO</v>
      </c>
      <c r="F84" s="21">
        <v>18.0</v>
      </c>
      <c r="G84" s="19" t="s">
        <v>370</v>
      </c>
      <c r="H84" s="20" t="str">
        <f>IFERROR(VLOOKUP(D84,'مراجع الوصفات'!$F$2:$I$253,3,FALSE),"")</f>
        <v>كغ</v>
      </c>
      <c r="I84" s="22">
        <f t="shared" si="1"/>
        <v>0.018</v>
      </c>
      <c r="J84" s="23">
        <v>0.0</v>
      </c>
      <c r="K84" s="19" t="s">
        <v>931</v>
      </c>
      <c r="L84" s="24" t="str">
        <f>IFERROR(VLOOKUP(D84,'مراجع الوصفات'!$F$2:$I$253,4,FALSE),"")</f>
        <v/>
      </c>
      <c r="M84" s="24" t="str">
        <f t="shared" si="2"/>
        <v/>
      </c>
      <c r="N84" s="26"/>
      <c r="O84" s="25" t="str">
        <f t="shared" si="3"/>
        <v>صالح</v>
      </c>
    </row>
    <row r="85" ht="15.75" customHeight="1">
      <c r="A85" s="27" t="s">
        <v>929</v>
      </c>
      <c r="B85" s="19" t="s">
        <v>998</v>
      </c>
      <c r="C85" s="20" t="str">
        <f>IFERROR(VLOOKUP(B85,'مراجع الوصفات'!$A$2:$D$79,2,FALSE),"")</f>
        <v/>
      </c>
      <c r="D85" s="19" t="s">
        <v>588</v>
      </c>
      <c r="E85" s="20" t="str">
        <f>IFERROR(VLOOKUP(D85,'مراجع الوصفات'!$F$2:$I$253,2,FALSE),"")</f>
        <v>DRK-COF-ESPRESSO</v>
      </c>
      <c r="F85" s="21">
        <v>18.0</v>
      </c>
      <c r="G85" s="19" t="s">
        <v>370</v>
      </c>
      <c r="H85" s="20" t="str">
        <f>IFERROR(VLOOKUP(D85,'مراجع الوصفات'!$F$2:$I$253,3,FALSE),"")</f>
        <v>كغ</v>
      </c>
      <c r="I85" s="22">
        <f t="shared" si="1"/>
        <v>0.018</v>
      </c>
      <c r="J85" s="23">
        <v>0.0</v>
      </c>
      <c r="K85" s="19" t="s">
        <v>931</v>
      </c>
      <c r="L85" s="24" t="str">
        <f>IFERROR(VLOOKUP(D85,'مراجع الوصفات'!$F$2:$I$253,4,FALSE),"")</f>
        <v/>
      </c>
      <c r="M85" s="24" t="str">
        <f t="shared" si="2"/>
        <v/>
      </c>
      <c r="N85" s="26"/>
      <c r="O85" s="25" t="str">
        <f t="shared" si="3"/>
        <v>صالح</v>
      </c>
    </row>
    <row r="86" ht="15.75" customHeight="1">
      <c r="A86" s="27" t="s">
        <v>929</v>
      </c>
      <c r="B86" s="19" t="s">
        <v>998</v>
      </c>
      <c r="C86" s="20" t="str">
        <f>IFERROR(VLOOKUP(B86,'مراجع الوصفات'!$A$2:$D$79,2,FALSE),"")</f>
        <v/>
      </c>
      <c r="D86" s="19" t="s">
        <v>164</v>
      </c>
      <c r="E86" s="20" t="str">
        <f>IFERROR(VLOOKUP(D86,'مراجع الوصفات'!$F$2:$I$253,2,FALSE),"")</f>
        <v>ING-DAIRY-MILK</v>
      </c>
      <c r="F86" s="21">
        <v>200.0</v>
      </c>
      <c r="G86" s="19" t="s">
        <v>440</v>
      </c>
      <c r="H86" s="20" t="str">
        <f>IFERROR(VLOOKUP(D86,'مراجع الوصفات'!$F$2:$I$253,3,FALSE),"")</f>
        <v>لتر</v>
      </c>
      <c r="I86" s="22">
        <f t="shared" si="1"/>
        <v>0.2</v>
      </c>
      <c r="J86" s="23">
        <v>0.0</v>
      </c>
      <c r="K86" s="19" t="s">
        <v>931</v>
      </c>
      <c r="L86" s="24">
        <f>IFERROR(VLOOKUP(D86,'مراجع الوصفات'!$F$2:$I$253,4,FALSE),"")</f>
        <v>15000</v>
      </c>
      <c r="M86" s="24">
        <f t="shared" si="2"/>
        <v>3000</v>
      </c>
      <c r="N86" s="26"/>
      <c r="O86" s="25" t="str">
        <f t="shared" si="3"/>
        <v>صالح</v>
      </c>
    </row>
    <row r="87" ht="15.75" customHeight="1">
      <c r="A87" s="27" t="s">
        <v>929</v>
      </c>
      <c r="B87" s="19" t="s">
        <v>998</v>
      </c>
      <c r="C87" s="20" t="str">
        <f>IFERROR(VLOOKUP(B87,'مراجع الوصفات'!$A$2:$D$79,2,FALSE),"")</f>
        <v/>
      </c>
      <c r="D87" s="19" t="s">
        <v>461</v>
      </c>
      <c r="E87" s="20" t="str">
        <f>IFERROR(VLOOKUP(D87,'مراجع الوصفات'!$F$2:$I$253,2,FALSE),"")</f>
        <v>ING-SYRUP-CHOCOLATE</v>
      </c>
      <c r="F87" s="21">
        <v>20.0</v>
      </c>
      <c r="G87" s="19" t="s">
        <v>440</v>
      </c>
      <c r="H87" s="20" t="str">
        <f>IFERROR(VLOOKUP(D87,'مراجع الوصفات'!$F$2:$I$253,3,FALSE),"")</f>
        <v>لتر</v>
      </c>
      <c r="I87" s="22">
        <f t="shared" si="1"/>
        <v>0.02</v>
      </c>
      <c r="J87" s="23">
        <v>0.0</v>
      </c>
      <c r="K87" s="19" t="s">
        <v>931</v>
      </c>
      <c r="L87" s="24" t="str">
        <f>IFERROR(VLOOKUP(D87,'مراجع الوصفات'!$F$2:$I$253,4,FALSE),"")</f>
        <v/>
      </c>
      <c r="M87" s="24" t="str">
        <f t="shared" si="2"/>
        <v/>
      </c>
      <c r="N87" s="26"/>
      <c r="O87" s="25" t="str">
        <f t="shared" si="3"/>
        <v>صالح</v>
      </c>
    </row>
    <row r="88" ht="15.75" customHeight="1">
      <c r="A88" s="27" t="s">
        <v>929</v>
      </c>
      <c r="B88" s="19" t="s">
        <v>592</v>
      </c>
      <c r="C88" s="20" t="str">
        <f>IFERROR(VLOOKUP(B88,'مراجع الوصفات'!$A$2:$D$79,2,FALSE),"")</f>
        <v/>
      </c>
      <c r="D88" s="19" t="s">
        <v>592</v>
      </c>
      <c r="E88" s="20" t="str">
        <f>IFERROR(VLOOKUP(D88,'مراجع الوصفات'!$F$2:$I$253,2,FALSE),"")</f>
        <v>DRK-COF-INSTANT</v>
      </c>
      <c r="F88" s="21">
        <v>5.0</v>
      </c>
      <c r="G88" s="19" t="s">
        <v>370</v>
      </c>
      <c r="H88" s="20" t="str">
        <f>IFERROR(VLOOKUP(D88,'مراجع الوصفات'!$F$2:$I$253,3,FALSE),"")</f>
        <v>كغ</v>
      </c>
      <c r="I88" s="22">
        <f t="shared" si="1"/>
        <v>0.005</v>
      </c>
      <c r="J88" s="23">
        <v>0.0</v>
      </c>
      <c r="K88" s="19" t="s">
        <v>931</v>
      </c>
      <c r="L88" s="24" t="str">
        <f>IFERROR(VLOOKUP(D88,'مراجع الوصفات'!$F$2:$I$253,4,FALSE),"")</f>
        <v/>
      </c>
      <c r="M88" s="24" t="str">
        <f t="shared" si="2"/>
        <v/>
      </c>
      <c r="N88" s="26"/>
      <c r="O88" s="25" t="str">
        <f t="shared" si="3"/>
        <v>صالح</v>
      </c>
    </row>
    <row r="89" ht="15.75" customHeight="1">
      <c r="A89" s="27" t="s">
        <v>929</v>
      </c>
      <c r="B89" s="19" t="s">
        <v>999</v>
      </c>
      <c r="C89" s="20" t="str">
        <f>IFERROR(VLOOKUP(B89,'مراجع الوصفات'!$A$2:$D$79,2,FALSE),"")</f>
        <v/>
      </c>
      <c r="D89" s="19" t="s">
        <v>588</v>
      </c>
      <c r="E89" s="20" t="str">
        <f>IFERROR(VLOOKUP(D89,'مراجع الوصفات'!$F$2:$I$253,2,FALSE),"")</f>
        <v>DRK-COF-ESPRESSO</v>
      </c>
      <c r="F89" s="21">
        <v>18.0</v>
      </c>
      <c r="G89" s="19" t="s">
        <v>370</v>
      </c>
      <c r="H89" s="20" t="str">
        <f>IFERROR(VLOOKUP(D89,'مراجع الوصفات'!$F$2:$I$253,3,FALSE),"")</f>
        <v>كغ</v>
      </c>
      <c r="I89" s="22">
        <f t="shared" si="1"/>
        <v>0.018</v>
      </c>
      <c r="J89" s="23">
        <v>0.0</v>
      </c>
      <c r="K89" s="19" t="s">
        <v>931</v>
      </c>
      <c r="L89" s="24" t="str">
        <f>IFERROR(VLOOKUP(D89,'مراجع الوصفات'!$F$2:$I$253,4,FALSE),"")</f>
        <v/>
      </c>
      <c r="M89" s="24" t="str">
        <f t="shared" si="2"/>
        <v/>
      </c>
      <c r="N89" s="26"/>
      <c r="O89" s="25" t="str">
        <f t="shared" si="3"/>
        <v>صالح</v>
      </c>
    </row>
    <row r="90" ht="15.75" customHeight="1">
      <c r="A90" s="27" t="s">
        <v>929</v>
      </c>
      <c r="B90" s="19" t="s">
        <v>999</v>
      </c>
      <c r="C90" s="20" t="str">
        <f>IFERROR(VLOOKUP(B90,'مراجع الوصفات'!$A$2:$D$79,2,FALSE),"")</f>
        <v/>
      </c>
      <c r="D90" s="19" t="s">
        <v>685</v>
      </c>
      <c r="E90" s="20" t="str">
        <f>IFERROR(VLOOKUP(D90,'مراجع الوصفات'!$F$2:$I$253,2,FALSE),"")</f>
        <v>DRK-ICE</v>
      </c>
      <c r="F90" s="21">
        <v>150.0</v>
      </c>
      <c r="G90" s="19" t="s">
        <v>370</v>
      </c>
      <c r="H90" s="20" t="str">
        <f>IFERROR(VLOOKUP(D90,'مراجع الوصفات'!$F$2:$I$253,3,FALSE),"")</f>
        <v>كغ</v>
      </c>
      <c r="I90" s="22">
        <f t="shared" si="1"/>
        <v>0.15</v>
      </c>
      <c r="J90" s="23">
        <v>0.0</v>
      </c>
      <c r="K90" s="19" t="s">
        <v>931</v>
      </c>
      <c r="L90" s="24">
        <f>IFERROR(VLOOKUP(D90,'مراجع الوصفات'!$F$2:$I$253,4,FALSE),"")</f>
        <v>4000</v>
      </c>
      <c r="M90" s="24">
        <f t="shared" si="2"/>
        <v>600</v>
      </c>
      <c r="N90" s="26"/>
      <c r="O90" s="25" t="str">
        <f t="shared" si="3"/>
        <v>صالح</v>
      </c>
    </row>
    <row r="91" ht="15.75" customHeight="1">
      <c r="A91" s="27" t="s">
        <v>929</v>
      </c>
      <c r="B91" s="19" t="s">
        <v>1000</v>
      </c>
      <c r="C91" s="20" t="str">
        <f>IFERROR(VLOOKUP(B91,'مراجع الوصفات'!$A$2:$D$79,2,FALSE),"")</f>
        <v/>
      </c>
      <c r="D91" s="19" t="s">
        <v>588</v>
      </c>
      <c r="E91" s="20" t="str">
        <f>IFERROR(VLOOKUP(D91,'مراجع الوصفات'!$F$2:$I$253,2,FALSE),"")</f>
        <v>DRK-COF-ESPRESSO</v>
      </c>
      <c r="F91" s="21">
        <v>18.0</v>
      </c>
      <c r="G91" s="19" t="s">
        <v>370</v>
      </c>
      <c r="H91" s="20" t="str">
        <f>IFERROR(VLOOKUP(D91,'مراجع الوصفات'!$F$2:$I$253,3,FALSE),"")</f>
        <v>كغ</v>
      </c>
      <c r="I91" s="22">
        <f t="shared" si="1"/>
        <v>0.018</v>
      </c>
      <c r="J91" s="23">
        <v>0.0</v>
      </c>
      <c r="K91" s="19" t="s">
        <v>931</v>
      </c>
      <c r="L91" s="24" t="str">
        <f>IFERROR(VLOOKUP(D91,'مراجع الوصفات'!$F$2:$I$253,4,FALSE),"")</f>
        <v/>
      </c>
      <c r="M91" s="24" t="str">
        <f t="shared" si="2"/>
        <v/>
      </c>
      <c r="N91" s="26"/>
      <c r="O91" s="25" t="str">
        <f t="shared" si="3"/>
        <v>صالح</v>
      </c>
    </row>
    <row r="92" ht="15.75" customHeight="1">
      <c r="A92" s="27" t="s">
        <v>929</v>
      </c>
      <c r="B92" s="19" t="s">
        <v>1000</v>
      </c>
      <c r="C92" s="20" t="str">
        <f>IFERROR(VLOOKUP(B92,'مراجع الوصفات'!$A$2:$D$79,2,FALSE),"")</f>
        <v/>
      </c>
      <c r="D92" s="19" t="s">
        <v>164</v>
      </c>
      <c r="E92" s="20" t="str">
        <f>IFERROR(VLOOKUP(D92,'مراجع الوصفات'!$F$2:$I$253,2,FALSE),"")</f>
        <v>ING-DAIRY-MILK</v>
      </c>
      <c r="F92" s="21">
        <v>200.0</v>
      </c>
      <c r="G92" s="19" t="s">
        <v>440</v>
      </c>
      <c r="H92" s="20" t="str">
        <f>IFERROR(VLOOKUP(D92,'مراجع الوصفات'!$F$2:$I$253,3,FALSE),"")</f>
        <v>لتر</v>
      </c>
      <c r="I92" s="22">
        <f t="shared" si="1"/>
        <v>0.2</v>
      </c>
      <c r="J92" s="23">
        <v>0.0</v>
      </c>
      <c r="K92" s="19" t="s">
        <v>931</v>
      </c>
      <c r="L92" s="24">
        <f>IFERROR(VLOOKUP(D92,'مراجع الوصفات'!$F$2:$I$253,4,FALSE),"")</f>
        <v>15000</v>
      </c>
      <c r="M92" s="24">
        <f t="shared" si="2"/>
        <v>3000</v>
      </c>
      <c r="N92" s="26"/>
      <c r="O92" s="25" t="str">
        <f t="shared" si="3"/>
        <v>صالح</v>
      </c>
    </row>
    <row r="93" ht="15.75" customHeight="1">
      <c r="A93" s="27" t="s">
        <v>929</v>
      </c>
      <c r="B93" s="19" t="s">
        <v>1000</v>
      </c>
      <c r="C93" s="20" t="str">
        <f>IFERROR(VLOOKUP(B93,'مراجع الوصفات'!$A$2:$D$79,2,FALSE),"")</f>
        <v/>
      </c>
      <c r="D93" s="19" t="s">
        <v>685</v>
      </c>
      <c r="E93" s="20" t="str">
        <f>IFERROR(VLOOKUP(D93,'مراجع الوصفات'!$F$2:$I$253,2,FALSE),"")</f>
        <v>DRK-ICE</v>
      </c>
      <c r="F93" s="21">
        <v>150.0</v>
      </c>
      <c r="G93" s="19" t="s">
        <v>370</v>
      </c>
      <c r="H93" s="20" t="str">
        <f>IFERROR(VLOOKUP(D93,'مراجع الوصفات'!$F$2:$I$253,3,FALSE),"")</f>
        <v>كغ</v>
      </c>
      <c r="I93" s="22">
        <f t="shared" si="1"/>
        <v>0.15</v>
      </c>
      <c r="J93" s="23">
        <v>0.0</v>
      </c>
      <c r="K93" s="19" t="s">
        <v>931</v>
      </c>
      <c r="L93" s="24">
        <f>IFERROR(VLOOKUP(D93,'مراجع الوصفات'!$F$2:$I$253,4,FALSE),"")</f>
        <v>4000</v>
      </c>
      <c r="M93" s="24">
        <f t="shared" si="2"/>
        <v>600</v>
      </c>
      <c r="N93" s="26"/>
      <c r="O93" s="25" t="str">
        <f t="shared" si="3"/>
        <v>صالح</v>
      </c>
    </row>
    <row r="94" ht="15.75" customHeight="1">
      <c r="A94" s="27" t="s">
        <v>929</v>
      </c>
      <c r="B94" s="19" t="s">
        <v>1001</v>
      </c>
      <c r="C94" s="20" t="str">
        <f>IFERROR(VLOOKUP(B94,'مراجع الوصفات'!$A$2:$D$79,2,FALSE),"")</f>
        <v/>
      </c>
      <c r="D94" s="19" t="s">
        <v>588</v>
      </c>
      <c r="E94" s="20" t="str">
        <f>IFERROR(VLOOKUP(D94,'مراجع الوصفات'!$F$2:$I$253,2,FALSE),"")</f>
        <v>DRK-COF-ESPRESSO</v>
      </c>
      <c r="F94" s="21">
        <v>18.0</v>
      </c>
      <c r="G94" s="19" t="s">
        <v>370</v>
      </c>
      <c r="H94" s="20" t="str">
        <f>IFERROR(VLOOKUP(D94,'مراجع الوصفات'!$F$2:$I$253,3,FALSE),"")</f>
        <v>كغ</v>
      </c>
      <c r="I94" s="22">
        <f t="shared" si="1"/>
        <v>0.018</v>
      </c>
      <c r="J94" s="23">
        <v>0.0</v>
      </c>
      <c r="K94" s="19" t="s">
        <v>931</v>
      </c>
      <c r="L94" s="24" t="str">
        <f>IFERROR(VLOOKUP(D94,'مراجع الوصفات'!$F$2:$I$253,4,FALSE),"")</f>
        <v/>
      </c>
      <c r="M94" s="24" t="str">
        <f t="shared" si="2"/>
        <v/>
      </c>
      <c r="N94" s="26"/>
      <c r="O94" s="25" t="str">
        <f t="shared" si="3"/>
        <v>صالح</v>
      </c>
    </row>
    <row r="95" ht="15.75" customHeight="1">
      <c r="A95" s="27" t="s">
        <v>929</v>
      </c>
      <c r="B95" s="19" t="s">
        <v>1001</v>
      </c>
      <c r="C95" s="20" t="str">
        <f>IFERROR(VLOOKUP(B95,'مراجع الوصفات'!$A$2:$D$79,2,FALSE),"")</f>
        <v/>
      </c>
      <c r="D95" s="19" t="s">
        <v>164</v>
      </c>
      <c r="E95" s="20" t="str">
        <f>IFERROR(VLOOKUP(D95,'مراجع الوصفات'!$F$2:$I$253,2,FALSE),"")</f>
        <v>ING-DAIRY-MILK</v>
      </c>
      <c r="F95" s="21">
        <v>200.0</v>
      </c>
      <c r="G95" s="19" t="s">
        <v>440</v>
      </c>
      <c r="H95" s="20" t="str">
        <f>IFERROR(VLOOKUP(D95,'مراجع الوصفات'!$F$2:$I$253,3,FALSE),"")</f>
        <v>لتر</v>
      </c>
      <c r="I95" s="22">
        <f t="shared" si="1"/>
        <v>0.2</v>
      </c>
      <c r="J95" s="23">
        <v>0.0</v>
      </c>
      <c r="K95" s="19" t="s">
        <v>931</v>
      </c>
      <c r="L95" s="24">
        <f>IFERROR(VLOOKUP(D95,'مراجع الوصفات'!$F$2:$I$253,4,FALSE),"")</f>
        <v>15000</v>
      </c>
      <c r="M95" s="24">
        <f t="shared" si="2"/>
        <v>3000</v>
      </c>
      <c r="N95" s="26"/>
      <c r="O95" s="25" t="str">
        <f t="shared" si="3"/>
        <v>صالح</v>
      </c>
    </row>
    <row r="96" ht="15.75" customHeight="1">
      <c r="A96" s="27" t="s">
        <v>929</v>
      </c>
      <c r="B96" s="19" t="s">
        <v>1001</v>
      </c>
      <c r="C96" s="20" t="str">
        <f>IFERROR(VLOOKUP(B96,'مراجع الوصفات'!$A$2:$D$79,2,FALSE),"")</f>
        <v/>
      </c>
      <c r="D96" s="19" t="s">
        <v>461</v>
      </c>
      <c r="E96" s="20" t="str">
        <f>IFERROR(VLOOKUP(D96,'مراجع الوصفات'!$F$2:$I$253,2,FALSE),"")</f>
        <v>ING-SYRUP-CHOCOLATE</v>
      </c>
      <c r="F96" s="21">
        <v>20.0</v>
      </c>
      <c r="G96" s="19" t="s">
        <v>440</v>
      </c>
      <c r="H96" s="20" t="str">
        <f>IFERROR(VLOOKUP(D96,'مراجع الوصفات'!$F$2:$I$253,3,FALSE),"")</f>
        <v>لتر</v>
      </c>
      <c r="I96" s="22">
        <f t="shared" si="1"/>
        <v>0.02</v>
      </c>
      <c r="J96" s="23">
        <v>0.0</v>
      </c>
      <c r="K96" s="19" t="s">
        <v>931</v>
      </c>
      <c r="L96" s="24" t="str">
        <f>IFERROR(VLOOKUP(D96,'مراجع الوصفات'!$F$2:$I$253,4,FALSE),"")</f>
        <v/>
      </c>
      <c r="M96" s="24" t="str">
        <f t="shared" si="2"/>
        <v/>
      </c>
      <c r="N96" s="26"/>
      <c r="O96" s="25" t="str">
        <f t="shared" si="3"/>
        <v>صالح</v>
      </c>
    </row>
    <row r="97" ht="15.75" customHeight="1">
      <c r="A97" s="27" t="s">
        <v>929</v>
      </c>
      <c r="B97" s="19" t="s">
        <v>1001</v>
      </c>
      <c r="C97" s="20" t="str">
        <f>IFERROR(VLOOKUP(B97,'مراجع الوصفات'!$A$2:$D$79,2,FALSE),"")</f>
        <v/>
      </c>
      <c r="D97" s="19" t="s">
        <v>685</v>
      </c>
      <c r="E97" s="20" t="str">
        <f>IFERROR(VLOOKUP(D97,'مراجع الوصفات'!$F$2:$I$253,2,FALSE),"")</f>
        <v>DRK-ICE</v>
      </c>
      <c r="F97" s="21">
        <v>150.0</v>
      </c>
      <c r="G97" s="19" t="s">
        <v>370</v>
      </c>
      <c r="H97" s="20" t="str">
        <f>IFERROR(VLOOKUP(D97,'مراجع الوصفات'!$F$2:$I$253,3,FALSE),"")</f>
        <v>كغ</v>
      </c>
      <c r="I97" s="22">
        <f t="shared" si="1"/>
        <v>0.15</v>
      </c>
      <c r="J97" s="23">
        <v>0.0</v>
      </c>
      <c r="K97" s="19" t="s">
        <v>931</v>
      </c>
      <c r="L97" s="24">
        <f>IFERROR(VLOOKUP(D97,'مراجع الوصفات'!$F$2:$I$253,4,FALSE),"")</f>
        <v>4000</v>
      </c>
      <c r="M97" s="24">
        <f t="shared" si="2"/>
        <v>600</v>
      </c>
      <c r="N97" s="26"/>
      <c r="O97" s="25" t="str">
        <f t="shared" si="3"/>
        <v>صالح</v>
      </c>
    </row>
    <row r="98" ht="15.75" customHeight="1">
      <c r="A98" s="27" t="s">
        <v>929</v>
      </c>
      <c r="B98" s="19" t="s">
        <v>1002</v>
      </c>
      <c r="C98" s="20" t="str">
        <f>IFERROR(VLOOKUP(B98,'مراجع الوصفات'!$A$2:$D$79,2,FALSE),"")</f>
        <v/>
      </c>
      <c r="D98" s="19" t="s">
        <v>572</v>
      </c>
      <c r="E98" s="20" t="str">
        <f>IFERROR(VLOOKUP(D98,'مراجع الوصفات'!$F$2:$I$253,2,FALSE),"")</f>
        <v>ING-HERB-HIBISCUS</v>
      </c>
      <c r="F98" s="21">
        <v>5.0</v>
      </c>
      <c r="G98" s="19" t="s">
        <v>370</v>
      </c>
      <c r="H98" s="20" t="str">
        <f>IFERROR(VLOOKUP(D98,'مراجع الوصفات'!$F$2:$I$253,3,FALSE),"")</f>
        <v>كغ</v>
      </c>
      <c r="I98" s="22">
        <f t="shared" si="1"/>
        <v>0.005</v>
      </c>
      <c r="J98" s="23">
        <v>0.0</v>
      </c>
      <c r="K98" s="19" t="s">
        <v>931</v>
      </c>
      <c r="L98" s="24" t="str">
        <f>IFERROR(VLOOKUP(D98,'مراجع الوصفات'!$F$2:$I$253,4,FALSE),"")</f>
        <v/>
      </c>
      <c r="M98" s="24" t="str">
        <f t="shared" si="2"/>
        <v/>
      </c>
      <c r="N98" s="26"/>
      <c r="O98" s="25" t="str">
        <f t="shared" si="3"/>
        <v>صالح</v>
      </c>
    </row>
    <row r="99" ht="15.75" customHeight="1">
      <c r="A99" s="27" t="s">
        <v>929</v>
      </c>
      <c r="B99" s="19" t="s">
        <v>1003</v>
      </c>
      <c r="C99" s="20" t="str">
        <f>IFERROR(VLOOKUP(B99,'مراجع الوصفات'!$A$2:$D$79,2,FALSE),"")</f>
        <v/>
      </c>
      <c r="D99" s="19" t="s">
        <v>619</v>
      </c>
      <c r="E99" s="20" t="str">
        <f>IFERROR(VLOOKUP(D99,'مراجع الوصفات'!$F$2:$I$253,2,FALSE),"")</f>
        <v>DRK-TEA-MASALA</v>
      </c>
      <c r="F99" s="21">
        <v>8.0</v>
      </c>
      <c r="G99" s="19" t="s">
        <v>370</v>
      </c>
      <c r="H99" s="20" t="str">
        <f>IFERROR(VLOOKUP(D99,'مراجع الوصفات'!$F$2:$I$253,3,FALSE),"")</f>
        <v>كغ</v>
      </c>
      <c r="I99" s="22">
        <f t="shared" si="1"/>
        <v>0.008</v>
      </c>
      <c r="J99" s="23">
        <v>0.0</v>
      </c>
      <c r="K99" s="19" t="s">
        <v>931</v>
      </c>
      <c r="L99" s="24" t="str">
        <f>IFERROR(VLOOKUP(D99,'مراجع الوصفات'!$F$2:$I$253,4,FALSE),"")</f>
        <v/>
      </c>
      <c r="M99" s="24" t="str">
        <f t="shared" si="2"/>
        <v/>
      </c>
      <c r="N99" s="26"/>
      <c r="O99" s="25" t="str">
        <f t="shared" si="3"/>
        <v>صالح</v>
      </c>
    </row>
    <row r="100" ht="15.75" customHeight="1">
      <c r="A100" s="27" t="s">
        <v>929</v>
      </c>
      <c r="B100" s="19" t="s">
        <v>1003</v>
      </c>
      <c r="C100" s="20" t="str">
        <f>IFERROR(VLOOKUP(B100,'مراجع الوصفات'!$A$2:$D$79,2,FALSE),"")</f>
        <v/>
      </c>
      <c r="D100" s="19" t="s">
        <v>164</v>
      </c>
      <c r="E100" s="20" t="str">
        <f>IFERROR(VLOOKUP(D100,'مراجع الوصفات'!$F$2:$I$253,2,FALSE),"")</f>
        <v>ING-DAIRY-MILK</v>
      </c>
      <c r="F100" s="21">
        <v>200.0</v>
      </c>
      <c r="G100" s="19" t="s">
        <v>440</v>
      </c>
      <c r="H100" s="20" t="str">
        <f>IFERROR(VLOOKUP(D100,'مراجع الوصفات'!$F$2:$I$253,3,FALSE),"")</f>
        <v>لتر</v>
      </c>
      <c r="I100" s="22">
        <f t="shared" si="1"/>
        <v>0.2</v>
      </c>
      <c r="J100" s="23">
        <v>0.0</v>
      </c>
      <c r="K100" s="19" t="s">
        <v>931</v>
      </c>
      <c r="L100" s="24">
        <f>IFERROR(VLOOKUP(D100,'مراجع الوصفات'!$F$2:$I$253,4,FALSE),"")</f>
        <v>15000</v>
      </c>
      <c r="M100" s="24">
        <f t="shared" si="2"/>
        <v>3000</v>
      </c>
      <c r="N100" s="26"/>
      <c r="O100" s="25" t="str">
        <f t="shared" si="3"/>
        <v>صالح</v>
      </c>
    </row>
    <row r="101" ht="15.75" customHeight="1">
      <c r="A101" s="27" t="s">
        <v>929</v>
      </c>
      <c r="B101" s="19" t="s">
        <v>1004</v>
      </c>
      <c r="C101" s="20" t="str">
        <f>IFERROR(VLOOKUP(B101,'مراجع الوصفات'!$A$2:$D$79,2,FALSE),"")</f>
        <v/>
      </c>
      <c r="D101" s="19" t="s">
        <v>579</v>
      </c>
      <c r="E101" s="20" t="str">
        <f>IFERROR(VLOOKUP(D101,'مراجع الوصفات'!$F$2:$I$253,2,FALSE),"")</f>
        <v>ING-FRT-TAMARIND</v>
      </c>
      <c r="F101" s="21">
        <v>40.0</v>
      </c>
      <c r="G101" s="19" t="s">
        <v>370</v>
      </c>
      <c r="H101" s="20" t="str">
        <f>IFERROR(VLOOKUP(D101,'مراجع الوصفات'!$F$2:$I$253,3,FALSE),"")</f>
        <v>كغ</v>
      </c>
      <c r="I101" s="22">
        <f t="shared" si="1"/>
        <v>0.04</v>
      </c>
      <c r="J101" s="23">
        <v>0.0</v>
      </c>
      <c r="K101" s="19" t="s">
        <v>931</v>
      </c>
      <c r="L101" s="24" t="str">
        <f>IFERROR(VLOOKUP(D101,'مراجع الوصفات'!$F$2:$I$253,4,FALSE),"")</f>
        <v/>
      </c>
      <c r="M101" s="24" t="str">
        <f t="shared" si="2"/>
        <v/>
      </c>
      <c r="N101" s="26"/>
      <c r="O101" s="25" t="str">
        <f t="shared" si="3"/>
        <v>صالح</v>
      </c>
    </row>
    <row r="102" ht="15.75" customHeight="1">
      <c r="A102" s="27" t="s">
        <v>929</v>
      </c>
      <c r="B102" s="19" t="s">
        <v>1004</v>
      </c>
      <c r="C102" s="20" t="str">
        <f>IFERROR(VLOOKUP(B102,'مراجع الوصفات'!$A$2:$D$79,2,FALSE),"")</f>
        <v/>
      </c>
      <c r="D102" s="19" t="s">
        <v>727</v>
      </c>
      <c r="E102" s="20" t="str">
        <f>IFERROR(VLOOKUP(D102,'مراجع الوصفات'!$F$2:$I$253,2,FALSE),"")</f>
        <v>ING-SWEET-SUGAR</v>
      </c>
      <c r="F102" s="21">
        <v>20.0</v>
      </c>
      <c r="G102" s="19" t="s">
        <v>370</v>
      </c>
      <c r="H102" s="20" t="str">
        <f>IFERROR(VLOOKUP(D102,'مراجع الوصفات'!$F$2:$I$253,3,FALSE),"")</f>
        <v>كغ</v>
      </c>
      <c r="I102" s="22">
        <f t="shared" si="1"/>
        <v>0.02</v>
      </c>
      <c r="J102" s="23">
        <v>0.0</v>
      </c>
      <c r="K102" s="19" t="s">
        <v>931</v>
      </c>
      <c r="L102" s="24">
        <f>IFERROR(VLOOKUP(D102,'مراجع الوصفات'!$F$2:$I$253,4,FALSE),"")</f>
        <v>10000</v>
      </c>
      <c r="M102" s="24">
        <f t="shared" si="2"/>
        <v>200</v>
      </c>
      <c r="N102" s="26"/>
      <c r="O102" s="25" t="str">
        <f t="shared" si="3"/>
        <v>صالح</v>
      </c>
    </row>
    <row r="103" ht="15.75" customHeight="1">
      <c r="A103" s="27" t="s">
        <v>929</v>
      </c>
      <c r="B103" s="19" t="s">
        <v>1004</v>
      </c>
      <c r="C103" s="20" t="str">
        <f>IFERROR(VLOOKUP(B103,'مراجع الوصفات'!$A$2:$D$79,2,FALSE),"")</f>
        <v/>
      </c>
      <c r="D103" s="19" t="s">
        <v>685</v>
      </c>
      <c r="E103" s="20" t="str">
        <f>IFERROR(VLOOKUP(D103,'مراجع الوصفات'!$F$2:$I$253,2,FALSE),"")</f>
        <v>DRK-ICE</v>
      </c>
      <c r="F103" s="21">
        <v>150.0</v>
      </c>
      <c r="G103" s="19" t="s">
        <v>370</v>
      </c>
      <c r="H103" s="20" t="str">
        <f>IFERROR(VLOOKUP(D103,'مراجع الوصفات'!$F$2:$I$253,3,FALSE),"")</f>
        <v>كغ</v>
      </c>
      <c r="I103" s="22">
        <f t="shared" si="1"/>
        <v>0.15</v>
      </c>
      <c r="J103" s="23">
        <v>0.0</v>
      </c>
      <c r="K103" s="19" t="s">
        <v>931</v>
      </c>
      <c r="L103" s="24">
        <f>IFERROR(VLOOKUP(D103,'مراجع الوصفات'!$F$2:$I$253,4,FALSE),"")</f>
        <v>4000</v>
      </c>
      <c r="M103" s="24">
        <f t="shared" si="2"/>
        <v>600</v>
      </c>
      <c r="N103" s="26"/>
      <c r="O103" s="25" t="str">
        <f t="shared" si="3"/>
        <v>صالح</v>
      </c>
    </row>
    <row r="104" ht="15.75" customHeight="1">
      <c r="A104" s="27" t="s">
        <v>929</v>
      </c>
      <c r="B104" s="19" t="s">
        <v>1005</v>
      </c>
      <c r="C104" s="20" t="str">
        <f>IFERROR(VLOOKUP(B104,'مراجع الوصفات'!$A$2:$D$79,2,FALSE),"")</f>
        <v/>
      </c>
      <c r="D104" s="19" t="s">
        <v>129</v>
      </c>
      <c r="E104" s="20" t="str">
        <f>IFERROR(VLOOKUP(D104,'مراجع الوصفات'!$F$2:$I$253,2,FALSE),"")</f>
        <v>ING-FRT-WATERMELON</v>
      </c>
      <c r="F104" s="21">
        <v>300.0</v>
      </c>
      <c r="G104" s="19" t="s">
        <v>370</v>
      </c>
      <c r="H104" s="20" t="str">
        <f>IFERROR(VLOOKUP(D104,'مراجع الوصفات'!$F$2:$I$253,3,FALSE),"")</f>
        <v>كغ</v>
      </c>
      <c r="I104" s="22">
        <f t="shared" si="1"/>
        <v>0.3</v>
      </c>
      <c r="J104" s="23">
        <v>0.0</v>
      </c>
      <c r="K104" s="19" t="s">
        <v>931</v>
      </c>
      <c r="L104" s="24" t="str">
        <f>IFERROR(VLOOKUP(D104,'مراجع الوصفات'!$F$2:$I$253,4,FALSE),"")</f>
        <v/>
      </c>
      <c r="M104" s="24" t="str">
        <f t="shared" si="2"/>
        <v/>
      </c>
      <c r="N104" s="26"/>
      <c r="O104" s="25" t="str">
        <f t="shared" si="3"/>
        <v>صالح</v>
      </c>
    </row>
    <row r="105" ht="15.75" customHeight="1">
      <c r="A105" s="27" t="s">
        <v>929</v>
      </c>
      <c r="B105" s="19" t="s">
        <v>1005</v>
      </c>
      <c r="C105" s="20" t="str">
        <f>IFERROR(VLOOKUP(B105,'مراجع الوصفات'!$A$2:$D$79,2,FALSE),"")</f>
        <v/>
      </c>
      <c r="D105" s="19" t="s">
        <v>685</v>
      </c>
      <c r="E105" s="20" t="str">
        <f>IFERROR(VLOOKUP(D105,'مراجع الوصفات'!$F$2:$I$253,2,FALSE),"")</f>
        <v>DRK-ICE</v>
      </c>
      <c r="F105" s="21">
        <v>100.0</v>
      </c>
      <c r="G105" s="19" t="s">
        <v>370</v>
      </c>
      <c r="H105" s="20" t="str">
        <f>IFERROR(VLOOKUP(D105,'مراجع الوصفات'!$F$2:$I$253,3,FALSE),"")</f>
        <v>كغ</v>
      </c>
      <c r="I105" s="22">
        <f t="shared" si="1"/>
        <v>0.1</v>
      </c>
      <c r="J105" s="23">
        <v>0.0</v>
      </c>
      <c r="K105" s="19" t="s">
        <v>931</v>
      </c>
      <c r="L105" s="24">
        <f>IFERROR(VLOOKUP(D105,'مراجع الوصفات'!$F$2:$I$253,4,FALSE),"")</f>
        <v>4000</v>
      </c>
      <c r="M105" s="24">
        <f t="shared" si="2"/>
        <v>400</v>
      </c>
      <c r="N105" s="26"/>
      <c r="O105" s="25" t="str">
        <f t="shared" si="3"/>
        <v>صالح</v>
      </c>
    </row>
    <row r="106" ht="15.75" customHeight="1">
      <c r="A106" s="27" t="s">
        <v>929</v>
      </c>
      <c r="B106" s="19" t="s">
        <v>1006</v>
      </c>
      <c r="C106" s="20" t="str">
        <f>IFERROR(VLOOKUP(B106,'مراجع الوصفات'!$A$2:$D$79,2,FALSE),"")</f>
        <v/>
      </c>
      <c r="D106" s="19" t="s">
        <v>513</v>
      </c>
      <c r="E106" s="20" t="str">
        <f>IFERROR(VLOOKUP(D106,'مراجع الوصفات'!$F$2:$I$253,2,FALSE),"")</f>
        <v>ING-SPICE-CUMIN</v>
      </c>
      <c r="F106" s="21">
        <v>3.0</v>
      </c>
      <c r="G106" s="19" t="s">
        <v>370</v>
      </c>
      <c r="H106" s="20" t="str">
        <f>IFERROR(VLOOKUP(D106,'مراجع الوصفات'!$F$2:$I$253,3,FALSE),"")</f>
        <v>كغ</v>
      </c>
      <c r="I106" s="22">
        <f t="shared" si="1"/>
        <v>0.003</v>
      </c>
      <c r="J106" s="23">
        <v>0.0</v>
      </c>
      <c r="K106" s="19" t="s">
        <v>931</v>
      </c>
      <c r="L106" s="24" t="str">
        <f>IFERROR(VLOOKUP(D106,'مراجع الوصفات'!$F$2:$I$253,4,FALSE),"")</f>
        <v/>
      </c>
      <c r="M106" s="24" t="str">
        <f t="shared" si="2"/>
        <v/>
      </c>
      <c r="N106" s="26"/>
      <c r="O106" s="25" t="str">
        <f t="shared" si="3"/>
        <v>صالح</v>
      </c>
    </row>
    <row r="107" ht="15.75" customHeight="1">
      <c r="A107" s="27" t="s">
        <v>929</v>
      </c>
      <c r="B107" s="19" t="s">
        <v>1006</v>
      </c>
      <c r="C107" s="20" t="str">
        <f>IFERROR(VLOOKUP(B107,'مراجع الوصفات'!$A$2:$D$79,2,FALSE),"")</f>
        <v/>
      </c>
      <c r="D107" s="19" t="s">
        <v>24</v>
      </c>
      <c r="E107" s="20" t="str">
        <f>IFERROR(VLOOKUP(D107,'مراجع الوصفات'!$F$2:$I$253,2,FALSE),"")</f>
        <v>ING-FRT-LEMON</v>
      </c>
      <c r="F107" s="21">
        <v>40.0</v>
      </c>
      <c r="G107" s="19" t="s">
        <v>370</v>
      </c>
      <c r="H107" s="20" t="str">
        <f>IFERROR(VLOOKUP(D107,'مراجع الوصفات'!$F$2:$I$253,3,FALSE),"")</f>
        <v>كغ</v>
      </c>
      <c r="I107" s="22">
        <f t="shared" si="1"/>
        <v>0.04</v>
      </c>
      <c r="J107" s="23">
        <v>0.0</v>
      </c>
      <c r="K107" s="19" t="s">
        <v>931</v>
      </c>
      <c r="L107" s="24">
        <f>IFERROR(VLOOKUP(D107,'مراجع الوصفات'!$F$2:$I$253,4,FALSE),"")</f>
        <v>30000</v>
      </c>
      <c r="M107" s="24">
        <f t="shared" si="2"/>
        <v>1200</v>
      </c>
      <c r="N107" s="26"/>
      <c r="O107" s="25" t="str">
        <f t="shared" si="3"/>
        <v>صالح</v>
      </c>
    </row>
    <row r="108" ht="15.75" customHeight="1">
      <c r="A108" s="27" t="s">
        <v>929</v>
      </c>
      <c r="B108" s="19" t="s">
        <v>1007</v>
      </c>
      <c r="C108" s="20" t="str">
        <f>IFERROR(VLOOKUP(B108,'مراجع الوصفات'!$A$2:$D$79,2,FALSE),"")</f>
        <v/>
      </c>
      <c r="D108" s="19" t="s">
        <v>164</v>
      </c>
      <c r="E108" s="20" t="str">
        <f>IFERROR(VLOOKUP(D108,'مراجع الوصفات'!$F$2:$I$253,2,FALSE),"")</f>
        <v>ING-DAIRY-MILK</v>
      </c>
      <c r="F108" s="21">
        <v>250.0</v>
      </c>
      <c r="G108" s="19" t="s">
        <v>440</v>
      </c>
      <c r="H108" s="20" t="str">
        <f>IFERROR(VLOOKUP(D108,'مراجع الوصفات'!$F$2:$I$253,3,FALSE),"")</f>
        <v>لتر</v>
      </c>
      <c r="I108" s="22">
        <f t="shared" si="1"/>
        <v>0.25</v>
      </c>
      <c r="J108" s="23">
        <v>0.0</v>
      </c>
      <c r="K108" s="19" t="s">
        <v>931</v>
      </c>
      <c r="L108" s="24">
        <f>IFERROR(VLOOKUP(D108,'مراجع الوصفات'!$F$2:$I$253,4,FALSE),"")</f>
        <v>15000</v>
      </c>
      <c r="M108" s="24">
        <f t="shared" si="2"/>
        <v>3750</v>
      </c>
      <c r="N108" s="26"/>
      <c r="O108" s="25" t="str">
        <f t="shared" si="3"/>
        <v>صالح</v>
      </c>
    </row>
    <row r="109" ht="15.75" customHeight="1">
      <c r="A109" s="27" t="s">
        <v>929</v>
      </c>
      <c r="B109" s="19" t="s">
        <v>1007</v>
      </c>
      <c r="C109" s="20" t="str">
        <f>IFERROR(VLOOKUP(B109,'مراجع الوصفات'!$A$2:$D$79,2,FALSE),"")</f>
        <v/>
      </c>
      <c r="D109" s="19" t="s">
        <v>209</v>
      </c>
      <c r="E109" s="20" t="str">
        <f>IFERROR(VLOOKUP(D109,'مراجع الوصفات'!$F$2:$I$253,2,FALSE),"")</f>
        <v>ING-DAIRY-ICECREAM-VAN</v>
      </c>
      <c r="F109" s="21">
        <v>120.0</v>
      </c>
      <c r="G109" s="19" t="s">
        <v>370</v>
      </c>
      <c r="H109" s="20" t="str">
        <f>IFERROR(VLOOKUP(D109,'مراجع الوصفات'!$F$2:$I$253,3,FALSE),"")</f>
        <v>كغ</v>
      </c>
      <c r="I109" s="22">
        <f t="shared" si="1"/>
        <v>0.12</v>
      </c>
      <c r="J109" s="23">
        <v>0.0</v>
      </c>
      <c r="K109" s="19" t="s">
        <v>931</v>
      </c>
      <c r="L109" s="24" t="str">
        <f>IFERROR(VLOOKUP(D109,'مراجع الوصفات'!$F$2:$I$253,4,FALSE),"")</f>
        <v/>
      </c>
      <c r="M109" s="24" t="str">
        <f t="shared" si="2"/>
        <v/>
      </c>
      <c r="N109" s="26"/>
      <c r="O109" s="25" t="str">
        <f t="shared" si="3"/>
        <v>صالح</v>
      </c>
    </row>
    <row r="110" ht="15.75" customHeight="1">
      <c r="A110" s="27" t="s">
        <v>929</v>
      </c>
      <c r="B110" s="19" t="s">
        <v>1007</v>
      </c>
      <c r="C110" s="20" t="str">
        <f>IFERROR(VLOOKUP(B110,'مراجع الوصفات'!$A$2:$D$79,2,FALSE),"")</f>
        <v/>
      </c>
      <c r="D110" s="19" t="s">
        <v>464</v>
      </c>
      <c r="E110" s="20" t="str">
        <f>IFERROR(VLOOKUP(D110,'مراجع الوصفات'!$F$2:$I$253,2,FALSE),"")</f>
        <v>ING-SYRUP-VANILLA</v>
      </c>
      <c r="F110" s="21">
        <v>20.0</v>
      </c>
      <c r="G110" s="19" t="s">
        <v>440</v>
      </c>
      <c r="H110" s="20" t="str">
        <f>IFERROR(VLOOKUP(D110,'مراجع الوصفات'!$F$2:$I$253,3,FALSE),"")</f>
        <v>لتر</v>
      </c>
      <c r="I110" s="22">
        <f t="shared" si="1"/>
        <v>0.02</v>
      </c>
      <c r="J110" s="23">
        <v>0.0</v>
      </c>
      <c r="K110" s="19" t="s">
        <v>931</v>
      </c>
      <c r="L110" s="24" t="str">
        <f>IFERROR(VLOOKUP(D110,'مراجع الوصفات'!$F$2:$I$253,4,FALSE),"")</f>
        <v/>
      </c>
      <c r="M110" s="24" t="str">
        <f t="shared" si="2"/>
        <v/>
      </c>
      <c r="N110" s="26"/>
      <c r="O110" s="25" t="str">
        <f t="shared" si="3"/>
        <v>صالح</v>
      </c>
    </row>
    <row r="111" ht="15.75" customHeight="1">
      <c r="A111" s="27" t="s">
        <v>929</v>
      </c>
      <c r="B111" s="19" t="s">
        <v>1008</v>
      </c>
      <c r="C111" s="20" t="str">
        <f>IFERROR(VLOOKUP(B111,'مراجع الوصفات'!$A$2:$D$79,2,FALSE),"")</f>
        <v/>
      </c>
      <c r="D111" s="19" t="s">
        <v>139</v>
      </c>
      <c r="E111" s="20" t="str">
        <f>IFERROR(VLOOKUP(D111,'مراجع الوصفات'!$F$2:$I$253,2,FALSE),"")</f>
        <v>ING-FRT-BANANA</v>
      </c>
      <c r="F111" s="21">
        <v>150.0</v>
      </c>
      <c r="G111" s="19" t="s">
        <v>370</v>
      </c>
      <c r="H111" s="20" t="str">
        <f>IFERROR(VLOOKUP(D111,'مراجع الوصفات'!$F$2:$I$253,3,FALSE),"")</f>
        <v>كغ</v>
      </c>
      <c r="I111" s="22">
        <f t="shared" si="1"/>
        <v>0.15</v>
      </c>
      <c r="J111" s="23">
        <v>0.0</v>
      </c>
      <c r="K111" s="19" t="s">
        <v>931</v>
      </c>
      <c r="L111" s="24" t="str">
        <f>IFERROR(VLOOKUP(D111,'مراجع الوصفات'!$F$2:$I$253,4,FALSE),"")</f>
        <v/>
      </c>
      <c r="M111" s="24" t="str">
        <f t="shared" si="2"/>
        <v/>
      </c>
      <c r="N111" s="19" t="s">
        <v>1009</v>
      </c>
      <c r="O111" s="25" t="str">
        <f t="shared" si="3"/>
        <v>صالح</v>
      </c>
    </row>
    <row r="112" ht="15.75" customHeight="1">
      <c r="A112" s="27" t="s">
        <v>929</v>
      </c>
      <c r="B112" s="19" t="s">
        <v>1008</v>
      </c>
      <c r="C112" s="20" t="str">
        <f>IFERROR(VLOOKUP(B112,'مراجع الوصفات'!$A$2:$D$79,2,FALSE),"")</f>
        <v/>
      </c>
      <c r="D112" s="19" t="s">
        <v>156</v>
      </c>
      <c r="E112" s="20" t="str">
        <f>IFERROR(VLOOKUP(D112,'مراجع الوصفات'!$F$2:$I$253,2,FALSE),"")</f>
        <v>ING-DAIRY-YOGURT-PAST</v>
      </c>
      <c r="F112" s="21">
        <v>100.0</v>
      </c>
      <c r="G112" s="19" t="s">
        <v>370</v>
      </c>
      <c r="H112" s="20" t="str">
        <f>IFERROR(VLOOKUP(D112,'مراجع الوصفات'!$F$2:$I$253,3,FALSE),"")</f>
        <v>كغ</v>
      </c>
      <c r="I112" s="22">
        <f t="shared" si="1"/>
        <v>0.1</v>
      </c>
      <c r="J112" s="23">
        <v>0.0</v>
      </c>
      <c r="K112" s="19" t="s">
        <v>931</v>
      </c>
      <c r="L112" s="24">
        <f>IFERROR(VLOOKUP(D112,'مراجع الوصفات'!$F$2:$I$253,4,FALSE),"")</f>
        <v>15000</v>
      </c>
      <c r="M112" s="24">
        <f t="shared" si="2"/>
        <v>1500</v>
      </c>
      <c r="N112" s="26"/>
      <c r="O112" s="25" t="str">
        <f t="shared" si="3"/>
        <v>صالح</v>
      </c>
    </row>
    <row r="113" ht="15.75" customHeight="1">
      <c r="A113" s="27" t="s">
        <v>929</v>
      </c>
      <c r="B113" s="19" t="s">
        <v>1008</v>
      </c>
      <c r="C113" s="20" t="str">
        <f>IFERROR(VLOOKUP(B113,'مراجع الوصفات'!$A$2:$D$79,2,FALSE),"")</f>
        <v/>
      </c>
      <c r="D113" s="19" t="s">
        <v>685</v>
      </c>
      <c r="E113" s="20" t="str">
        <f>IFERROR(VLOOKUP(D113,'مراجع الوصفات'!$F$2:$I$253,2,FALSE),"")</f>
        <v>DRK-ICE</v>
      </c>
      <c r="F113" s="21">
        <v>100.0</v>
      </c>
      <c r="G113" s="19" t="s">
        <v>370</v>
      </c>
      <c r="H113" s="20" t="str">
        <f>IFERROR(VLOOKUP(D113,'مراجع الوصفات'!$F$2:$I$253,3,FALSE),"")</f>
        <v>كغ</v>
      </c>
      <c r="I113" s="22">
        <f t="shared" si="1"/>
        <v>0.1</v>
      </c>
      <c r="J113" s="23">
        <v>0.0</v>
      </c>
      <c r="K113" s="19" t="s">
        <v>931</v>
      </c>
      <c r="L113" s="24">
        <f>IFERROR(VLOOKUP(D113,'مراجع الوصفات'!$F$2:$I$253,4,FALSE),"")</f>
        <v>4000</v>
      </c>
      <c r="M113" s="24">
        <f t="shared" si="2"/>
        <v>400</v>
      </c>
      <c r="N113" s="26"/>
      <c r="O113" s="25" t="str">
        <f t="shared" si="3"/>
        <v>صالح</v>
      </c>
    </row>
    <row r="114" ht="15.75" customHeight="1">
      <c r="A114" s="27" t="s">
        <v>929</v>
      </c>
      <c r="B114" s="19" t="s">
        <v>1010</v>
      </c>
      <c r="C114" s="20" t="str">
        <f>IFERROR(VLOOKUP(B114,'مراجع الوصفات'!$A$2:$D$79,2,FALSE),"")</f>
        <v/>
      </c>
      <c r="D114" s="19" t="s">
        <v>693</v>
      </c>
      <c r="E114" s="20" t="str">
        <f>IFERROR(VLOOKUP(D114,'مراجع الوصفات'!$F$2:$I$253,2,FALSE),"")</f>
        <v>DRK-ALC-VODKA-SMIRNOFF</v>
      </c>
      <c r="F114" s="21">
        <v>50.0</v>
      </c>
      <c r="G114" s="19" t="s">
        <v>440</v>
      </c>
      <c r="H114" s="20" t="str">
        <f>IFERROR(VLOOKUP(D114,'مراجع الوصفات'!$F$2:$I$253,3,FALSE),"")</f>
        <v>لتر</v>
      </c>
      <c r="I114" s="22">
        <f t="shared" si="1"/>
        <v>0.05</v>
      </c>
      <c r="J114" s="23">
        <v>0.0</v>
      </c>
      <c r="K114" s="19" t="s">
        <v>931</v>
      </c>
      <c r="L114" s="24">
        <f>IFERROR(VLOOKUP(D114,'مراجع الوصفات'!$F$2:$I$253,4,FALSE),"")</f>
        <v>50000</v>
      </c>
      <c r="M114" s="24">
        <f t="shared" si="2"/>
        <v>2500</v>
      </c>
      <c r="N114" s="26"/>
      <c r="O114" s="25" t="str">
        <f t="shared" si="3"/>
        <v>صالح</v>
      </c>
    </row>
    <row r="115" ht="15.75" customHeight="1">
      <c r="A115" s="27" t="s">
        <v>929</v>
      </c>
      <c r="B115" s="19" t="s">
        <v>1010</v>
      </c>
      <c r="C115" s="20" t="str">
        <f>IFERROR(VLOOKUP(B115,'مراجع الوصفات'!$A$2:$D$79,2,FALSE),"")</f>
        <v/>
      </c>
      <c r="D115" s="19" t="s">
        <v>648</v>
      </c>
      <c r="E115" s="20" t="str">
        <f>IFERROR(VLOOKUP(D115,'مراجع الوصفات'!$F$2:$I$253,2,FALSE),"")</f>
        <v>DRK-JUICE-APPLE</v>
      </c>
      <c r="F115" s="21">
        <v>150.0</v>
      </c>
      <c r="G115" s="19" t="s">
        <v>440</v>
      </c>
      <c r="H115" s="20" t="str">
        <f>IFERROR(VLOOKUP(D115,'مراجع الوصفات'!$F$2:$I$253,3,FALSE),"")</f>
        <v>لتر</v>
      </c>
      <c r="I115" s="22">
        <f t="shared" si="1"/>
        <v>0.15</v>
      </c>
      <c r="J115" s="23">
        <v>0.0</v>
      </c>
      <c r="K115" s="19" t="s">
        <v>931</v>
      </c>
      <c r="L115" s="24" t="str">
        <f>IFERROR(VLOOKUP(D115,'مراجع الوصفات'!$F$2:$I$253,4,FALSE),"")</f>
        <v/>
      </c>
      <c r="M115" s="24" t="str">
        <f t="shared" si="2"/>
        <v/>
      </c>
      <c r="N115" s="26"/>
      <c r="O115" s="25" t="str">
        <f t="shared" si="3"/>
        <v>صالح</v>
      </c>
    </row>
    <row r="116" ht="15.75" customHeight="1">
      <c r="A116" s="27" t="s">
        <v>929</v>
      </c>
      <c r="B116" s="19" t="s">
        <v>1010</v>
      </c>
      <c r="C116" s="20" t="str">
        <f>IFERROR(VLOOKUP(B116,'مراجع الوصفات'!$A$2:$D$79,2,FALSE),"")</f>
        <v/>
      </c>
      <c r="D116" s="19" t="s">
        <v>685</v>
      </c>
      <c r="E116" s="20" t="str">
        <f>IFERROR(VLOOKUP(D116,'مراجع الوصفات'!$F$2:$I$253,2,FALSE),"")</f>
        <v>DRK-ICE</v>
      </c>
      <c r="F116" s="21">
        <v>150.0</v>
      </c>
      <c r="G116" s="19" t="s">
        <v>370</v>
      </c>
      <c r="H116" s="20" t="str">
        <f>IFERROR(VLOOKUP(D116,'مراجع الوصفات'!$F$2:$I$253,3,FALSE),"")</f>
        <v>كغ</v>
      </c>
      <c r="I116" s="22">
        <f t="shared" si="1"/>
        <v>0.15</v>
      </c>
      <c r="J116" s="23">
        <v>0.0</v>
      </c>
      <c r="K116" s="19" t="s">
        <v>931</v>
      </c>
      <c r="L116" s="24">
        <f>IFERROR(VLOOKUP(D116,'مراجع الوصفات'!$F$2:$I$253,4,FALSE),"")</f>
        <v>4000</v>
      </c>
      <c r="M116" s="24">
        <f t="shared" si="2"/>
        <v>600</v>
      </c>
      <c r="N116" s="26"/>
      <c r="O116" s="25" t="str">
        <f t="shared" si="3"/>
        <v>صالح</v>
      </c>
    </row>
    <row r="117" ht="15.75" customHeight="1">
      <c r="A117" s="27" t="s">
        <v>929</v>
      </c>
      <c r="B117" s="19" t="s">
        <v>1011</v>
      </c>
      <c r="C117" s="20" t="str">
        <f>IFERROR(VLOOKUP(B117,'مراجع الوصفات'!$A$2:$D$79,2,FALSE),"")</f>
        <v/>
      </c>
      <c r="D117" s="19" t="s">
        <v>710</v>
      </c>
      <c r="E117" s="20" t="str">
        <f>IFERROR(VLOOKUP(D117,'مراجع الوصفات'!$F$2:$I$253,2,FALSE),"")</f>
        <v>DRK-ALC-RUM-WHITE</v>
      </c>
      <c r="F117" s="21">
        <v>50.0</v>
      </c>
      <c r="G117" s="19" t="s">
        <v>440</v>
      </c>
      <c r="H117" s="20" t="str">
        <f>IFERROR(VLOOKUP(D117,'مراجع الوصفات'!$F$2:$I$253,3,FALSE),"")</f>
        <v>لتر</v>
      </c>
      <c r="I117" s="22">
        <f t="shared" si="1"/>
        <v>0.05</v>
      </c>
      <c r="J117" s="23">
        <v>0.0</v>
      </c>
      <c r="K117" s="19" t="s">
        <v>931</v>
      </c>
      <c r="L117" s="24" t="str">
        <f>IFERROR(VLOOKUP(D117,'مراجع الوصفات'!$F$2:$I$253,4,FALSE),"")</f>
        <v/>
      </c>
      <c r="M117" s="24" t="str">
        <f t="shared" si="2"/>
        <v/>
      </c>
      <c r="N117" s="26"/>
      <c r="O117" s="25" t="str">
        <f t="shared" si="3"/>
        <v>صالح</v>
      </c>
    </row>
    <row r="118" ht="15.75" customHeight="1">
      <c r="A118" s="27" t="s">
        <v>929</v>
      </c>
      <c r="B118" s="19" t="s">
        <v>1011</v>
      </c>
      <c r="C118" s="20" t="str">
        <f>IFERROR(VLOOKUP(B118,'مراجع الوصفات'!$A$2:$D$79,2,FALSE),"")</f>
        <v/>
      </c>
      <c r="D118" s="19" t="s">
        <v>24</v>
      </c>
      <c r="E118" s="20" t="str">
        <f>IFERROR(VLOOKUP(D118,'مراجع الوصفات'!$F$2:$I$253,2,FALSE),"")</f>
        <v>ING-FRT-LEMON</v>
      </c>
      <c r="F118" s="21">
        <v>40.0</v>
      </c>
      <c r="G118" s="19" t="s">
        <v>370</v>
      </c>
      <c r="H118" s="20" t="str">
        <f>IFERROR(VLOOKUP(D118,'مراجع الوصفات'!$F$2:$I$253,3,FALSE),"")</f>
        <v>كغ</v>
      </c>
      <c r="I118" s="22">
        <f t="shared" si="1"/>
        <v>0.04</v>
      </c>
      <c r="J118" s="23">
        <v>0.0</v>
      </c>
      <c r="K118" s="19" t="s">
        <v>931</v>
      </c>
      <c r="L118" s="24">
        <f>IFERROR(VLOOKUP(D118,'مراجع الوصفات'!$F$2:$I$253,4,FALSE),"")</f>
        <v>30000</v>
      </c>
      <c r="M118" s="24">
        <f t="shared" si="2"/>
        <v>1200</v>
      </c>
      <c r="N118" s="26"/>
      <c r="O118" s="25" t="str">
        <f t="shared" si="3"/>
        <v>صالح</v>
      </c>
    </row>
    <row r="119" ht="15.75" customHeight="1">
      <c r="A119" s="27" t="s">
        <v>929</v>
      </c>
      <c r="B119" s="19" t="s">
        <v>1011</v>
      </c>
      <c r="C119" s="20" t="str">
        <f>IFERROR(VLOOKUP(B119,'مراجع الوصفات'!$A$2:$D$79,2,FALSE),"")</f>
        <v/>
      </c>
      <c r="D119" s="19" t="s">
        <v>101</v>
      </c>
      <c r="E119" s="20" t="str">
        <f>IFERROR(VLOOKUP(D119,'مراجع الوصفات'!$F$2:$I$253,2,FALSE),"")</f>
        <v>ING-HERB-MINT</v>
      </c>
      <c r="F119" s="21">
        <v>0.05</v>
      </c>
      <c r="G119" s="19" t="s">
        <v>39</v>
      </c>
      <c r="H119" s="20" t="str">
        <f>IFERROR(VLOOKUP(D119,'مراجع الوصفات'!$F$2:$I$253,3,FALSE),"")</f>
        <v>عبوة</v>
      </c>
      <c r="I119" s="22">
        <f t="shared" si="1"/>
        <v>0.05</v>
      </c>
      <c r="J119" s="23">
        <v>0.0</v>
      </c>
      <c r="K119" s="19" t="s">
        <v>931</v>
      </c>
      <c r="L119" s="24">
        <f>IFERROR(VLOOKUP(D119,'مراجع الوصفات'!$F$2:$I$253,4,FALSE),"")</f>
        <v>1500</v>
      </c>
      <c r="M119" s="24">
        <f t="shared" si="2"/>
        <v>75</v>
      </c>
      <c r="N119" s="26"/>
      <c r="O119" s="25" t="str">
        <f t="shared" si="3"/>
        <v>صالح</v>
      </c>
    </row>
    <row r="120" ht="15.75" customHeight="1">
      <c r="A120" s="27" t="s">
        <v>929</v>
      </c>
      <c r="B120" s="19" t="s">
        <v>1011</v>
      </c>
      <c r="C120" s="20" t="str">
        <f>IFERROR(VLOOKUP(B120,'مراجع الوصفات'!$A$2:$D$79,2,FALSE),"")</f>
        <v/>
      </c>
      <c r="D120" s="19" t="s">
        <v>727</v>
      </c>
      <c r="E120" s="20" t="str">
        <f>IFERROR(VLOOKUP(D120,'مراجع الوصفات'!$F$2:$I$253,2,FALSE),"")</f>
        <v>ING-SWEET-SUGAR</v>
      </c>
      <c r="F120" s="21">
        <v>20.0</v>
      </c>
      <c r="G120" s="19" t="s">
        <v>370</v>
      </c>
      <c r="H120" s="20" t="str">
        <f>IFERROR(VLOOKUP(D120,'مراجع الوصفات'!$F$2:$I$253,3,FALSE),"")</f>
        <v>كغ</v>
      </c>
      <c r="I120" s="22">
        <f t="shared" si="1"/>
        <v>0.02</v>
      </c>
      <c r="J120" s="23">
        <v>0.0</v>
      </c>
      <c r="K120" s="19" t="s">
        <v>931</v>
      </c>
      <c r="L120" s="24">
        <f>IFERROR(VLOOKUP(D120,'مراجع الوصفات'!$F$2:$I$253,4,FALSE),"")</f>
        <v>10000</v>
      </c>
      <c r="M120" s="24">
        <f t="shared" si="2"/>
        <v>200</v>
      </c>
      <c r="N120" s="26"/>
      <c r="O120" s="25" t="str">
        <f t="shared" si="3"/>
        <v>صالح</v>
      </c>
    </row>
    <row r="121" ht="15.75" customHeight="1">
      <c r="A121" s="27" t="s">
        <v>929</v>
      </c>
      <c r="B121" s="19" t="s">
        <v>1011</v>
      </c>
      <c r="C121" s="20" t="str">
        <f>IFERROR(VLOOKUP(B121,'مراجع الوصفات'!$A$2:$D$79,2,FALSE),"")</f>
        <v/>
      </c>
      <c r="D121" s="19" t="s">
        <v>666</v>
      </c>
      <c r="E121" s="20" t="str">
        <f>IFERROR(VLOOKUP(D121,'مراجع الوصفات'!$F$2:$I$253,2,FALSE),"")</f>
        <v>DRK-SODA-WATER</v>
      </c>
      <c r="F121" s="21">
        <v>0.5</v>
      </c>
      <c r="G121" s="19" t="s">
        <v>654</v>
      </c>
      <c r="H121" s="20" t="str">
        <f>IFERROR(VLOOKUP(D121,'مراجع الوصفات'!$F$2:$I$253,3,FALSE),"")</f>
        <v>زجاجة</v>
      </c>
      <c r="I121" s="22">
        <f t="shared" si="1"/>
        <v>0.5</v>
      </c>
      <c r="J121" s="23">
        <v>0.0</v>
      </c>
      <c r="K121" s="19" t="s">
        <v>931</v>
      </c>
      <c r="L121" s="24" t="str">
        <f>IFERROR(VLOOKUP(D121,'مراجع الوصفات'!$F$2:$I$253,4,FALSE),"")</f>
        <v/>
      </c>
      <c r="M121" s="24" t="str">
        <f t="shared" si="2"/>
        <v/>
      </c>
      <c r="N121" s="26"/>
      <c r="O121" s="25" t="str">
        <f t="shared" si="3"/>
        <v>صالح</v>
      </c>
    </row>
    <row r="122" ht="15.75" customHeight="1">
      <c r="A122" s="27" t="s">
        <v>929</v>
      </c>
      <c r="B122" s="19" t="s">
        <v>1011</v>
      </c>
      <c r="C122" s="20" t="str">
        <f>IFERROR(VLOOKUP(B122,'مراجع الوصفات'!$A$2:$D$79,2,FALSE),"")</f>
        <v/>
      </c>
      <c r="D122" s="19" t="s">
        <v>685</v>
      </c>
      <c r="E122" s="20" t="str">
        <f>IFERROR(VLOOKUP(D122,'مراجع الوصفات'!$F$2:$I$253,2,FALSE),"")</f>
        <v>DRK-ICE</v>
      </c>
      <c r="F122" s="21">
        <v>150.0</v>
      </c>
      <c r="G122" s="19" t="s">
        <v>370</v>
      </c>
      <c r="H122" s="20" t="str">
        <f>IFERROR(VLOOKUP(D122,'مراجع الوصفات'!$F$2:$I$253,3,FALSE),"")</f>
        <v>كغ</v>
      </c>
      <c r="I122" s="22">
        <f t="shared" si="1"/>
        <v>0.15</v>
      </c>
      <c r="J122" s="23">
        <v>0.0</v>
      </c>
      <c r="K122" s="19" t="s">
        <v>931</v>
      </c>
      <c r="L122" s="24">
        <f>IFERROR(VLOOKUP(D122,'مراجع الوصفات'!$F$2:$I$253,4,FALSE),"")</f>
        <v>4000</v>
      </c>
      <c r="M122" s="24">
        <f t="shared" si="2"/>
        <v>600</v>
      </c>
      <c r="N122" s="26"/>
      <c r="O122" s="25" t="str">
        <f t="shared" si="3"/>
        <v>صالح</v>
      </c>
    </row>
    <row r="123" ht="15.75" customHeight="1">
      <c r="A123" s="27" t="s">
        <v>929</v>
      </c>
      <c r="B123" s="19" t="s">
        <v>1012</v>
      </c>
      <c r="C123" s="20" t="str">
        <f>IFERROR(VLOOKUP(B123,'مراجع الوصفات'!$A$2:$D$79,2,FALSE),"")</f>
        <v/>
      </c>
      <c r="D123" s="19" t="s">
        <v>707</v>
      </c>
      <c r="E123" s="20" t="str">
        <f>IFERROR(VLOOKUP(D123,'مراجع الوصفات'!$F$2:$I$253,2,FALSE),"")</f>
        <v>DRK-ALC-WHISKEY</v>
      </c>
      <c r="F123" s="21">
        <v>50.0</v>
      </c>
      <c r="G123" s="19" t="s">
        <v>440</v>
      </c>
      <c r="H123" s="20" t="str">
        <f>IFERROR(VLOOKUP(D123,'مراجع الوصفات'!$F$2:$I$253,3,FALSE),"")</f>
        <v>لتر</v>
      </c>
      <c r="I123" s="22">
        <f t="shared" si="1"/>
        <v>0.05</v>
      </c>
      <c r="J123" s="23">
        <v>0.0</v>
      </c>
      <c r="K123" s="19" t="s">
        <v>931</v>
      </c>
      <c r="L123" s="24" t="str">
        <f>IFERROR(VLOOKUP(D123,'مراجع الوصفات'!$F$2:$I$253,4,FALSE),"")</f>
        <v/>
      </c>
      <c r="M123" s="24" t="str">
        <f t="shared" si="2"/>
        <v/>
      </c>
      <c r="N123" s="26"/>
      <c r="O123" s="25" t="str">
        <f t="shared" si="3"/>
        <v>صالح</v>
      </c>
    </row>
    <row r="124" ht="15.75" customHeight="1">
      <c r="A124" s="27" t="s">
        <v>929</v>
      </c>
      <c r="B124" s="19" t="s">
        <v>1012</v>
      </c>
      <c r="C124" s="20" t="str">
        <f>IFERROR(VLOOKUP(B124,'مراجع الوصفات'!$A$2:$D$79,2,FALSE),"")</f>
        <v/>
      </c>
      <c r="D124" s="19" t="s">
        <v>648</v>
      </c>
      <c r="E124" s="20" t="str">
        <f>IFERROR(VLOOKUP(D124,'مراجع الوصفات'!$F$2:$I$253,2,FALSE),"")</f>
        <v>DRK-JUICE-APPLE</v>
      </c>
      <c r="F124" s="21">
        <v>150.0</v>
      </c>
      <c r="G124" s="19" t="s">
        <v>440</v>
      </c>
      <c r="H124" s="20" t="str">
        <f>IFERROR(VLOOKUP(D124,'مراجع الوصفات'!$F$2:$I$253,3,FALSE),"")</f>
        <v>لتر</v>
      </c>
      <c r="I124" s="22">
        <f t="shared" si="1"/>
        <v>0.15</v>
      </c>
      <c r="J124" s="23">
        <v>0.0</v>
      </c>
      <c r="K124" s="19" t="s">
        <v>931</v>
      </c>
      <c r="L124" s="24" t="str">
        <f>IFERROR(VLOOKUP(D124,'مراجع الوصفات'!$F$2:$I$253,4,FALSE),"")</f>
        <v/>
      </c>
      <c r="M124" s="24" t="str">
        <f t="shared" si="2"/>
        <v/>
      </c>
      <c r="N124" s="26"/>
      <c r="O124" s="25" t="str">
        <f t="shared" si="3"/>
        <v>صالح</v>
      </c>
    </row>
    <row r="125" ht="15.75" customHeight="1">
      <c r="A125" s="27" t="s">
        <v>929</v>
      </c>
      <c r="B125" s="19" t="s">
        <v>1012</v>
      </c>
      <c r="C125" s="20" t="str">
        <f>IFERROR(VLOOKUP(B125,'مراجع الوصفات'!$A$2:$D$79,2,FALSE),"")</f>
        <v/>
      </c>
      <c r="D125" s="19" t="s">
        <v>685</v>
      </c>
      <c r="E125" s="20" t="str">
        <f>IFERROR(VLOOKUP(D125,'مراجع الوصفات'!$F$2:$I$253,2,FALSE),"")</f>
        <v>DRK-ICE</v>
      </c>
      <c r="F125" s="21">
        <v>150.0</v>
      </c>
      <c r="G125" s="19" t="s">
        <v>370</v>
      </c>
      <c r="H125" s="20" t="str">
        <f>IFERROR(VLOOKUP(D125,'مراجع الوصفات'!$F$2:$I$253,3,FALSE),"")</f>
        <v>كغ</v>
      </c>
      <c r="I125" s="22">
        <f t="shared" si="1"/>
        <v>0.15</v>
      </c>
      <c r="J125" s="23">
        <v>0.0</v>
      </c>
      <c r="K125" s="19" t="s">
        <v>931</v>
      </c>
      <c r="L125" s="24">
        <f>IFERROR(VLOOKUP(D125,'مراجع الوصفات'!$F$2:$I$253,4,FALSE),"")</f>
        <v>4000</v>
      </c>
      <c r="M125" s="24">
        <f t="shared" si="2"/>
        <v>600</v>
      </c>
      <c r="N125" s="26"/>
      <c r="O125" s="25" t="str">
        <f t="shared" si="3"/>
        <v>صالح</v>
      </c>
    </row>
    <row r="126" ht="15.75" customHeight="1">
      <c r="A126" s="27" t="s">
        <v>929</v>
      </c>
      <c r="B126" s="19" t="s">
        <v>1013</v>
      </c>
      <c r="C126" s="20" t="str">
        <f>IFERROR(VLOOKUP(B126,'مراجع الوصفات'!$A$2:$D$79,2,FALSE),"")</f>
        <v/>
      </c>
      <c r="D126" s="19" t="s">
        <v>703</v>
      </c>
      <c r="E126" s="20" t="str">
        <f>IFERROR(VLOOKUP(D126,'مراجع الوصفات'!$F$2:$I$253,2,FALSE),"")</f>
        <v>DRK-ALC-GIN</v>
      </c>
      <c r="F126" s="21">
        <v>50.0</v>
      </c>
      <c r="G126" s="19" t="s">
        <v>440</v>
      </c>
      <c r="H126" s="20" t="str">
        <f>IFERROR(VLOOKUP(D126,'مراجع الوصفات'!$F$2:$I$253,3,FALSE),"")</f>
        <v>لتر</v>
      </c>
      <c r="I126" s="22">
        <f t="shared" si="1"/>
        <v>0.05</v>
      </c>
      <c r="J126" s="23">
        <v>0.0</v>
      </c>
      <c r="K126" s="19" t="s">
        <v>931</v>
      </c>
      <c r="L126" s="24" t="str">
        <f>IFERROR(VLOOKUP(D126,'مراجع الوصفات'!$F$2:$I$253,4,FALSE),"")</f>
        <v/>
      </c>
      <c r="M126" s="24" t="str">
        <f t="shared" si="2"/>
        <v/>
      </c>
      <c r="N126" s="26"/>
      <c r="O126" s="25" t="str">
        <f t="shared" si="3"/>
        <v>صالح</v>
      </c>
    </row>
    <row r="127" ht="15.75" customHeight="1">
      <c r="A127" s="27" t="s">
        <v>929</v>
      </c>
      <c r="B127" s="19" t="s">
        <v>1013</v>
      </c>
      <c r="C127" s="20" t="str">
        <f>IFERROR(VLOOKUP(B127,'مراجع الوصفات'!$A$2:$D$79,2,FALSE),"")</f>
        <v/>
      </c>
      <c r="D127" s="19" t="s">
        <v>111</v>
      </c>
      <c r="E127" s="20" t="str">
        <f>IFERROR(VLOOKUP(D127,'مراجع الوصفات'!$F$2:$I$253,2,FALSE),"")</f>
        <v>ING-HERB-BASIL</v>
      </c>
      <c r="F127" s="21">
        <v>0.05</v>
      </c>
      <c r="G127" s="19" t="s">
        <v>39</v>
      </c>
      <c r="H127" s="20" t="str">
        <f>IFERROR(VLOOKUP(D127,'مراجع الوصفات'!$F$2:$I$253,3,FALSE),"")</f>
        <v>عبوة</v>
      </c>
      <c r="I127" s="22">
        <f t="shared" si="1"/>
        <v>0.05</v>
      </c>
      <c r="J127" s="23">
        <v>0.0</v>
      </c>
      <c r="K127" s="19" t="s">
        <v>931</v>
      </c>
      <c r="L127" s="24" t="str">
        <f>IFERROR(VLOOKUP(D127,'مراجع الوصفات'!$F$2:$I$253,4,FALSE),"")</f>
        <v/>
      </c>
      <c r="M127" s="24" t="str">
        <f t="shared" si="2"/>
        <v/>
      </c>
      <c r="N127" s="26"/>
      <c r="O127" s="25" t="str">
        <f t="shared" si="3"/>
        <v>صالح</v>
      </c>
    </row>
    <row r="128" ht="15.75" customHeight="1">
      <c r="A128" s="27" t="s">
        <v>929</v>
      </c>
      <c r="B128" s="19" t="s">
        <v>1013</v>
      </c>
      <c r="C128" s="20" t="str">
        <f>IFERROR(VLOOKUP(B128,'مراجع الوصفات'!$A$2:$D$79,2,FALSE),"")</f>
        <v/>
      </c>
      <c r="D128" s="19" t="s">
        <v>669</v>
      </c>
      <c r="E128" s="20" t="str">
        <f>IFERROR(VLOOKUP(D128,'مراجع الوصفات'!$F$2:$I$253,2,FALSE),"")</f>
        <v>DRK-TONIC-WATER</v>
      </c>
      <c r="F128" s="21">
        <v>0.5</v>
      </c>
      <c r="G128" s="19" t="s">
        <v>654</v>
      </c>
      <c r="H128" s="20" t="str">
        <f>IFERROR(VLOOKUP(D128,'مراجع الوصفات'!$F$2:$I$253,3,FALSE),"")</f>
        <v>زجاجة</v>
      </c>
      <c r="I128" s="22">
        <f t="shared" si="1"/>
        <v>0.5</v>
      </c>
      <c r="J128" s="23">
        <v>0.0</v>
      </c>
      <c r="K128" s="19" t="s">
        <v>931</v>
      </c>
      <c r="L128" s="24" t="str">
        <f>IFERROR(VLOOKUP(D128,'مراجع الوصفات'!$F$2:$I$253,4,FALSE),"")</f>
        <v/>
      </c>
      <c r="M128" s="24" t="str">
        <f t="shared" si="2"/>
        <v/>
      </c>
      <c r="N128" s="26"/>
      <c r="O128" s="25" t="str">
        <f t="shared" si="3"/>
        <v>صالح</v>
      </c>
    </row>
    <row r="129" ht="15.75" customHeight="1">
      <c r="A129" s="27" t="s">
        <v>929</v>
      </c>
      <c r="B129" s="19" t="s">
        <v>1013</v>
      </c>
      <c r="C129" s="20" t="str">
        <f>IFERROR(VLOOKUP(B129,'مراجع الوصفات'!$A$2:$D$79,2,FALSE),"")</f>
        <v/>
      </c>
      <c r="D129" s="19" t="s">
        <v>24</v>
      </c>
      <c r="E129" s="20" t="str">
        <f>IFERROR(VLOOKUP(D129,'مراجع الوصفات'!$F$2:$I$253,2,FALSE),"")</f>
        <v>ING-FRT-LEMON</v>
      </c>
      <c r="F129" s="21">
        <v>30.0</v>
      </c>
      <c r="G129" s="19" t="s">
        <v>370</v>
      </c>
      <c r="H129" s="20" t="str">
        <f>IFERROR(VLOOKUP(D129,'مراجع الوصفات'!$F$2:$I$253,3,FALSE),"")</f>
        <v>كغ</v>
      </c>
      <c r="I129" s="22">
        <f t="shared" si="1"/>
        <v>0.03</v>
      </c>
      <c r="J129" s="23">
        <v>0.0</v>
      </c>
      <c r="K129" s="19" t="s">
        <v>931</v>
      </c>
      <c r="L129" s="24">
        <f>IFERROR(VLOOKUP(D129,'مراجع الوصفات'!$F$2:$I$253,4,FALSE),"")</f>
        <v>30000</v>
      </c>
      <c r="M129" s="24">
        <f t="shared" si="2"/>
        <v>900</v>
      </c>
      <c r="N129" s="26"/>
      <c r="O129" s="25" t="str">
        <f t="shared" si="3"/>
        <v>صالح</v>
      </c>
    </row>
    <row r="130" ht="15.75" customHeight="1">
      <c r="A130" s="27" t="s">
        <v>929</v>
      </c>
      <c r="B130" s="19" t="s">
        <v>1013</v>
      </c>
      <c r="C130" s="20" t="str">
        <f>IFERROR(VLOOKUP(B130,'مراجع الوصفات'!$A$2:$D$79,2,FALSE),"")</f>
        <v/>
      </c>
      <c r="D130" s="19" t="s">
        <v>685</v>
      </c>
      <c r="E130" s="20" t="str">
        <f>IFERROR(VLOOKUP(D130,'مراجع الوصفات'!$F$2:$I$253,2,FALSE),"")</f>
        <v>DRK-ICE</v>
      </c>
      <c r="F130" s="21">
        <v>150.0</v>
      </c>
      <c r="G130" s="19" t="s">
        <v>370</v>
      </c>
      <c r="H130" s="20" t="str">
        <f>IFERROR(VLOOKUP(D130,'مراجع الوصفات'!$F$2:$I$253,3,FALSE),"")</f>
        <v>كغ</v>
      </c>
      <c r="I130" s="22">
        <f t="shared" si="1"/>
        <v>0.15</v>
      </c>
      <c r="J130" s="23">
        <v>0.0</v>
      </c>
      <c r="K130" s="19" t="s">
        <v>931</v>
      </c>
      <c r="L130" s="24">
        <f>IFERROR(VLOOKUP(D130,'مراجع الوصفات'!$F$2:$I$253,4,FALSE),"")</f>
        <v>4000</v>
      </c>
      <c r="M130" s="24">
        <f t="shared" si="2"/>
        <v>600</v>
      </c>
      <c r="N130" s="26"/>
      <c r="O130" s="25" t="str">
        <f t="shared" si="3"/>
        <v>صالح</v>
      </c>
    </row>
    <row r="131" ht="15.75" customHeight="1">
      <c r="A131" s="27" t="s">
        <v>929</v>
      </c>
      <c r="B131" s="19" t="s">
        <v>1014</v>
      </c>
      <c r="C131" s="20" t="str">
        <f>IFERROR(VLOOKUP(B131,'مراجع الوصفات'!$A$2:$D$79,2,FALSE),"")</f>
        <v/>
      </c>
      <c r="D131" s="19" t="s">
        <v>717</v>
      </c>
      <c r="E131" s="20" t="str">
        <f>IFERROR(VLOOKUP(D131,'مراجع الوصفات'!$F$2:$I$253,2,FALSE),"")</f>
        <v>DRK-ALC-WINE-RED</v>
      </c>
      <c r="F131" s="21">
        <v>0.2</v>
      </c>
      <c r="G131" s="19" t="s">
        <v>654</v>
      </c>
      <c r="H131" s="20" t="str">
        <f>IFERROR(VLOOKUP(D131,'مراجع الوصفات'!$F$2:$I$253,3,FALSE),"")</f>
        <v>زجاجة</v>
      </c>
      <c r="I131" s="22">
        <f t="shared" si="1"/>
        <v>0.2</v>
      </c>
      <c r="J131" s="23">
        <v>0.0</v>
      </c>
      <c r="K131" s="19" t="s">
        <v>931</v>
      </c>
      <c r="L131" s="24" t="str">
        <f>IFERROR(VLOOKUP(D131,'مراجع الوصفات'!$F$2:$I$253,4,FALSE),"")</f>
        <v/>
      </c>
      <c r="M131" s="24" t="str">
        <f t="shared" si="2"/>
        <v/>
      </c>
      <c r="N131" s="19" t="s">
        <v>1015</v>
      </c>
      <c r="O131" s="25" t="str">
        <f t="shared" si="3"/>
        <v>صالح</v>
      </c>
    </row>
    <row r="132" ht="15.75" customHeight="1">
      <c r="A132" s="27" t="s">
        <v>929</v>
      </c>
      <c r="B132" s="19" t="s">
        <v>1016</v>
      </c>
      <c r="C132" s="20" t="str">
        <f>IFERROR(VLOOKUP(B132,'مراجع الوصفات'!$A$2:$D$79,2,FALSE),"")</f>
        <v/>
      </c>
      <c r="D132" s="19" t="s">
        <v>714</v>
      </c>
      <c r="E132" s="20" t="str">
        <f>IFERROR(VLOOKUP(D132,'مراجع الوصفات'!$F$2:$I$253,2,FALSE),"")</f>
        <v>DRK-ALC-TEQUILA</v>
      </c>
      <c r="F132" s="21">
        <v>40.0</v>
      </c>
      <c r="G132" s="19" t="s">
        <v>440</v>
      </c>
      <c r="H132" s="20" t="str">
        <f>IFERROR(VLOOKUP(D132,'مراجع الوصفات'!$F$2:$I$253,3,FALSE),"")</f>
        <v>لتر</v>
      </c>
      <c r="I132" s="22">
        <f t="shared" si="1"/>
        <v>0.04</v>
      </c>
      <c r="J132" s="23">
        <v>0.0</v>
      </c>
      <c r="K132" s="19" t="s">
        <v>931</v>
      </c>
      <c r="L132" s="24" t="str">
        <f>IFERROR(VLOOKUP(D132,'مراجع الوصفات'!$F$2:$I$253,4,FALSE),"")</f>
        <v/>
      </c>
      <c r="M132" s="24" t="str">
        <f t="shared" si="2"/>
        <v/>
      </c>
      <c r="N132" s="26"/>
      <c r="O132" s="25" t="str">
        <f t="shared" si="3"/>
        <v>صالح</v>
      </c>
    </row>
    <row r="133" ht="15.75" customHeight="1">
      <c r="A133" s="27" t="s">
        <v>929</v>
      </c>
      <c r="B133" s="19" t="s">
        <v>1017</v>
      </c>
      <c r="C133" s="20" t="str">
        <f>IFERROR(VLOOKUP(B133,'مراجع الوصفات'!$A$2:$D$79,2,FALSE),"")</f>
        <v/>
      </c>
      <c r="D133" s="19" t="s">
        <v>693</v>
      </c>
      <c r="E133" s="20" t="str">
        <f>IFERROR(VLOOKUP(D133,'مراجع الوصفات'!$F$2:$I$253,2,FALSE),"")</f>
        <v>DRK-ALC-VODKA-SMIRNOFF</v>
      </c>
      <c r="F133" s="21">
        <v>40.0</v>
      </c>
      <c r="G133" s="19" t="s">
        <v>440</v>
      </c>
      <c r="H133" s="20" t="str">
        <f>IFERROR(VLOOKUP(D133,'مراجع الوصفات'!$F$2:$I$253,3,FALSE),"")</f>
        <v>لتر</v>
      </c>
      <c r="I133" s="22">
        <f t="shared" si="1"/>
        <v>0.04</v>
      </c>
      <c r="J133" s="23">
        <v>0.0</v>
      </c>
      <c r="K133" s="19" t="s">
        <v>931</v>
      </c>
      <c r="L133" s="24">
        <f>IFERROR(VLOOKUP(D133,'مراجع الوصفات'!$F$2:$I$253,4,FALSE),"")</f>
        <v>50000</v>
      </c>
      <c r="M133" s="24">
        <f t="shared" si="2"/>
        <v>2000</v>
      </c>
      <c r="N133" s="19" t="s">
        <v>1018</v>
      </c>
      <c r="O133" s="25" t="str">
        <f t="shared" si="3"/>
        <v>صالح</v>
      </c>
    </row>
    <row r="134" ht="15.75" customHeight="1">
      <c r="A134" s="27" t="s">
        <v>929</v>
      </c>
      <c r="B134" s="19" t="s">
        <v>1017</v>
      </c>
      <c r="C134" s="20" t="str">
        <f>IFERROR(VLOOKUP(B134,'مراجع الوصفات'!$A$2:$D$79,2,FALSE),"")</f>
        <v/>
      </c>
      <c r="D134" s="19" t="s">
        <v>723</v>
      </c>
      <c r="E134" s="20" t="str">
        <f>IFERROR(VLOOKUP(D134,'مراجع الوصفات'!$F$2:$I$253,2,FALSE),"")</f>
        <v>ING-PICKLE-GREENOLIVE</v>
      </c>
      <c r="F134" s="21">
        <v>15.0</v>
      </c>
      <c r="G134" s="19" t="s">
        <v>370</v>
      </c>
      <c r="H134" s="20" t="str">
        <f>IFERROR(VLOOKUP(D134,'مراجع الوصفات'!$F$2:$I$253,3,FALSE),"")</f>
        <v>كغ</v>
      </c>
      <c r="I134" s="22">
        <f t="shared" si="1"/>
        <v>0.015</v>
      </c>
      <c r="J134" s="23">
        <v>0.0</v>
      </c>
      <c r="K134" s="19" t="s">
        <v>931</v>
      </c>
      <c r="L134" s="24" t="str">
        <f>IFERROR(VLOOKUP(D134,'مراجع الوصفات'!$F$2:$I$253,4,FALSE),"")</f>
        <v/>
      </c>
      <c r="M134" s="24" t="str">
        <f t="shared" si="2"/>
        <v/>
      </c>
      <c r="N134" s="26"/>
      <c r="O134" s="25" t="str">
        <f t="shared" si="3"/>
        <v>صالح</v>
      </c>
    </row>
    <row r="135" ht="15.75" customHeight="1">
      <c r="A135" s="27" t="s">
        <v>929</v>
      </c>
      <c r="B135" s="19" t="s">
        <v>1017</v>
      </c>
      <c r="C135" s="20" t="str">
        <f>IFERROR(VLOOKUP(B135,'مراجع الوصفات'!$A$2:$D$79,2,FALSE),"")</f>
        <v/>
      </c>
      <c r="D135" s="19" t="s">
        <v>437</v>
      </c>
      <c r="E135" s="20" t="str">
        <f>IFERROR(VLOOKUP(D135,'مراجع الوصفات'!$F$2:$I$253,2,FALSE),"")</f>
        <v>ING-SAUCE-TABASCO</v>
      </c>
      <c r="F135" s="21">
        <v>2.0</v>
      </c>
      <c r="G135" s="19" t="s">
        <v>440</v>
      </c>
      <c r="H135" s="20" t="str">
        <f>IFERROR(VLOOKUP(D135,'مراجع الوصفات'!$F$2:$I$253,3,FALSE),"")</f>
        <v>مل</v>
      </c>
      <c r="I135" s="22">
        <f t="shared" si="1"/>
        <v>2</v>
      </c>
      <c r="J135" s="23">
        <v>0.0</v>
      </c>
      <c r="K135" s="19" t="s">
        <v>931</v>
      </c>
      <c r="L135" s="24" t="str">
        <f>IFERROR(VLOOKUP(D135,'مراجع الوصفات'!$F$2:$I$253,4,FALSE),"")</f>
        <v/>
      </c>
      <c r="M135" s="24" t="str">
        <f t="shared" si="2"/>
        <v/>
      </c>
      <c r="N135" s="26"/>
      <c r="O135" s="25" t="str">
        <f t="shared" si="3"/>
        <v>صالح</v>
      </c>
    </row>
    <row r="136" ht="15.75" customHeight="1">
      <c r="A136" s="28"/>
      <c r="B136" s="26"/>
      <c r="C136" s="20" t="str">
        <f>IFERROR(VLOOKUP(B136,'مراجع الوصفات'!$A$2:$D$79,2,FALSE),"")</f>
        <v/>
      </c>
      <c r="D136" s="26"/>
      <c r="E136" s="20" t="str">
        <f>IFERROR(VLOOKUP(D136,'مراجع الوصفات'!$F$2:$I$253,2,FALSE),"")</f>
        <v/>
      </c>
      <c r="F136" s="21"/>
      <c r="G136" s="26"/>
      <c r="H136" s="20" t="str">
        <f>IFERROR(VLOOKUP(D136,'مراجع الوصفات'!$F$2:$I$253,3,FALSE),"")</f>
        <v/>
      </c>
      <c r="I136" s="22" t="str">
        <f t="shared" si="1"/>
        <v/>
      </c>
      <c r="J136" s="23"/>
      <c r="K136" s="26"/>
      <c r="L136" s="24" t="str">
        <f>IFERROR(VLOOKUP(D136,'مراجع الوصفات'!$F$2:$I$253,4,FALSE),"")</f>
        <v/>
      </c>
      <c r="M136" s="24" t="str">
        <f t="shared" si="2"/>
        <v/>
      </c>
      <c r="N136" s="26"/>
      <c r="O136" s="25" t="str">
        <f t="shared" si="3"/>
        <v/>
      </c>
    </row>
    <row r="137" ht="15.75" customHeight="1">
      <c r="A137" s="28"/>
      <c r="B137" s="26"/>
      <c r="C137" s="20" t="str">
        <f>IFERROR(VLOOKUP(B137,'مراجع الوصفات'!$A$2:$D$79,2,FALSE),"")</f>
        <v/>
      </c>
      <c r="D137" s="26"/>
      <c r="E137" s="20" t="str">
        <f>IFERROR(VLOOKUP(D137,'مراجع الوصفات'!$F$2:$I$253,2,FALSE),"")</f>
        <v/>
      </c>
      <c r="F137" s="21"/>
      <c r="G137" s="26"/>
      <c r="H137" s="20" t="str">
        <f>IFERROR(VLOOKUP(D137,'مراجع الوصفات'!$F$2:$I$253,3,FALSE),"")</f>
        <v/>
      </c>
      <c r="I137" s="22" t="str">
        <f t="shared" si="1"/>
        <v/>
      </c>
      <c r="J137" s="23"/>
      <c r="K137" s="26"/>
      <c r="L137" s="24" t="str">
        <f>IFERROR(VLOOKUP(D137,'مراجع الوصفات'!$F$2:$I$253,4,FALSE),"")</f>
        <v/>
      </c>
      <c r="M137" s="24" t="str">
        <f t="shared" si="2"/>
        <v/>
      </c>
      <c r="N137" s="26"/>
      <c r="O137" s="25" t="str">
        <f t="shared" si="3"/>
        <v/>
      </c>
    </row>
    <row r="138" ht="15.75" customHeight="1">
      <c r="A138" s="28"/>
      <c r="B138" s="26"/>
      <c r="C138" s="20" t="str">
        <f>IFERROR(VLOOKUP(B138,'مراجع الوصفات'!$A$2:$D$79,2,FALSE),"")</f>
        <v/>
      </c>
      <c r="D138" s="26"/>
      <c r="E138" s="20" t="str">
        <f>IFERROR(VLOOKUP(D138,'مراجع الوصفات'!$F$2:$I$253,2,FALSE),"")</f>
        <v/>
      </c>
      <c r="F138" s="21"/>
      <c r="G138" s="26"/>
      <c r="H138" s="20" t="str">
        <f>IFERROR(VLOOKUP(D138,'مراجع الوصفات'!$F$2:$I$253,3,FALSE),"")</f>
        <v/>
      </c>
      <c r="I138" s="22" t="str">
        <f t="shared" si="1"/>
        <v/>
      </c>
      <c r="J138" s="23"/>
      <c r="K138" s="26"/>
      <c r="L138" s="24" t="str">
        <f>IFERROR(VLOOKUP(D138,'مراجع الوصفات'!$F$2:$I$253,4,FALSE),"")</f>
        <v/>
      </c>
      <c r="M138" s="24" t="str">
        <f t="shared" si="2"/>
        <v/>
      </c>
      <c r="N138" s="26"/>
      <c r="O138" s="25" t="str">
        <f t="shared" si="3"/>
        <v/>
      </c>
    </row>
    <row r="139" ht="15.75" customHeight="1">
      <c r="A139" s="28"/>
      <c r="B139" s="26"/>
      <c r="C139" s="20" t="str">
        <f>IFERROR(VLOOKUP(B139,'مراجع الوصفات'!$A$2:$D$79,2,FALSE),"")</f>
        <v/>
      </c>
      <c r="D139" s="26"/>
      <c r="E139" s="20" t="str">
        <f>IFERROR(VLOOKUP(D139,'مراجع الوصفات'!$F$2:$I$253,2,FALSE),"")</f>
        <v/>
      </c>
      <c r="F139" s="21"/>
      <c r="G139" s="26"/>
      <c r="H139" s="20" t="str">
        <f>IFERROR(VLOOKUP(D139,'مراجع الوصفات'!$F$2:$I$253,3,FALSE),"")</f>
        <v/>
      </c>
      <c r="I139" s="22" t="str">
        <f t="shared" si="1"/>
        <v/>
      </c>
      <c r="J139" s="23"/>
      <c r="K139" s="26"/>
      <c r="L139" s="24" t="str">
        <f>IFERROR(VLOOKUP(D139,'مراجع الوصفات'!$F$2:$I$253,4,FALSE),"")</f>
        <v/>
      </c>
      <c r="M139" s="24" t="str">
        <f t="shared" si="2"/>
        <v/>
      </c>
      <c r="N139" s="26"/>
      <c r="O139" s="25" t="str">
        <f t="shared" si="3"/>
        <v/>
      </c>
    </row>
    <row r="140" ht="15.75" customHeight="1">
      <c r="A140" s="28"/>
      <c r="B140" s="26"/>
      <c r="C140" s="20" t="str">
        <f>IFERROR(VLOOKUP(B140,'مراجع الوصفات'!$A$2:$D$79,2,FALSE),"")</f>
        <v/>
      </c>
      <c r="D140" s="26"/>
      <c r="E140" s="20" t="str">
        <f>IFERROR(VLOOKUP(D140,'مراجع الوصفات'!$F$2:$I$253,2,FALSE),"")</f>
        <v/>
      </c>
      <c r="F140" s="21"/>
      <c r="G140" s="26"/>
      <c r="H140" s="20" t="str">
        <f>IFERROR(VLOOKUP(D140,'مراجع الوصفات'!$F$2:$I$253,3,FALSE),"")</f>
        <v/>
      </c>
      <c r="I140" s="22" t="str">
        <f t="shared" si="1"/>
        <v/>
      </c>
      <c r="J140" s="23"/>
      <c r="K140" s="26"/>
      <c r="L140" s="24" t="str">
        <f>IFERROR(VLOOKUP(D140,'مراجع الوصفات'!$F$2:$I$253,4,FALSE),"")</f>
        <v/>
      </c>
      <c r="M140" s="24" t="str">
        <f t="shared" si="2"/>
        <v/>
      </c>
      <c r="N140" s="26"/>
      <c r="O140" s="25" t="str">
        <f t="shared" si="3"/>
        <v/>
      </c>
    </row>
    <row r="141" ht="15.75" customHeight="1">
      <c r="A141" s="28"/>
      <c r="B141" s="26"/>
      <c r="C141" s="20" t="str">
        <f>IFERROR(VLOOKUP(B141,'مراجع الوصفات'!$A$2:$D$79,2,FALSE),"")</f>
        <v/>
      </c>
      <c r="D141" s="26"/>
      <c r="E141" s="20" t="str">
        <f>IFERROR(VLOOKUP(D141,'مراجع الوصفات'!$F$2:$I$253,2,FALSE),"")</f>
        <v/>
      </c>
      <c r="F141" s="21"/>
      <c r="G141" s="26"/>
      <c r="H141" s="20" t="str">
        <f>IFERROR(VLOOKUP(D141,'مراجع الوصفات'!$F$2:$I$253,3,FALSE),"")</f>
        <v/>
      </c>
      <c r="I141" s="22" t="str">
        <f t="shared" si="1"/>
        <v/>
      </c>
      <c r="J141" s="23"/>
      <c r="K141" s="26"/>
      <c r="L141" s="24" t="str">
        <f>IFERROR(VLOOKUP(D141,'مراجع الوصفات'!$F$2:$I$253,4,FALSE),"")</f>
        <v/>
      </c>
      <c r="M141" s="24" t="str">
        <f t="shared" si="2"/>
        <v/>
      </c>
      <c r="N141" s="26"/>
      <c r="O141" s="25" t="str">
        <f t="shared" si="3"/>
        <v/>
      </c>
    </row>
    <row r="142" ht="15.75" customHeight="1">
      <c r="A142" s="28"/>
      <c r="B142" s="26"/>
      <c r="C142" s="20" t="str">
        <f>IFERROR(VLOOKUP(B142,'مراجع الوصفات'!$A$2:$D$79,2,FALSE),"")</f>
        <v/>
      </c>
      <c r="D142" s="26"/>
      <c r="E142" s="20" t="str">
        <f>IFERROR(VLOOKUP(D142,'مراجع الوصفات'!$F$2:$I$253,2,FALSE),"")</f>
        <v/>
      </c>
      <c r="F142" s="21"/>
      <c r="G142" s="26"/>
      <c r="H142" s="20" t="str">
        <f>IFERROR(VLOOKUP(D142,'مراجع الوصفات'!$F$2:$I$253,3,FALSE),"")</f>
        <v/>
      </c>
      <c r="I142" s="22" t="str">
        <f t="shared" si="1"/>
        <v/>
      </c>
      <c r="J142" s="23"/>
      <c r="K142" s="26"/>
      <c r="L142" s="24" t="str">
        <f>IFERROR(VLOOKUP(D142,'مراجع الوصفات'!$F$2:$I$253,4,FALSE),"")</f>
        <v/>
      </c>
      <c r="M142" s="24" t="str">
        <f t="shared" si="2"/>
        <v/>
      </c>
      <c r="N142" s="26"/>
      <c r="O142" s="25" t="str">
        <f t="shared" si="3"/>
        <v/>
      </c>
    </row>
    <row r="143" ht="15.75" customHeight="1">
      <c r="A143" s="28"/>
      <c r="B143" s="26"/>
      <c r="C143" s="20" t="str">
        <f>IFERROR(VLOOKUP(B143,'مراجع الوصفات'!$A$2:$D$79,2,FALSE),"")</f>
        <v/>
      </c>
      <c r="D143" s="26"/>
      <c r="E143" s="20" t="str">
        <f>IFERROR(VLOOKUP(D143,'مراجع الوصفات'!$F$2:$I$253,2,FALSE),"")</f>
        <v/>
      </c>
      <c r="F143" s="21"/>
      <c r="G143" s="26"/>
      <c r="H143" s="20" t="str">
        <f>IFERROR(VLOOKUP(D143,'مراجع الوصفات'!$F$2:$I$253,3,FALSE),"")</f>
        <v/>
      </c>
      <c r="I143" s="22" t="str">
        <f t="shared" si="1"/>
        <v/>
      </c>
      <c r="J143" s="23"/>
      <c r="K143" s="26"/>
      <c r="L143" s="24" t="str">
        <f>IFERROR(VLOOKUP(D143,'مراجع الوصفات'!$F$2:$I$253,4,FALSE),"")</f>
        <v/>
      </c>
      <c r="M143" s="24" t="str">
        <f t="shared" si="2"/>
        <v/>
      </c>
      <c r="N143" s="26"/>
      <c r="O143" s="25" t="str">
        <f t="shared" si="3"/>
        <v/>
      </c>
    </row>
    <row r="144" ht="15.75" customHeight="1">
      <c r="A144" s="28"/>
      <c r="B144" s="26"/>
      <c r="C144" s="20" t="str">
        <f>IFERROR(VLOOKUP(B144,'مراجع الوصفات'!$A$2:$D$79,2,FALSE),"")</f>
        <v/>
      </c>
      <c r="D144" s="26"/>
      <c r="E144" s="20" t="str">
        <f>IFERROR(VLOOKUP(D144,'مراجع الوصفات'!$F$2:$I$253,2,FALSE),"")</f>
        <v/>
      </c>
      <c r="F144" s="21"/>
      <c r="G144" s="26"/>
      <c r="H144" s="20" t="str">
        <f>IFERROR(VLOOKUP(D144,'مراجع الوصفات'!$F$2:$I$253,3,FALSE),"")</f>
        <v/>
      </c>
      <c r="I144" s="22" t="str">
        <f t="shared" si="1"/>
        <v/>
      </c>
      <c r="J144" s="23"/>
      <c r="K144" s="26"/>
      <c r="L144" s="24" t="str">
        <f>IFERROR(VLOOKUP(D144,'مراجع الوصفات'!$F$2:$I$253,4,FALSE),"")</f>
        <v/>
      </c>
      <c r="M144" s="24" t="str">
        <f t="shared" si="2"/>
        <v/>
      </c>
      <c r="N144" s="26"/>
      <c r="O144" s="25" t="str">
        <f t="shared" si="3"/>
        <v/>
      </c>
    </row>
    <row r="145" ht="15.75" customHeight="1">
      <c r="A145" s="28"/>
      <c r="B145" s="26"/>
      <c r="C145" s="20" t="str">
        <f>IFERROR(VLOOKUP(B145,'مراجع الوصفات'!$A$2:$D$79,2,FALSE),"")</f>
        <v/>
      </c>
      <c r="D145" s="26"/>
      <c r="E145" s="20" t="str">
        <f>IFERROR(VLOOKUP(D145,'مراجع الوصفات'!$F$2:$I$253,2,FALSE),"")</f>
        <v/>
      </c>
      <c r="F145" s="21"/>
      <c r="G145" s="26"/>
      <c r="H145" s="20" t="str">
        <f>IFERROR(VLOOKUP(D145,'مراجع الوصفات'!$F$2:$I$253,3,FALSE),"")</f>
        <v/>
      </c>
      <c r="I145" s="22" t="str">
        <f t="shared" si="1"/>
        <v/>
      </c>
      <c r="J145" s="23"/>
      <c r="K145" s="26"/>
      <c r="L145" s="24" t="str">
        <f>IFERROR(VLOOKUP(D145,'مراجع الوصفات'!$F$2:$I$253,4,FALSE),"")</f>
        <v/>
      </c>
      <c r="M145" s="24" t="str">
        <f t="shared" si="2"/>
        <v/>
      </c>
      <c r="N145" s="26"/>
      <c r="O145" s="25" t="str">
        <f t="shared" si="3"/>
        <v/>
      </c>
    </row>
    <row r="146" ht="15.75" customHeight="1">
      <c r="A146" s="28"/>
      <c r="B146" s="26"/>
      <c r="C146" s="20" t="str">
        <f>IFERROR(VLOOKUP(B146,'مراجع الوصفات'!$A$2:$D$79,2,FALSE),"")</f>
        <v/>
      </c>
      <c r="D146" s="26"/>
      <c r="E146" s="20" t="str">
        <f>IFERROR(VLOOKUP(D146,'مراجع الوصفات'!$F$2:$I$253,2,FALSE),"")</f>
        <v/>
      </c>
      <c r="F146" s="21"/>
      <c r="G146" s="26"/>
      <c r="H146" s="20" t="str">
        <f>IFERROR(VLOOKUP(D146,'مراجع الوصفات'!$F$2:$I$253,3,FALSE),"")</f>
        <v/>
      </c>
      <c r="I146" s="22" t="str">
        <f t="shared" si="1"/>
        <v/>
      </c>
      <c r="J146" s="23"/>
      <c r="K146" s="26"/>
      <c r="L146" s="24" t="str">
        <f>IFERROR(VLOOKUP(D146,'مراجع الوصفات'!$F$2:$I$253,4,FALSE),"")</f>
        <v/>
      </c>
      <c r="M146" s="24" t="str">
        <f t="shared" si="2"/>
        <v/>
      </c>
      <c r="N146" s="26"/>
      <c r="O146" s="25" t="str">
        <f t="shared" si="3"/>
        <v/>
      </c>
    </row>
    <row r="147" ht="15.75" customHeight="1">
      <c r="A147" s="28"/>
      <c r="B147" s="26"/>
      <c r="C147" s="20" t="str">
        <f>IFERROR(VLOOKUP(B147,'مراجع الوصفات'!$A$2:$D$79,2,FALSE),"")</f>
        <v/>
      </c>
      <c r="D147" s="26"/>
      <c r="E147" s="20" t="str">
        <f>IFERROR(VLOOKUP(D147,'مراجع الوصفات'!$F$2:$I$253,2,FALSE),"")</f>
        <v/>
      </c>
      <c r="F147" s="21"/>
      <c r="G147" s="26"/>
      <c r="H147" s="20" t="str">
        <f>IFERROR(VLOOKUP(D147,'مراجع الوصفات'!$F$2:$I$253,3,FALSE),"")</f>
        <v/>
      </c>
      <c r="I147" s="22" t="str">
        <f t="shared" si="1"/>
        <v/>
      </c>
      <c r="J147" s="23"/>
      <c r="K147" s="26"/>
      <c r="L147" s="24" t="str">
        <f>IFERROR(VLOOKUP(D147,'مراجع الوصفات'!$F$2:$I$253,4,FALSE),"")</f>
        <v/>
      </c>
      <c r="M147" s="24" t="str">
        <f t="shared" si="2"/>
        <v/>
      </c>
      <c r="N147" s="26"/>
      <c r="O147" s="25" t="str">
        <f t="shared" si="3"/>
        <v/>
      </c>
    </row>
    <row r="148" ht="15.75" customHeight="1">
      <c r="A148" s="28"/>
      <c r="B148" s="26"/>
      <c r="C148" s="20" t="str">
        <f>IFERROR(VLOOKUP(B148,'مراجع الوصفات'!$A$2:$D$79,2,FALSE),"")</f>
        <v/>
      </c>
      <c r="D148" s="26"/>
      <c r="E148" s="20" t="str">
        <f>IFERROR(VLOOKUP(D148,'مراجع الوصفات'!$F$2:$I$253,2,FALSE),"")</f>
        <v/>
      </c>
      <c r="F148" s="21"/>
      <c r="G148" s="26"/>
      <c r="H148" s="20" t="str">
        <f>IFERROR(VLOOKUP(D148,'مراجع الوصفات'!$F$2:$I$253,3,FALSE),"")</f>
        <v/>
      </c>
      <c r="I148" s="22" t="str">
        <f t="shared" si="1"/>
        <v/>
      </c>
      <c r="J148" s="23"/>
      <c r="K148" s="26"/>
      <c r="L148" s="24" t="str">
        <f>IFERROR(VLOOKUP(D148,'مراجع الوصفات'!$F$2:$I$253,4,FALSE),"")</f>
        <v/>
      </c>
      <c r="M148" s="24" t="str">
        <f t="shared" si="2"/>
        <v/>
      </c>
      <c r="N148" s="26"/>
      <c r="O148" s="25" t="str">
        <f t="shared" si="3"/>
        <v/>
      </c>
    </row>
    <row r="149" ht="15.75" customHeight="1">
      <c r="A149" s="28"/>
      <c r="B149" s="26"/>
      <c r="C149" s="20" t="str">
        <f>IFERROR(VLOOKUP(B149,'مراجع الوصفات'!$A$2:$D$79,2,FALSE),"")</f>
        <v/>
      </c>
      <c r="D149" s="26"/>
      <c r="E149" s="20" t="str">
        <f>IFERROR(VLOOKUP(D149,'مراجع الوصفات'!$F$2:$I$253,2,FALSE),"")</f>
        <v/>
      </c>
      <c r="F149" s="21"/>
      <c r="G149" s="26"/>
      <c r="H149" s="20" t="str">
        <f>IFERROR(VLOOKUP(D149,'مراجع الوصفات'!$F$2:$I$253,3,FALSE),"")</f>
        <v/>
      </c>
      <c r="I149" s="22" t="str">
        <f t="shared" si="1"/>
        <v/>
      </c>
      <c r="J149" s="23"/>
      <c r="K149" s="26"/>
      <c r="L149" s="24" t="str">
        <f>IFERROR(VLOOKUP(D149,'مراجع الوصفات'!$F$2:$I$253,4,FALSE),"")</f>
        <v/>
      </c>
      <c r="M149" s="24" t="str">
        <f t="shared" si="2"/>
        <v/>
      </c>
      <c r="N149" s="26"/>
      <c r="O149" s="25" t="str">
        <f t="shared" si="3"/>
        <v/>
      </c>
    </row>
    <row r="150" ht="15.75" customHeight="1">
      <c r="A150" s="28"/>
      <c r="B150" s="26"/>
      <c r="C150" s="20" t="str">
        <f>IFERROR(VLOOKUP(B150,'مراجع الوصفات'!$A$2:$D$79,2,FALSE),"")</f>
        <v/>
      </c>
      <c r="D150" s="26"/>
      <c r="E150" s="20" t="str">
        <f>IFERROR(VLOOKUP(D150,'مراجع الوصفات'!$F$2:$I$253,2,FALSE),"")</f>
        <v/>
      </c>
      <c r="F150" s="21"/>
      <c r="G150" s="26"/>
      <c r="H150" s="20" t="str">
        <f>IFERROR(VLOOKUP(D150,'مراجع الوصفات'!$F$2:$I$253,3,FALSE),"")</f>
        <v/>
      </c>
      <c r="I150" s="22" t="str">
        <f t="shared" si="1"/>
        <v/>
      </c>
      <c r="J150" s="23"/>
      <c r="K150" s="26"/>
      <c r="L150" s="24" t="str">
        <f>IFERROR(VLOOKUP(D150,'مراجع الوصفات'!$F$2:$I$253,4,FALSE),"")</f>
        <v/>
      </c>
      <c r="M150" s="24" t="str">
        <f t="shared" si="2"/>
        <v/>
      </c>
      <c r="N150" s="26"/>
      <c r="O150" s="25" t="str">
        <f t="shared" si="3"/>
        <v/>
      </c>
    </row>
    <row r="151" ht="15.75" customHeight="1">
      <c r="A151" s="28"/>
      <c r="B151" s="26"/>
      <c r="C151" s="20" t="str">
        <f>IFERROR(VLOOKUP(B151,'مراجع الوصفات'!$A$2:$D$79,2,FALSE),"")</f>
        <v/>
      </c>
      <c r="D151" s="26"/>
      <c r="E151" s="20" t="str">
        <f>IFERROR(VLOOKUP(D151,'مراجع الوصفات'!$F$2:$I$253,2,FALSE),"")</f>
        <v/>
      </c>
      <c r="F151" s="21"/>
      <c r="G151" s="26"/>
      <c r="H151" s="20" t="str">
        <f>IFERROR(VLOOKUP(D151,'مراجع الوصفات'!$F$2:$I$253,3,FALSE),"")</f>
        <v/>
      </c>
      <c r="I151" s="22" t="str">
        <f t="shared" si="1"/>
        <v/>
      </c>
      <c r="J151" s="23"/>
      <c r="K151" s="26"/>
      <c r="L151" s="24" t="str">
        <f>IFERROR(VLOOKUP(D151,'مراجع الوصفات'!$F$2:$I$253,4,FALSE),"")</f>
        <v/>
      </c>
      <c r="M151" s="24" t="str">
        <f t="shared" si="2"/>
        <v/>
      </c>
      <c r="N151" s="26"/>
      <c r="O151" s="25" t="str">
        <f t="shared" si="3"/>
        <v/>
      </c>
    </row>
    <row r="152" ht="15.75" customHeight="1">
      <c r="A152" s="28"/>
      <c r="B152" s="26"/>
      <c r="C152" s="20" t="str">
        <f>IFERROR(VLOOKUP(B152,'مراجع الوصفات'!$A$2:$D$79,2,FALSE),"")</f>
        <v/>
      </c>
      <c r="D152" s="26"/>
      <c r="E152" s="20" t="str">
        <f>IFERROR(VLOOKUP(D152,'مراجع الوصفات'!$F$2:$I$253,2,FALSE),"")</f>
        <v/>
      </c>
      <c r="F152" s="21"/>
      <c r="G152" s="26"/>
      <c r="H152" s="20" t="str">
        <f>IFERROR(VLOOKUP(D152,'مراجع الوصفات'!$F$2:$I$253,3,FALSE),"")</f>
        <v/>
      </c>
      <c r="I152" s="22" t="str">
        <f t="shared" si="1"/>
        <v/>
      </c>
      <c r="J152" s="23"/>
      <c r="K152" s="26"/>
      <c r="L152" s="24" t="str">
        <f>IFERROR(VLOOKUP(D152,'مراجع الوصفات'!$F$2:$I$253,4,FALSE),"")</f>
        <v/>
      </c>
      <c r="M152" s="24" t="str">
        <f t="shared" si="2"/>
        <v/>
      </c>
      <c r="N152" s="26"/>
      <c r="O152" s="25" t="str">
        <f t="shared" si="3"/>
        <v/>
      </c>
    </row>
    <row r="153" ht="15.75" customHeight="1">
      <c r="A153" s="28"/>
      <c r="B153" s="26"/>
      <c r="C153" s="20" t="str">
        <f>IFERROR(VLOOKUP(B153,'مراجع الوصفات'!$A$2:$D$79,2,FALSE),"")</f>
        <v/>
      </c>
      <c r="D153" s="26"/>
      <c r="E153" s="20" t="str">
        <f>IFERROR(VLOOKUP(D153,'مراجع الوصفات'!$F$2:$I$253,2,FALSE),"")</f>
        <v/>
      </c>
      <c r="F153" s="21"/>
      <c r="G153" s="26"/>
      <c r="H153" s="20" t="str">
        <f>IFERROR(VLOOKUP(D153,'مراجع الوصفات'!$F$2:$I$253,3,FALSE),"")</f>
        <v/>
      </c>
      <c r="I153" s="22" t="str">
        <f t="shared" si="1"/>
        <v/>
      </c>
      <c r="J153" s="23"/>
      <c r="K153" s="26"/>
      <c r="L153" s="24" t="str">
        <f>IFERROR(VLOOKUP(D153,'مراجع الوصفات'!$F$2:$I$253,4,FALSE),"")</f>
        <v/>
      </c>
      <c r="M153" s="24" t="str">
        <f t="shared" si="2"/>
        <v/>
      </c>
      <c r="N153" s="26"/>
      <c r="O153" s="25" t="str">
        <f t="shared" si="3"/>
        <v/>
      </c>
    </row>
    <row r="154" ht="15.75" customHeight="1">
      <c r="A154" s="28"/>
      <c r="B154" s="26"/>
      <c r="C154" s="20" t="str">
        <f>IFERROR(VLOOKUP(B154,'مراجع الوصفات'!$A$2:$D$79,2,FALSE),"")</f>
        <v/>
      </c>
      <c r="D154" s="26"/>
      <c r="E154" s="20" t="str">
        <f>IFERROR(VLOOKUP(D154,'مراجع الوصفات'!$F$2:$I$253,2,FALSE),"")</f>
        <v/>
      </c>
      <c r="F154" s="21"/>
      <c r="G154" s="26"/>
      <c r="H154" s="20" t="str">
        <f>IFERROR(VLOOKUP(D154,'مراجع الوصفات'!$F$2:$I$253,3,FALSE),"")</f>
        <v/>
      </c>
      <c r="I154" s="22" t="str">
        <f t="shared" si="1"/>
        <v/>
      </c>
      <c r="J154" s="23"/>
      <c r="K154" s="26"/>
      <c r="L154" s="24" t="str">
        <f>IFERROR(VLOOKUP(D154,'مراجع الوصفات'!$F$2:$I$253,4,FALSE),"")</f>
        <v/>
      </c>
      <c r="M154" s="24" t="str">
        <f t="shared" si="2"/>
        <v/>
      </c>
      <c r="N154" s="26"/>
      <c r="O154" s="25" t="str">
        <f t="shared" si="3"/>
        <v/>
      </c>
    </row>
    <row r="155" ht="15.75" customHeight="1">
      <c r="A155" s="28"/>
      <c r="B155" s="26"/>
      <c r="C155" s="20" t="str">
        <f>IFERROR(VLOOKUP(B155,'مراجع الوصفات'!$A$2:$D$79,2,FALSE),"")</f>
        <v/>
      </c>
      <c r="D155" s="26"/>
      <c r="E155" s="20" t="str">
        <f>IFERROR(VLOOKUP(D155,'مراجع الوصفات'!$F$2:$I$253,2,FALSE),"")</f>
        <v/>
      </c>
      <c r="F155" s="21"/>
      <c r="G155" s="26"/>
      <c r="H155" s="20" t="str">
        <f>IFERROR(VLOOKUP(D155,'مراجع الوصفات'!$F$2:$I$253,3,FALSE),"")</f>
        <v/>
      </c>
      <c r="I155" s="22" t="str">
        <f t="shared" si="1"/>
        <v/>
      </c>
      <c r="J155" s="23"/>
      <c r="K155" s="26"/>
      <c r="L155" s="24" t="str">
        <f>IFERROR(VLOOKUP(D155,'مراجع الوصفات'!$F$2:$I$253,4,FALSE),"")</f>
        <v/>
      </c>
      <c r="M155" s="24" t="str">
        <f t="shared" si="2"/>
        <v/>
      </c>
      <c r="N155" s="26"/>
      <c r="O155" s="25" t="str">
        <f t="shared" si="3"/>
        <v/>
      </c>
    </row>
    <row r="156" ht="15.75" customHeight="1">
      <c r="A156" s="28"/>
      <c r="B156" s="26"/>
      <c r="C156" s="20" t="str">
        <f>IFERROR(VLOOKUP(B156,'مراجع الوصفات'!$A$2:$D$79,2,FALSE),"")</f>
        <v/>
      </c>
      <c r="D156" s="26"/>
      <c r="E156" s="20" t="str">
        <f>IFERROR(VLOOKUP(D156,'مراجع الوصفات'!$F$2:$I$253,2,FALSE),"")</f>
        <v/>
      </c>
      <c r="F156" s="21"/>
      <c r="G156" s="26"/>
      <c r="H156" s="20" t="str">
        <f>IFERROR(VLOOKUP(D156,'مراجع الوصفات'!$F$2:$I$253,3,FALSE),"")</f>
        <v/>
      </c>
      <c r="I156" s="22" t="str">
        <f t="shared" si="1"/>
        <v/>
      </c>
      <c r="J156" s="23"/>
      <c r="K156" s="26"/>
      <c r="L156" s="24" t="str">
        <f>IFERROR(VLOOKUP(D156,'مراجع الوصفات'!$F$2:$I$253,4,FALSE),"")</f>
        <v/>
      </c>
      <c r="M156" s="24" t="str">
        <f t="shared" si="2"/>
        <v/>
      </c>
      <c r="N156" s="26"/>
      <c r="O156" s="25" t="str">
        <f t="shared" si="3"/>
        <v/>
      </c>
    </row>
    <row r="157" ht="15.75" customHeight="1">
      <c r="A157" s="28"/>
      <c r="B157" s="26"/>
      <c r="C157" s="20" t="str">
        <f>IFERROR(VLOOKUP(B157,'مراجع الوصفات'!$A$2:$D$79,2,FALSE),"")</f>
        <v/>
      </c>
      <c r="D157" s="26"/>
      <c r="E157" s="20" t="str">
        <f>IFERROR(VLOOKUP(D157,'مراجع الوصفات'!$F$2:$I$253,2,FALSE),"")</f>
        <v/>
      </c>
      <c r="F157" s="21"/>
      <c r="G157" s="26"/>
      <c r="H157" s="20" t="str">
        <f>IFERROR(VLOOKUP(D157,'مراجع الوصفات'!$F$2:$I$253,3,FALSE),"")</f>
        <v/>
      </c>
      <c r="I157" s="22" t="str">
        <f t="shared" si="1"/>
        <v/>
      </c>
      <c r="J157" s="23"/>
      <c r="K157" s="26"/>
      <c r="L157" s="24" t="str">
        <f>IFERROR(VLOOKUP(D157,'مراجع الوصفات'!$F$2:$I$253,4,FALSE),"")</f>
        <v/>
      </c>
      <c r="M157" s="24" t="str">
        <f t="shared" si="2"/>
        <v/>
      </c>
      <c r="N157" s="26"/>
      <c r="O157" s="25" t="str">
        <f t="shared" si="3"/>
        <v/>
      </c>
    </row>
    <row r="158" ht="15.75" customHeight="1">
      <c r="A158" s="28"/>
      <c r="B158" s="26"/>
      <c r="C158" s="20" t="str">
        <f>IFERROR(VLOOKUP(B158,'مراجع الوصفات'!$A$2:$D$79,2,FALSE),"")</f>
        <v/>
      </c>
      <c r="D158" s="26"/>
      <c r="E158" s="20" t="str">
        <f>IFERROR(VLOOKUP(D158,'مراجع الوصفات'!$F$2:$I$253,2,FALSE),"")</f>
        <v/>
      </c>
      <c r="F158" s="21"/>
      <c r="G158" s="26"/>
      <c r="H158" s="20" t="str">
        <f>IFERROR(VLOOKUP(D158,'مراجع الوصفات'!$F$2:$I$253,3,FALSE),"")</f>
        <v/>
      </c>
      <c r="I158" s="22" t="str">
        <f t="shared" si="1"/>
        <v/>
      </c>
      <c r="J158" s="23"/>
      <c r="K158" s="26"/>
      <c r="L158" s="24" t="str">
        <f>IFERROR(VLOOKUP(D158,'مراجع الوصفات'!$F$2:$I$253,4,FALSE),"")</f>
        <v/>
      </c>
      <c r="M158" s="24" t="str">
        <f t="shared" si="2"/>
        <v/>
      </c>
      <c r="N158" s="26"/>
      <c r="O158" s="25" t="str">
        <f t="shared" si="3"/>
        <v/>
      </c>
    </row>
    <row r="159" ht="15.75" customHeight="1">
      <c r="A159" s="28"/>
      <c r="B159" s="26"/>
      <c r="C159" s="20" t="str">
        <f>IFERROR(VLOOKUP(B159,'مراجع الوصفات'!$A$2:$D$79,2,FALSE),"")</f>
        <v/>
      </c>
      <c r="D159" s="26"/>
      <c r="E159" s="20" t="str">
        <f>IFERROR(VLOOKUP(D159,'مراجع الوصفات'!$F$2:$I$253,2,FALSE),"")</f>
        <v/>
      </c>
      <c r="F159" s="21"/>
      <c r="G159" s="26"/>
      <c r="H159" s="20" t="str">
        <f>IFERROR(VLOOKUP(D159,'مراجع الوصفات'!$F$2:$I$253,3,FALSE),"")</f>
        <v/>
      </c>
      <c r="I159" s="22" t="str">
        <f t="shared" si="1"/>
        <v/>
      </c>
      <c r="J159" s="23"/>
      <c r="K159" s="26"/>
      <c r="L159" s="24" t="str">
        <f>IFERROR(VLOOKUP(D159,'مراجع الوصفات'!$F$2:$I$253,4,FALSE),"")</f>
        <v/>
      </c>
      <c r="M159" s="24" t="str">
        <f t="shared" si="2"/>
        <v/>
      </c>
      <c r="N159" s="26"/>
      <c r="O159" s="25" t="str">
        <f t="shared" si="3"/>
        <v/>
      </c>
    </row>
    <row r="160" ht="15.75" customHeight="1">
      <c r="A160" s="28"/>
      <c r="B160" s="26"/>
      <c r="C160" s="20" t="str">
        <f>IFERROR(VLOOKUP(B160,'مراجع الوصفات'!$A$2:$D$79,2,FALSE),"")</f>
        <v/>
      </c>
      <c r="D160" s="26"/>
      <c r="E160" s="20" t="str">
        <f>IFERROR(VLOOKUP(D160,'مراجع الوصفات'!$F$2:$I$253,2,FALSE),"")</f>
        <v/>
      </c>
      <c r="F160" s="21"/>
      <c r="G160" s="26"/>
      <c r="H160" s="20" t="str">
        <f>IFERROR(VLOOKUP(D160,'مراجع الوصفات'!$F$2:$I$253,3,FALSE),"")</f>
        <v/>
      </c>
      <c r="I160" s="22" t="str">
        <f t="shared" si="1"/>
        <v/>
      </c>
      <c r="J160" s="23"/>
      <c r="K160" s="26"/>
      <c r="L160" s="24" t="str">
        <f>IFERROR(VLOOKUP(D160,'مراجع الوصفات'!$F$2:$I$253,4,FALSE),"")</f>
        <v/>
      </c>
      <c r="M160" s="24" t="str">
        <f t="shared" si="2"/>
        <v/>
      </c>
      <c r="N160" s="26"/>
      <c r="O160" s="25" t="str">
        <f t="shared" si="3"/>
        <v/>
      </c>
    </row>
    <row r="161" ht="15.75" customHeight="1">
      <c r="A161" s="28"/>
      <c r="B161" s="26"/>
      <c r="C161" s="20" t="str">
        <f>IFERROR(VLOOKUP(B161,'مراجع الوصفات'!$A$2:$D$79,2,FALSE),"")</f>
        <v/>
      </c>
      <c r="D161" s="26"/>
      <c r="E161" s="20" t="str">
        <f>IFERROR(VLOOKUP(D161,'مراجع الوصفات'!$F$2:$I$253,2,FALSE),"")</f>
        <v/>
      </c>
      <c r="F161" s="21"/>
      <c r="G161" s="26"/>
      <c r="H161" s="20" t="str">
        <f>IFERROR(VLOOKUP(D161,'مراجع الوصفات'!$F$2:$I$253,3,FALSE),"")</f>
        <v/>
      </c>
      <c r="I161" s="22" t="str">
        <f t="shared" si="1"/>
        <v/>
      </c>
      <c r="J161" s="23"/>
      <c r="K161" s="26"/>
      <c r="L161" s="24" t="str">
        <f>IFERROR(VLOOKUP(D161,'مراجع الوصفات'!$F$2:$I$253,4,FALSE),"")</f>
        <v/>
      </c>
      <c r="M161" s="24" t="str">
        <f t="shared" si="2"/>
        <v/>
      </c>
      <c r="N161" s="26"/>
      <c r="O161" s="25" t="str">
        <f t="shared" si="3"/>
        <v/>
      </c>
    </row>
    <row r="162" ht="15.75" customHeight="1">
      <c r="A162" s="28"/>
      <c r="B162" s="26"/>
      <c r="C162" s="20" t="str">
        <f>IFERROR(VLOOKUP(B162,'مراجع الوصفات'!$A$2:$D$79,2,FALSE),"")</f>
        <v/>
      </c>
      <c r="D162" s="26"/>
      <c r="E162" s="20" t="str">
        <f>IFERROR(VLOOKUP(D162,'مراجع الوصفات'!$F$2:$I$253,2,FALSE),"")</f>
        <v/>
      </c>
      <c r="F162" s="21"/>
      <c r="G162" s="26"/>
      <c r="H162" s="20" t="str">
        <f>IFERROR(VLOOKUP(D162,'مراجع الوصفات'!$F$2:$I$253,3,FALSE),"")</f>
        <v/>
      </c>
      <c r="I162" s="22" t="str">
        <f t="shared" si="1"/>
        <v/>
      </c>
      <c r="J162" s="23"/>
      <c r="K162" s="26"/>
      <c r="L162" s="24" t="str">
        <f>IFERROR(VLOOKUP(D162,'مراجع الوصفات'!$F$2:$I$253,4,FALSE),"")</f>
        <v/>
      </c>
      <c r="M162" s="24" t="str">
        <f t="shared" si="2"/>
        <v/>
      </c>
      <c r="N162" s="26"/>
      <c r="O162" s="25" t="str">
        <f t="shared" si="3"/>
        <v/>
      </c>
    </row>
    <row r="163" ht="15.75" customHeight="1">
      <c r="A163" s="28"/>
      <c r="B163" s="26"/>
      <c r="C163" s="20" t="str">
        <f>IFERROR(VLOOKUP(B163,'مراجع الوصفات'!$A$2:$D$79,2,FALSE),"")</f>
        <v/>
      </c>
      <c r="D163" s="26"/>
      <c r="E163" s="20" t="str">
        <f>IFERROR(VLOOKUP(D163,'مراجع الوصفات'!$F$2:$I$253,2,FALSE),"")</f>
        <v/>
      </c>
      <c r="F163" s="21"/>
      <c r="G163" s="26"/>
      <c r="H163" s="20" t="str">
        <f>IFERROR(VLOOKUP(D163,'مراجع الوصفات'!$F$2:$I$253,3,FALSE),"")</f>
        <v/>
      </c>
      <c r="I163" s="22" t="str">
        <f t="shared" si="1"/>
        <v/>
      </c>
      <c r="J163" s="23"/>
      <c r="K163" s="26"/>
      <c r="L163" s="24" t="str">
        <f>IFERROR(VLOOKUP(D163,'مراجع الوصفات'!$F$2:$I$253,4,FALSE),"")</f>
        <v/>
      </c>
      <c r="M163" s="24" t="str">
        <f t="shared" si="2"/>
        <v/>
      </c>
      <c r="N163" s="26"/>
      <c r="O163" s="25" t="str">
        <f t="shared" si="3"/>
        <v/>
      </c>
    </row>
    <row r="164" ht="15.75" customHeight="1">
      <c r="A164" s="28"/>
      <c r="B164" s="26"/>
      <c r="C164" s="20" t="str">
        <f>IFERROR(VLOOKUP(B164,'مراجع الوصفات'!$A$2:$D$79,2,FALSE),"")</f>
        <v/>
      </c>
      <c r="D164" s="26"/>
      <c r="E164" s="20" t="str">
        <f>IFERROR(VLOOKUP(D164,'مراجع الوصفات'!$F$2:$I$253,2,FALSE),"")</f>
        <v/>
      </c>
      <c r="F164" s="21"/>
      <c r="G164" s="26"/>
      <c r="H164" s="20" t="str">
        <f>IFERROR(VLOOKUP(D164,'مراجع الوصفات'!$F$2:$I$253,3,FALSE),"")</f>
        <v/>
      </c>
      <c r="I164" s="22" t="str">
        <f t="shared" si="1"/>
        <v/>
      </c>
      <c r="J164" s="23"/>
      <c r="K164" s="26"/>
      <c r="L164" s="24" t="str">
        <f>IFERROR(VLOOKUP(D164,'مراجع الوصفات'!$F$2:$I$253,4,FALSE),"")</f>
        <v/>
      </c>
      <c r="M164" s="24" t="str">
        <f t="shared" si="2"/>
        <v/>
      </c>
      <c r="N164" s="26"/>
      <c r="O164" s="25" t="str">
        <f t="shared" si="3"/>
        <v/>
      </c>
    </row>
    <row r="165" ht="15.75" customHeight="1">
      <c r="A165" s="28"/>
      <c r="B165" s="26"/>
      <c r="C165" s="20" t="str">
        <f>IFERROR(VLOOKUP(B165,'مراجع الوصفات'!$A$2:$D$79,2,FALSE),"")</f>
        <v/>
      </c>
      <c r="D165" s="26"/>
      <c r="E165" s="20" t="str">
        <f>IFERROR(VLOOKUP(D165,'مراجع الوصفات'!$F$2:$I$253,2,FALSE),"")</f>
        <v/>
      </c>
      <c r="F165" s="21"/>
      <c r="G165" s="26"/>
      <c r="H165" s="20" t="str">
        <f>IFERROR(VLOOKUP(D165,'مراجع الوصفات'!$F$2:$I$253,3,FALSE),"")</f>
        <v/>
      </c>
      <c r="I165" s="22" t="str">
        <f t="shared" si="1"/>
        <v/>
      </c>
      <c r="J165" s="23"/>
      <c r="K165" s="26"/>
      <c r="L165" s="24" t="str">
        <f>IFERROR(VLOOKUP(D165,'مراجع الوصفات'!$F$2:$I$253,4,FALSE),"")</f>
        <v/>
      </c>
      <c r="M165" s="24" t="str">
        <f t="shared" si="2"/>
        <v/>
      </c>
      <c r="N165" s="26"/>
      <c r="O165" s="25" t="str">
        <f t="shared" si="3"/>
        <v/>
      </c>
    </row>
    <row r="166" ht="15.75" customHeight="1">
      <c r="A166" s="28"/>
      <c r="B166" s="26"/>
      <c r="C166" s="20" t="str">
        <f>IFERROR(VLOOKUP(B166,'مراجع الوصفات'!$A$2:$D$79,2,FALSE),"")</f>
        <v/>
      </c>
      <c r="D166" s="26"/>
      <c r="E166" s="20" t="str">
        <f>IFERROR(VLOOKUP(D166,'مراجع الوصفات'!$F$2:$I$253,2,FALSE),"")</f>
        <v/>
      </c>
      <c r="F166" s="21"/>
      <c r="G166" s="26"/>
      <c r="H166" s="20" t="str">
        <f>IFERROR(VLOOKUP(D166,'مراجع الوصفات'!$F$2:$I$253,3,FALSE),"")</f>
        <v/>
      </c>
      <c r="I166" s="22" t="str">
        <f t="shared" si="1"/>
        <v/>
      </c>
      <c r="J166" s="23"/>
      <c r="K166" s="26"/>
      <c r="L166" s="24" t="str">
        <f>IFERROR(VLOOKUP(D166,'مراجع الوصفات'!$F$2:$I$253,4,FALSE),"")</f>
        <v/>
      </c>
      <c r="M166" s="24" t="str">
        <f t="shared" si="2"/>
        <v/>
      </c>
      <c r="N166" s="26"/>
      <c r="O166" s="25" t="str">
        <f t="shared" si="3"/>
        <v/>
      </c>
    </row>
    <row r="167" ht="15.75" customHeight="1">
      <c r="A167" s="28"/>
      <c r="B167" s="26"/>
      <c r="C167" s="20" t="str">
        <f>IFERROR(VLOOKUP(B167,'مراجع الوصفات'!$A$2:$D$79,2,FALSE),"")</f>
        <v/>
      </c>
      <c r="D167" s="26"/>
      <c r="E167" s="20" t="str">
        <f>IFERROR(VLOOKUP(D167,'مراجع الوصفات'!$F$2:$I$253,2,FALSE),"")</f>
        <v/>
      </c>
      <c r="F167" s="21"/>
      <c r="G167" s="26"/>
      <c r="H167" s="20" t="str">
        <f>IFERROR(VLOOKUP(D167,'مراجع الوصفات'!$F$2:$I$253,3,FALSE),"")</f>
        <v/>
      </c>
      <c r="I167" s="22" t="str">
        <f t="shared" si="1"/>
        <v/>
      </c>
      <c r="J167" s="23"/>
      <c r="K167" s="26"/>
      <c r="L167" s="24" t="str">
        <f>IFERROR(VLOOKUP(D167,'مراجع الوصفات'!$F$2:$I$253,4,FALSE),"")</f>
        <v/>
      </c>
      <c r="M167" s="24" t="str">
        <f t="shared" si="2"/>
        <v/>
      </c>
      <c r="N167" s="26"/>
      <c r="O167" s="25" t="str">
        <f t="shared" si="3"/>
        <v/>
      </c>
    </row>
    <row r="168" ht="15.75" customHeight="1">
      <c r="A168" s="28"/>
      <c r="B168" s="26"/>
      <c r="C168" s="20" t="str">
        <f>IFERROR(VLOOKUP(B168,'مراجع الوصفات'!$A$2:$D$79,2,FALSE),"")</f>
        <v/>
      </c>
      <c r="D168" s="26"/>
      <c r="E168" s="20" t="str">
        <f>IFERROR(VLOOKUP(D168,'مراجع الوصفات'!$F$2:$I$253,2,FALSE),"")</f>
        <v/>
      </c>
      <c r="F168" s="21"/>
      <c r="G168" s="26"/>
      <c r="H168" s="20" t="str">
        <f>IFERROR(VLOOKUP(D168,'مراجع الوصفات'!$F$2:$I$253,3,FALSE),"")</f>
        <v/>
      </c>
      <c r="I168" s="22" t="str">
        <f t="shared" si="1"/>
        <v/>
      </c>
      <c r="J168" s="23"/>
      <c r="K168" s="26"/>
      <c r="L168" s="24" t="str">
        <f>IFERROR(VLOOKUP(D168,'مراجع الوصفات'!$F$2:$I$253,4,FALSE),"")</f>
        <v/>
      </c>
      <c r="M168" s="24" t="str">
        <f t="shared" si="2"/>
        <v/>
      </c>
      <c r="N168" s="26"/>
      <c r="O168" s="25" t="str">
        <f t="shared" si="3"/>
        <v/>
      </c>
    </row>
    <row r="169" ht="15.75" customHeight="1">
      <c r="A169" s="28"/>
      <c r="B169" s="26"/>
      <c r="C169" s="20" t="str">
        <f>IFERROR(VLOOKUP(B169,'مراجع الوصفات'!$A$2:$D$79,2,FALSE),"")</f>
        <v/>
      </c>
      <c r="D169" s="26"/>
      <c r="E169" s="20" t="str">
        <f>IFERROR(VLOOKUP(D169,'مراجع الوصفات'!$F$2:$I$253,2,FALSE),"")</f>
        <v/>
      </c>
      <c r="F169" s="21"/>
      <c r="G169" s="26"/>
      <c r="H169" s="20" t="str">
        <f>IFERROR(VLOOKUP(D169,'مراجع الوصفات'!$F$2:$I$253,3,FALSE),"")</f>
        <v/>
      </c>
      <c r="I169" s="22" t="str">
        <f t="shared" si="1"/>
        <v/>
      </c>
      <c r="J169" s="23"/>
      <c r="K169" s="26"/>
      <c r="L169" s="24" t="str">
        <f>IFERROR(VLOOKUP(D169,'مراجع الوصفات'!$F$2:$I$253,4,FALSE),"")</f>
        <v/>
      </c>
      <c r="M169" s="24" t="str">
        <f t="shared" si="2"/>
        <v/>
      </c>
      <c r="N169" s="26"/>
      <c r="O169" s="25" t="str">
        <f t="shared" si="3"/>
        <v/>
      </c>
    </row>
    <row r="170" ht="15.75" customHeight="1">
      <c r="A170" s="28"/>
      <c r="B170" s="26"/>
      <c r="C170" s="20" t="str">
        <f>IFERROR(VLOOKUP(B170,'مراجع الوصفات'!$A$2:$D$79,2,FALSE),"")</f>
        <v/>
      </c>
      <c r="D170" s="26"/>
      <c r="E170" s="20" t="str">
        <f>IFERROR(VLOOKUP(D170,'مراجع الوصفات'!$F$2:$I$253,2,FALSE),"")</f>
        <v/>
      </c>
      <c r="F170" s="21"/>
      <c r="G170" s="26"/>
      <c r="H170" s="20" t="str">
        <f>IFERROR(VLOOKUP(D170,'مراجع الوصفات'!$F$2:$I$253,3,FALSE),"")</f>
        <v/>
      </c>
      <c r="I170" s="22" t="str">
        <f t="shared" si="1"/>
        <v/>
      </c>
      <c r="J170" s="23"/>
      <c r="K170" s="26"/>
      <c r="L170" s="24" t="str">
        <f>IFERROR(VLOOKUP(D170,'مراجع الوصفات'!$F$2:$I$253,4,FALSE),"")</f>
        <v/>
      </c>
      <c r="M170" s="24" t="str">
        <f t="shared" si="2"/>
        <v/>
      </c>
      <c r="N170" s="26"/>
      <c r="O170" s="25" t="str">
        <f t="shared" si="3"/>
        <v/>
      </c>
    </row>
    <row r="171" ht="15.75" customHeight="1">
      <c r="A171" s="28"/>
      <c r="B171" s="26"/>
      <c r="C171" s="20" t="str">
        <f>IFERROR(VLOOKUP(B171,'مراجع الوصفات'!$A$2:$D$79,2,FALSE),"")</f>
        <v/>
      </c>
      <c r="D171" s="26"/>
      <c r="E171" s="20" t="str">
        <f>IFERROR(VLOOKUP(D171,'مراجع الوصفات'!$F$2:$I$253,2,FALSE),"")</f>
        <v/>
      </c>
      <c r="F171" s="21"/>
      <c r="G171" s="26"/>
      <c r="H171" s="20" t="str">
        <f>IFERROR(VLOOKUP(D171,'مراجع الوصفات'!$F$2:$I$253,3,FALSE),"")</f>
        <v/>
      </c>
      <c r="I171" s="22" t="str">
        <f t="shared" si="1"/>
        <v/>
      </c>
      <c r="J171" s="23"/>
      <c r="K171" s="26"/>
      <c r="L171" s="24" t="str">
        <f>IFERROR(VLOOKUP(D171,'مراجع الوصفات'!$F$2:$I$253,4,FALSE),"")</f>
        <v/>
      </c>
      <c r="M171" s="24" t="str">
        <f t="shared" si="2"/>
        <v/>
      </c>
      <c r="N171" s="26"/>
      <c r="O171" s="25" t="str">
        <f t="shared" si="3"/>
        <v/>
      </c>
    </row>
    <row r="172" ht="15.75" customHeight="1">
      <c r="A172" s="28"/>
      <c r="B172" s="26"/>
      <c r="C172" s="20" t="str">
        <f>IFERROR(VLOOKUP(B172,'مراجع الوصفات'!$A$2:$D$79,2,FALSE),"")</f>
        <v/>
      </c>
      <c r="D172" s="26"/>
      <c r="E172" s="20" t="str">
        <f>IFERROR(VLOOKUP(D172,'مراجع الوصفات'!$F$2:$I$253,2,FALSE),"")</f>
        <v/>
      </c>
      <c r="F172" s="21"/>
      <c r="G172" s="26"/>
      <c r="H172" s="20" t="str">
        <f>IFERROR(VLOOKUP(D172,'مراجع الوصفات'!$F$2:$I$253,3,FALSE),"")</f>
        <v/>
      </c>
      <c r="I172" s="22" t="str">
        <f t="shared" si="1"/>
        <v/>
      </c>
      <c r="J172" s="23"/>
      <c r="K172" s="26"/>
      <c r="L172" s="24" t="str">
        <f>IFERROR(VLOOKUP(D172,'مراجع الوصفات'!$F$2:$I$253,4,FALSE),"")</f>
        <v/>
      </c>
      <c r="M172" s="24" t="str">
        <f t="shared" si="2"/>
        <v/>
      </c>
      <c r="N172" s="26"/>
      <c r="O172" s="25" t="str">
        <f t="shared" si="3"/>
        <v/>
      </c>
    </row>
    <row r="173" ht="15.75" customHeight="1">
      <c r="A173" s="28"/>
      <c r="B173" s="26"/>
      <c r="C173" s="20" t="str">
        <f>IFERROR(VLOOKUP(B173,'مراجع الوصفات'!$A$2:$D$79,2,FALSE),"")</f>
        <v/>
      </c>
      <c r="D173" s="26"/>
      <c r="E173" s="20" t="str">
        <f>IFERROR(VLOOKUP(D173,'مراجع الوصفات'!$F$2:$I$253,2,FALSE),"")</f>
        <v/>
      </c>
      <c r="F173" s="21"/>
      <c r="G173" s="26"/>
      <c r="H173" s="20" t="str">
        <f>IFERROR(VLOOKUP(D173,'مراجع الوصفات'!$F$2:$I$253,3,FALSE),"")</f>
        <v/>
      </c>
      <c r="I173" s="22" t="str">
        <f t="shared" si="1"/>
        <v/>
      </c>
      <c r="J173" s="23"/>
      <c r="K173" s="26"/>
      <c r="L173" s="24" t="str">
        <f>IFERROR(VLOOKUP(D173,'مراجع الوصفات'!$F$2:$I$253,4,FALSE),"")</f>
        <v/>
      </c>
      <c r="M173" s="24" t="str">
        <f t="shared" si="2"/>
        <v/>
      </c>
      <c r="N173" s="26"/>
      <c r="O173" s="25" t="str">
        <f t="shared" si="3"/>
        <v/>
      </c>
    </row>
    <row r="174" ht="15.75" customHeight="1">
      <c r="A174" s="28"/>
      <c r="B174" s="26"/>
      <c r="C174" s="20" t="str">
        <f>IFERROR(VLOOKUP(B174,'مراجع الوصفات'!$A$2:$D$79,2,FALSE),"")</f>
        <v/>
      </c>
      <c r="D174" s="26"/>
      <c r="E174" s="20" t="str">
        <f>IFERROR(VLOOKUP(D174,'مراجع الوصفات'!$F$2:$I$253,2,FALSE),"")</f>
        <v/>
      </c>
      <c r="F174" s="21"/>
      <c r="G174" s="26"/>
      <c r="H174" s="20" t="str">
        <f>IFERROR(VLOOKUP(D174,'مراجع الوصفات'!$F$2:$I$253,3,FALSE),"")</f>
        <v/>
      </c>
      <c r="I174" s="22" t="str">
        <f t="shared" si="1"/>
        <v/>
      </c>
      <c r="J174" s="23"/>
      <c r="K174" s="26"/>
      <c r="L174" s="24" t="str">
        <f>IFERROR(VLOOKUP(D174,'مراجع الوصفات'!$F$2:$I$253,4,FALSE),"")</f>
        <v/>
      </c>
      <c r="M174" s="24" t="str">
        <f t="shared" si="2"/>
        <v/>
      </c>
      <c r="N174" s="26"/>
      <c r="O174" s="25" t="str">
        <f t="shared" si="3"/>
        <v/>
      </c>
    </row>
    <row r="175" ht="15.75" customHeight="1">
      <c r="A175" s="28"/>
      <c r="B175" s="26"/>
      <c r="C175" s="20" t="str">
        <f>IFERROR(VLOOKUP(B175,'مراجع الوصفات'!$A$2:$D$79,2,FALSE),"")</f>
        <v/>
      </c>
      <c r="D175" s="26"/>
      <c r="E175" s="20" t="str">
        <f>IFERROR(VLOOKUP(D175,'مراجع الوصفات'!$F$2:$I$253,2,FALSE),"")</f>
        <v/>
      </c>
      <c r="F175" s="21"/>
      <c r="G175" s="26"/>
      <c r="H175" s="20" t="str">
        <f>IFERROR(VLOOKUP(D175,'مراجع الوصفات'!$F$2:$I$253,3,FALSE),"")</f>
        <v/>
      </c>
      <c r="I175" s="22" t="str">
        <f t="shared" si="1"/>
        <v/>
      </c>
      <c r="J175" s="23"/>
      <c r="K175" s="26"/>
      <c r="L175" s="24" t="str">
        <f>IFERROR(VLOOKUP(D175,'مراجع الوصفات'!$F$2:$I$253,4,FALSE),"")</f>
        <v/>
      </c>
      <c r="M175" s="24" t="str">
        <f t="shared" si="2"/>
        <v/>
      </c>
      <c r="N175" s="26"/>
      <c r="O175" s="25" t="str">
        <f t="shared" si="3"/>
        <v/>
      </c>
    </row>
    <row r="176" ht="15.75" customHeight="1">
      <c r="A176" s="28"/>
      <c r="B176" s="26"/>
      <c r="C176" s="20" t="str">
        <f>IFERROR(VLOOKUP(B176,'مراجع الوصفات'!$A$2:$D$79,2,FALSE),"")</f>
        <v/>
      </c>
      <c r="D176" s="26"/>
      <c r="E176" s="20" t="str">
        <f>IFERROR(VLOOKUP(D176,'مراجع الوصفات'!$F$2:$I$253,2,FALSE),"")</f>
        <v/>
      </c>
      <c r="F176" s="21"/>
      <c r="G176" s="26"/>
      <c r="H176" s="20" t="str">
        <f>IFERROR(VLOOKUP(D176,'مراجع الوصفات'!$F$2:$I$253,3,FALSE),"")</f>
        <v/>
      </c>
      <c r="I176" s="22" t="str">
        <f t="shared" si="1"/>
        <v/>
      </c>
      <c r="J176" s="23"/>
      <c r="K176" s="26"/>
      <c r="L176" s="24" t="str">
        <f>IFERROR(VLOOKUP(D176,'مراجع الوصفات'!$F$2:$I$253,4,FALSE),"")</f>
        <v/>
      </c>
      <c r="M176" s="24" t="str">
        <f t="shared" si="2"/>
        <v/>
      </c>
      <c r="N176" s="26"/>
      <c r="O176" s="25" t="str">
        <f t="shared" si="3"/>
        <v/>
      </c>
    </row>
    <row r="177" ht="15.75" customHeight="1">
      <c r="A177" s="28"/>
      <c r="B177" s="26"/>
      <c r="C177" s="20" t="str">
        <f>IFERROR(VLOOKUP(B177,'مراجع الوصفات'!$A$2:$D$79,2,FALSE),"")</f>
        <v/>
      </c>
      <c r="D177" s="26"/>
      <c r="E177" s="20" t="str">
        <f>IFERROR(VLOOKUP(D177,'مراجع الوصفات'!$F$2:$I$253,2,FALSE),"")</f>
        <v/>
      </c>
      <c r="F177" s="21"/>
      <c r="G177" s="26"/>
      <c r="H177" s="20" t="str">
        <f>IFERROR(VLOOKUP(D177,'مراجع الوصفات'!$F$2:$I$253,3,FALSE),"")</f>
        <v/>
      </c>
      <c r="I177" s="22" t="str">
        <f t="shared" si="1"/>
        <v/>
      </c>
      <c r="J177" s="23"/>
      <c r="K177" s="26"/>
      <c r="L177" s="24" t="str">
        <f>IFERROR(VLOOKUP(D177,'مراجع الوصفات'!$F$2:$I$253,4,FALSE),"")</f>
        <v/>
      </c>
      <c r="M177" s="24" t="str">
        <f t="shared" si="2"/>
        <v/>
      </c>
      <c r="N177" s="26"/>
      <c r="O177" s="25" t="str">
        <f t="shared" si="3"/>
        <v/>
      </c>
    </row>
    <row r="178" ht="15.75" customHeight="1">
      <c r="A178" s="28"/>
      <c r="B178" s="26"/>
      <c r="C178" s="20" t="str">
        <f>IFERROR(VLOOKUP(B178,'مراجع الوصفات'!$A$2:$D$79,2,FALSE),"")</f>
        <v/>
      </c>
      <c r="D178" s="26"/>
      <c r="E178" s="20" t="str">
        <f>IFERROR(VLOOKUP(D178,'مراجع الوصفات'!$F$2:$I$253,2,FALSE),"")</f>
        <v/>
      </c>
      <c r="F178" s="21"/>
      <c r="G178" s="26"/>
      <c r="H178" s="20" t="str">
        <f>IFERROR(VLOOKUP(D178,'مراجع الوصفات'!$F$2:$I$253,3,FALSE),"")</f>
        <v/>
      </c>
      <c r="I178" s="22" t="str">
        <f t="shared" si="1"/>
        <v/>
      </c>
      <c r="J178" s="23"/>
      <c r="K178" s="26"/>
      <c r="L178" s="24" t="str">
        <f>IFERROR(VLOOKUP(D178,'مراجع الوصفات'!$F$2:$I$253,4,FALSE),"")</f>
        <v/>
      </c>
      <c r="M178" s="24" t="str">
        <f t="shared" si="2"/>
        <v/>
      </c>
      <c r="N178" s="26"/>
      <c r="O178" s="25" t="str">
        <f t="shared" si="3"/>
        <v/>
      </c>
    </row>
    <row r="179" ht="15.75" customHeight="1">
      <c r="A179" s="28"/>
      <c r="B179" s="26"/>
      <c r="C179" s="20" t="str">
        <f>IFERROR(VLOOKUP(B179,'مراجع الوصفات'!$A$2:$D$79,2,FALSE),"")</f>
        <v/>
      </c>
      <c r="D179" s="26"/>
      <c r="E179" s="20" t="str">
        <f>IFERROR(VLOOKUP(D179,'مراجع الوصفات'!$F$2:$I$253,2,FALSE),"")</f>
        <v/>
      </c>
      <c r="F179" s="21"/>
      <c r="G179" s="26"/>
      <c r="H179" s="20" t="str">
        <f>IFERROR(VLOOKUP(D179,'مراجع الوصفات'!$F$2:$I$253,3,FALSE),"")</f>
        <v/>
      </c>
      <c r="I179" s="22" t="str">
        <f t="shared" si="1"/>
        <v/>
      </c>
      <c r="J179" s="23"/>
      <c r="K179" s="26"/>
      <c r="L179" s="24" t="str">
        <f>IFERROR(VLOOKUP(D179,'مراجع الوصفات'!$F$2:$I$253,4,FALSE),"")</f>
        <v/>
      </c>
      <c r="M179" s="24" t="str">
        <f t="shared" si="2"/>
        <v/>
      </c>
      <c r="N179" s="26"/>
      <c r="O179" s="25" t="str">
        <f t="shared" si="3"/>
        <v/>
      </c>
    </row>
    <row r="180" ht="15.75" customHeight="1">
      <c r="A180" s="28"/>
      <c r="B180" s="26"/>
      <c r="C180" s="20" t="str">
        <f>IFERROR(VLOOKUP(B180,'مراجع الوصفات'!$A$2:$D$79,2,FALSE),"")</f>
        <v/>
      </c>
      <c r="D180" s="26"/>
      <c r="E180" s="20" t="str">
        <f>IFERROR(VLOOKUP(D180,'مراجع الوصفات'!$F$2:$I$253,2,FALSE),"")</f>
        <v/>
      </c>
      <c r="F180" s="21"/>
      <c r="G180" s="26"/>
      <c r="H180" s="20" t="str">
        <f>IFERROR(VLOOKUP(D180,'مراجع الوصفات'!$F$2:$I$253,3,FALSE),"")</f>
        <v/>
      </c>
      <c r="I180" s="22" t="str">
        <f t="shared" si="1"/>
        <v/>
      </c>
      <c r="J180" s="23"/>
      <c r="K180" s="26"/>
      <c r="L180" s="24" t="str">
        <f>IFERROR(VLOOKUP(D180,'مراجع الوصفات'!$F$2:$I$253,4,FALSE),"")</f>
        <v/>
      </c>
      <c r="M180" s="24" t="str">
        <f t="shared" si="2"/>
        <v/>
      </c>
      <c r="N180" s="26"/>
      <c r="O180" s="25" t="str">
        <f t="shared" si="3"/>
        <v/>
      </c>
    </row>
    <row r="181" ht="15.75" customHeight="1">
      <c r="A181" s="28"/>
      <c r="B181" s="26"/>
      <c r="C181" s="20" t="str">
        <f>IFERROR(VLOOKUP(B181,'مراجع الوصفات'!$A$2:$D$79,2,FALSE),"")</f>
        <v/>
      </c>
      <c r="D181" s="26"/>
      <c r="E181" s="20" t="str">
        <f>IFERROR(VLOOKUP(D181,'مراجع الوصفات'!$F$2:$I$253,2,FALSE),"")</f>
        <v/>
      </c>
      <c r="F181" s="21"/>
      <c r="G181" s="26"/>
      <c r="H181" s="20" t="str">
        <f>IFERROR(VLOOKUP(D181,'مراجع الوصفات'!$F$2:$I$253,3,FALSE),"")</f>
        <v/>
      </c>
      <c r="I181" s="22" t="str">
        <f t="shared" si="1"/>
        <v/>
      </c>
      <c r="J181" s="23"/>
      <c r="K181" s="26"/>
      <c r="L181" s="24" t="str">
        <f>IFERROR(VLOOKUP(D181,'مراجع الوصفات'!$F$2:$I$253,4,FALSE),"")</f>
        <v/>
      </c>
      <c r="M181" s="24" t="str">
        <f t="shared" si="2"/>
        <v/>
      </c>
      <c r="N181" s="26"/>
      <c r="O181" s="25" t="str">
        <f t="shared" si="3"/>
        <v/>
      </c>
    </row>
    <row r="182" ht="15.75" customHeight="1">
      <c r="A182" s="28"/>
      <c r="B182" s="26"/>
      <c r="C182" s="20" t="str">
        <f>IFERROR(VLOOKUP(B182,'مراجع الوصفات'!$A$2:$D$79,2,FALSE),"")</f>
        <v/>
      </c>
      <c r="D182" s="26"/>
      <c r="E182" s="20" t="str">
        <f>IFERROR(VLOOKUP(D182,'مراجع الوصفات'!$F$2:$I$253,2,FALSE),"")</f>
        <v/>
      </c>
      <c r="F182" s="21"/>
      <c r="G182" s="26"/>
      <c r="H182" s="20" t="str">
        <f>IFERROR(VLOOKUP(D182,'مراجع الوصفات'!$F$2:$I$253,3,FALSE),"")</f>
        <v/>
      </c>
      <c r="I182" s="22" t="str">
        <f t="shared" si="1"/>
        <v/>
      </c>
      <c r="J182" s="23"/>
      <c r="K182" s="26"/>
      <c r="L182" s="24" t="str">
        <f>IFERROR(VLOOKUP(D182,'مراجع الوصفات'!$F$2:$I$253,4,FALSE),"")</f>
        <v/>
      </c>
      <c r="M182" s="24" t="str">
        <f t="shared" si="2"/>
        <v/>
      </c>
      <c r="N182" s="26"/>
      <c r="O182" s="25" t="str">
        <f t="shared" si="3"/>
        <v/>
      </c>
    </row>
    <row r="183" ht="15.75" customHeight="1">
      <c r="A183" s="28"/>
      <c r="B183" s="26"/>
      <c r="C183" s="20" t="str">
        <f>IFERROR(VLOOKUP(B183,'مراجع الوصفات'!$A$2:$D$79,2,FALSE),"")</f>
        <v/>
      </c>
      <c r="D183" s="26"/>
      <c r="E183" s="20" t="str">
        <f>IFERROR(VLOOKUP(D183,'مراجع الوصفات'!$F$2:$I$253,2,FALSE),"")</f>
        <v/>
      </c>
      <c r="F183" s="21"/>
      <c r="G183" s="26"/>
      <c r="H183" s="20" t="str">
        <f>IFERROR(VLOOKUP(D183,'مراجع الوصفات'!$F$2:$I$253,3,FALSE),"")</f>
        <v/>
      </c>
      <c r="I183" s="22" t="str">
        <f t="shared" si="1"/>
        <v/>
      </c>
      <c r="J183" s="23"/>
      <c r="K183" s="26"/>
      <c r="L183" s="24" t="str">
        <f>IFERROR(VLOOKUP(D183,'مراجع الوصفات'!$F$2:$I$253,4,FALSE),"")</f>
        <v/>
      </c>
      <c r="M183" s="24" t="str">
        <f t="shared" si="2"/>
        <v/>
      </c>
      <c r="N183" s="26"/>
      <c r="O183" s="25" t="str">
        <f t="shared" si="3"/>
        <v/>
      </c>
    </row>
    <row r="184" ht="15.75" customHeight="1">
      <c r="A184" s="28"/>
      <c r="B184" s="26"/>
      <c r="C184" s="20" t="str">
        <f>IFERROR(VLOOKUP(B184,'مراجع الوصفات'!$A$2:$D$79,2,FALSE),"")</f>
        <v/>
      </c>
      <c r="D184" s="26"/>
      <c r="E184" s="20" t="str">
        <f>IFERROR(VLOOKUP(D184,'مراجع الوصفات'!$F$2:$I$253,2,FALSE),"")</f>
        <v/>
      </c>
      <c r="F184" s="21"/>
      <c r="G184" s="26"/>
      <c r="H184" s="20" t="str">
        <f>IFERROR(VLOOKUP(D184,'مراجع الوصفات'!$F$2:$I$253,3,FALSE),"")</f>
        <v/>
      </c>
      <c r="I184" s="22" t="str">
        <f t="shared" si="1"/>
        <v/>
      </c>
      <c r="J184" s="23"/>
      <c r="K184" s="26"/>
      <c r="L184" s="24" t="str">
        <f>IFERROR(VLOOKUP(D184,'مراجع الوصفات'!$F$2:$I$253,4,FALSE),"")</f>
        <v/>
      </c>
      <c r="M184" s="24" t="str">
        <f t="shared" si="2"/>
        <v/>
      </c>
      <c r="N184" s="26"/>
      <c r="O184" s="25" t="str">
        <f t="shared" si="3"/>
        <v/>
      </c>
    </row>
    <row r="185" ht="15.75" customHeight="1">
      <c r="A185" s="28"/>
      <c r="B185" s="26"/>
      <c r="C185" s="20" t="str">
        <f>IFERROR(VLOOKUP(B185,'مراجع الوصفات'!$A$2:$D$79,2,FALSE),"")</f>
        <v/>
      </c>
      <c r="D185" s="26"/>
      <c r="E185" s="20" t="str">
        <f>IFERROR(VLOOKUP(D185,'مراجع الوصفات'!$F$2:$I$253,2,FALSE),"")</f>
        <v/>
      </c>
      <c r="F185" s="21"/>
      <c r="G185" s="26"/>
      <c r="H185" s="20" t="str">
        <f>IFERROR(VLOOKUP(D185,'مراجع الوصفات'!$F$2:$I$253,3,FALSE),"")</f>
        <v/>
      </c>
      <c r="I185" s="22" t="str">
        <f t="shared" si="1"/>
        <v/>
      </c>
      <c r="J185" s="23"/>
      <c r="K185" s="26"/>
      <c r="L185" s="24" t="str">
        <f>IFERROR(VLOOKUP(D185,'مراجع الوصفات'!$F$2:$I$253,4,FALSE),"")</f>
        <v/>
      </c>
      <c r="M185" s="24" t="str">
        <f t="shared" si="2"/>
        <v/>
      </c>
      <c r="N185" s="26"/>
      <c r="O185" s="25" t="str">
        <f t="shared" si="3"/>
        <v/>
      </c>
    </row>
    <row r="186" ht="15.75" customHeight="1">
      <c r="A186" s="28"/>
      <c r="B186" s="26"/>
      <c r="C186" s="20" t="str">
        <f>IFERROR(VLOOKUP(B186,'مراجع الوصفات'!$A$2:$D$79,2,FALSE),"")</f>
        <v/>
      </c>
      <c r="D186" s="26"/>
      <c r="E186" s="20" t="str">
        <f>IFERROR(VLOOKUP(D186,'مراجع الوصفات'!$F$2:$I$253,2,FALSE),"")</f>
        <v/>
      </c>
      <c r="F186" s="21"/>
      <c r="G186" s="26"/>
      <c r="H186" s="20" t="str">
        <f>IFERROR(VLOOKUP(D186,'مراجع الوصفات'!$F$2:$I$253,3,FALSE),"")</f>
        <v/>
      </c>
      <c r="I186" s="22" t="str">
        <f t="shared" si="1"/>
        <v/>
      </c>
      <c r="J186" s="23"/>
      <c r="K186" s="26"/>
      <c r="L186" s="24" t="str">
        <f>IFERROR(VLOOKUP(D186,'مراجع الوصفات'!$F$2:$I$253,4,FALSE),"")</f>
        <v/>
      </c>
      <c r="M186" s="24" t="str">
        <f t="shared" si="2"/>
        <v/>
      </c>
      <c r="N186" s="26"/>
      <c r="O186" s="25" t="str">
        <f t="shared" si="3"/>
        <v/>
      </c>
    </row>
    <row r="187" ht="15.75" customHeight="1">
      <c r="A187" s="28"/>
      <c r="B187" s="26"/>
      <c r="C187" s="20" t="str">
        <f>IFERROR(VLOOKUP(B187,'مراجع الوصفات'!$A$2:$D$79,2,FALSE),"")</f>
        <v/>
      </c>
      <c r="D187" s="26"/>
      <c r="E187" s="20" t="str">
        <f>IFERROR(VLOOKUP(D187,'مراجع الوصفات'!$F$2:$I$253,2,FALSE),"")</f>
        <v/>
      </c>
      <c r="F187" s="21"/>
      <c r="G187" s="26"/>
      <c r="H187" s="20" t="str">
        <f>IFERROR(VLOOKUP(D187,'مراجع الوصفات'!$F$2:$I$253,3,FALSE),"")</f>
        <v/>
      </c>
      <c r="I187" s="22" t="str">
        <f t="shared" si="1"/>
        <v/>
      </c>
      <c r="J187" s="23"/>
      <c r="K187" s="26"/>
      <c r="L187" s="24" t="str">
        <f>IFERROR(VLOOKUP(D187,'مراجع الوصفات'!$F$2:$I$253,4,FALSE),"")</f>
        <v/>
      </c>
      <c r="M187" s="24" t="str">
        <f t="shared" si="2"/>
        <v/>
      </c>
      <c r="N187" s="26"/>
      <c r="O187" s="25" t="str">
        <f t="shared" si="3"/>
        <v/>
      </c>
    </row>
    <row r="188" ht="15.75" customHeight="1">
      <c r="A188" s="28"/>
      <c r="B188" s="26"/>
      <c r="C188" s="20" t="str">
        <f>IFERROR(VLOOKUP(B188,'مراجع الوصفات'!$A$2:$D$79,2,FALSE),"")</f>
        <v/>
      </c>
      <c r="D188" s="26"/>
      <c r="E188" s="20" t="str">
        <f>IFERROR(VLOOKUP(D188,'مراجع الوصفات'!$F$2:$I$253,2,FALSE),"")</f>
        <v/>
      </c>
      <c r="F188" s="21"/>
      <c r="G188" s="26"/>
      <c r="H188" s="20" t="str">
        <f>IFERROR(VLOOKUP(D188,'مراجع الوصفات'!$F$2:$I$253,3,FALSE),"")</f>
        <v/>
      </c>
      <c r="I188" s="22" t="str">
        <f t="shared" si="1"/>
        <v/>
      </c>
      <c r="J188" s="23"/>
      <c r="K188" s="26"/>
      <c r="L188" s="24" t="str">
        <f>IFERROR(VLOOKUP(D188,'مراجع الوصفات'!$F$2:$I$253,4,FALSE),"")</f>
        <v/>
      </c>
      <c r="M188" s="24" t="str">
        <f t="shared" si="2"/>
        <v/>
      </c>
      <c r="N188" s="26"/>
      <c r="O188" s="25" t="str">
        <f t="shared" si="3"/>
        <v/>
      </c>
    </row>
    <row r="189" ht="15.75" customHeight="1">
      <c r="A189" s="28"/>
      <c r="B189" s="26"/>
      <c r="C189" s="20" t="str">
        <f>IFERROR(VLOOKUP(B189,'مراجع الوصفات'!$A$2:$D$79,2,FALSE),"")</f>
        <v/>
      </c>
      <c r="D189" s="26"/>
      <c r="E189" s="20" t="str">
        <f>IFERROR(VLOOKUP(D189,'مراجع الوصفات'!$F$2:$I$253,2,FALSE),"")</f>
        <v/>
      </c>
      <c r="F189" s="21"/>
      <c r="G189" s="26"/>
      <c r="H189" s="20" t="str">
        <f>IFERROR(VLOOKUP(D189,'مراجع الوصفات'!$F$2:$I$253,3,FALSE),"")</f>
        <v/>
      </c>
      <c r="I189" s="22" t="str">
        <f t="shared" si="1"/>
        <v/>
      </c>
      <c r="J189" s="23"/>
      <c r="K189" s="26"/>
      <c r="L189" s="24" t="str">
        <f>IFERROR(VLOOKUP(D189,'مراجع الوصفات'!$F$2:$I$253,4,FALSE),"")</f>
        <v/>
      </c>
      <c r="M189" s="24" t="str">
        <f t="shared" si="2"/>
        <v/>
      </c>
      <c r="N189" s="26"/>
      <c r="O189" s="25" t="str">
        <f t="shared" si="3"/>
        <v/>
      </c>
    </row>
    <row r="190" ht="15.75" customHeight="1">
      <c r="A190" s="28"/>
      <c r="B190" s="26"/>
      <c r="C190" s="20" t="str">
        <f>IFERROR(VLOOKUP(B190,'مراجع الوصفات'!$A$2:$D$79,2,FALSE),"")</f>
        <v/>
      </c>
      <c r="D190" s="26"/>
      <c r="E190" s="20" t="str">
        <f>IFERROR(VLOOKUP(D190,'مراجع الوصفات'!$F$2:$I$253,2,FALSE),"")</f>
        <v/>
      </c>
      <c r="F190" s="21"/>
      <c r="G190" s="26"/>
      <c r="H190" s="20" t="str">
        <f>IFERROR(VLOOKUP(D190,'مراجع الوصفات'!$F$2:$I$253,3,FALSE),"")</f>
        <v/>
      </c>
      <c r="I190" s="22" t="str">
        <f t="shared" si="1"/>
        <v/>
      </c>
      <c r="J190" s="23"/>
      <c r="K190" s="26"/>
      <c r="L190" s="24" t="str">
        <f>IFERROR(VLOOKUP(D190,'مراجع الوصفات'!$F$2:$I$253,4,FALSE),"")</f>
        <v/>
      </c>
      <c r="M190" s="24" t="str">
        <f t="shared" si="2"/>
        <v/>
      </c>
      <c r="N190" s="26"/>
      <c r="O190" s="25" t="str">
        <f t="shared" si="3"/>
        <v/>
      </c>
    </row>
    <row r="191" ht="15.75" customHeight="1">
      <c r="A191" s="28"/>
      <c r="B191" s="26"/>
      <c r="C191" s="20" t="str">
        <f>IFERROR(VLOOKUP(B191,'مراجع الوصفات'!$A$2:$D$79,2,FALSE),"")</f>
        <v/>
      </c>
      <c r="D191" s="26"/>
      <c r="E191" s="20" t="str">
        <f>IFERROR(VLOOKUP(D191,'مراجع الوصفات'!$F$2:$I$253,2,FALSE),"")</f>
        <v/>
      </c>
      <c r="F191" s="21"/>
      <c r="G191" s="26"/>
      <c r="H191" s="20" t="str">
        <f>IFERROR(VLOOKUP(D191,'مراجع الوصفات'!$F$2:$I$253,3,FALSE),"")</f>
        <v/>
      </c>
      <c r="I191" s="22" t="str">
        <f t="shared" si="1"/>
        <v/>
      </c>
      <c r="J191" s="23"/>
      <c r="K191" s="26"/>
      <c r="L191" s="24" t="str">
        <f>IFERROR(VLOOKUP(D191,'مراجع الوصفات'!$F$2:$I$253,4,FALSE),"")</f>
        <v/>
      </c>
      <c r="M191" s="24" t="str">
        <f t="shared" si="2"/>
        <v/>
      </c>
      <c r="N191" s="26"/>
      <c r="O191" s="25" t="str">
        <f t="shared" si="3"/>
        <v/>
      </c>
    </row>
    <row r="192" ht="15.75" customHeight="1">
      <c r="A192" s="28"/>
      <c r="B192" s="26"/>
      <c r="C192" s="20" t="str">
        <f>IFERROR(VLOOKUP(B192,'مراجع الوصفات'!$A$2:$D$79,2,FALSE),"")</f>
        <v/>
      </c>
      <c r="D192" s="26"/>
      <c r="E192" s="20" t="str">
        <f>IFERROR(VLOOKUP(D192,'مراجع الوصفات'!$F$2:$I$253,2,FALSE),"")</f>
        <v/>
      </c>
      <c r="F192" s="21"/>
      <c r="G192" s="26"/>
      <c r="H192" s="20" t="str">
        <f>IFERROR(VLOOKUP(D192,'مراجع الوصفات'!$F$2:$I$253,3,FALSE),"")</f>
        <v/>
      </c>
      <c r="I192" s="22" t="str">
        <f t="shared" si="1"/>
        <v/>
      </c>
      <c r="J192" s="23"/>
      <c r="K192" s="26"/>
      <c r="L192" s="24" t="str">
        <f>IFERROR(VLOOKUP(D192,'مراجع الوصفات'!$F$2:$I$253,4,FALSE),"")</f>
        <v/>
      </c>
      <c r="M192" s="24" t="str">
        <f t="shared" si="2"/>
        <v/>
      </c>
      <c r="N192" s="26"/>
      <c r="O192" s="25" t="str">
        <f t="shared" si="3"/>
        <v/>
      </c>
    </row>
    <row r="193" ht="15.75" customHeight="1">
      <c r="A193" s="28"/>
      <c r="B193" s="26"/>
      <c r="C193" s="20" t="str">
        <f>IFERROR(VLOOKUP(B193,'مراجع الوصفات'!$A$2:$D$79,2,FALSE),"")</f>
        <v/>
      </c>
      <c r="D193" s="26"/>
      <c r="E193" s="20" t="str">
        <f>IFERROR(VLOOKUP(D193,'مراجع الوصفات'!$F$2:$I$253,2,FALSE),"")</f>
        <v/>
      </c>
      <c r="F193" s="21"/>
      <c r="G193" s="26"/>
      <c r="H193" s="20" t="str">
        <f>IFERROR(VLOOKUP(D193,'مراجع الوصفات'!$F$2:$I$253,3,FALSE),"")</f>
        <v/>
      </c>
      <c r="I193" s="22" t="str">
        <f t="shared" si="1"/>
        <v/>
      </c>
      <c r="J193" s="23"/>
      <c r="K193" s="26"/>
      <c r="L193" s="24" t="str">
        <f>IFERROR(VLOOKUP(D193,'مراجع الوصفات'!$F$2:$I$253,4,FALSE),"")</f>
        <v/>
      </c>
      <c r="M193" s="24" t="str">
        <f t="shared" si="2"/>
        <v/>
      </c>
      <c r="N193" s="26"/>
      <c r="O193" s="25" t="str">
        <f t="shared" si="3"/>
        <v/>
      </c>
    </row>
    <row r="194" ht="15.75" customHeight="1">
      <c r="A194" s="28"/>
      <c r="B194" s="26"/>
      <c r="C194" s="20" t="str">
        <f>IFERROR(VLOOKUP(B194,'مراجع الوصفات'!$A$2:$D$79,2,FALSE),"")</f>
        <v/>
      </c>
      <c r="D194" s="26"/>
      <c r="E194" s="20" t="str">
        <f>IFERROR(VLOOKUP(D194,'مراجع الوصفات'!$F$2:$I$253,2,FALSE),"")</f>
        <v/>
      </c>
      <c r="F194" s="21"/>
      <c r="G194" s="26"/>
      <c r="H194" s="20" t="str">
        <f>IFERROR(VLOOKUP(D194,'مراجع الوصفات'!$F$2:$I$253,3,FALSE),"")</f>
        <v/>
      </c>
      <c r="I194" s="22" t="str">
        <f t="shared" si="1"/>
        <v/>
      </c>
      <c r="J194" s="23"/>
      <c r="K194" s="26"/>
      <c r="L194" s="24" t="str">
        <f>IFERROR(VLOOKUP(D194,'مراجع الوصفات'!$F$2:$I$253,4,FALSE),"")</f>
        <v/>
      </c>
      <c r="M194" s="24" t="str">
        <f t="shared" si="2"/>
        <v/>
      </c>
      <c r="N194" s="26"/>
      <c r="O194" s="25" t="str">
        <f t="shared" si="3"/>
        <v/>
      </c>
    </row>
    <row r="195" ht="15.75" customHeight="1">
      <c r="A195" s="28"/>
      <c r="B195" s="26"/>
      <c r="C195" s="20" t="str">
        <f>IFERROR(VLOOKUP(B195,'مراجع الوصفات'!$A$2:$D$79,2,FALSE),"")</f>
        <v/>
      </c>
      <c r="D195" s="26"/>
      <c r="E195" s="20" t="str">
        <f>IFERROR(VLOOKUP(D195,'مراجع الوصفات'!$F$2:$I$253,2,FALSE),"")</f>
        <v/>
      </c>
      <c r="F195" s="21"/>
      <c r="G195" s="26"/>
      <c r="H195" s="20" t="str">
        <f>IFERROR(VLOOKUP(D195,'مراجع الوصفات'!$F$2:$I$253,3,FALSE),"")</f>
        <v/>
      </c>
      <c r="I195" s="22" t="str">
        <f t="shared" si="1"/>
        <v/>
      </c>
      <c r="J195" s="23"/>
      <c r="K195" s="26"/>
      <c r="L195" s="24" t="str">
        <f>IFERROR(VLOOKUP(D195,'مراجع الوصفات'!$F$2:$I$253,4,FALSE),"")</f>
        <v/>
      </c>
      <c r="M195" s="24" t="str">
        <f t="shared" si="2"/>
        <v/>
      </c>
      <c r="N195" s="26"/>
      <c r="O195" s="25" t="str">
        <f t="shared" si="3"/>
        <v/>
      </c>
    </row>
    <row r="196" ht="15.75" customHeight="1">
      <c r="A196" s="28"/>
      <c r="B196" s="26"/>
      <c r="C196" s="20" t="str">
        <f>IFERROR(VLOOKUP(B196,'مراجع الوصفات'!$A$2:$D$79,2,FALSE),"")</f>
        <v/>
      </c>
      <c r="D196" s="26"/>
      <c r="E196" s="20" t="str">
        <f>IFERROR(VLOOKUP(D196,'مراجع الوصفات'!$F$2:$I$253,2,FALSE),"")</f>
        <v/>
      </c>
      <c r="F196" s="21"/>
      <c r="G196" s="26"/>
      <c r="H196" s="20" t="str">
        <f>IFERROR(VLOOKUP(D196,'مراجع الوصفات'!$F$2:$I$253,3,FALSE),"")</f>
        <v/>
      </c>
      <c r="I196" s="22" t="str">
        <f t="shared" si="1"/>
        <v/>
      </c>
      <c r="J196" s="23"/>
      <c r="K196" s="26"/>
      <c r="L196" s="24" t="str">
        <f>IFERROR(VLOOKUP(D196,'مراجع الوصفات'!$F$2:$I$253,4,FALSE),"")</f>
        <v/>
      </c>
      <c r="M196" s="24" t="str">
        <f t="shared" si="2"/>
        <v/>
      </c>
      <c r="N196" s="26"/>
      <c r="O196" s="25" t="str">
        <f t="shared" si="3"/>
        <v/>
      </c>
    </row>
    <row r="197" ht="15.75" customHeight="1">
      <c r="A197" s="28"/>
      <c r="B197" s="26"/>
      <c r="C197" s="20" t="str">
        <f>IFERROR(VLOOKUP(B197,'مراجع الوصفات'!$A$2:$D$79,2,FALSE),"")</f>
        <v/>
      </c>
      <c r="D197" s="26"/>
      <c r="E197" s="20" t="str">
        <f>IFERROR(VLOOKUP(D197,'مراجع الوصفات'!$F$2:$I$253,2,FALSE),"")</f>
        <v/>
      </c>
      <c r="F197" s="21"/>
      <c r="G197" s="26"/>
      <c r="H197" s="20" t="str">
        <f>IFERROR(VLOOKUP(D197,'مراجع الوصفات'!$F$2:$I$253,3,FALSE),"")</f>
        <v/>
      </c>
      <c r="I197" s="22" t="str">
        <f t="shared" si="1"/>
        <v/>
      </c>
      <c r="J197" s="23"/>
      <c r="K197" s="26"/>
      <c r="L197" s="24" t="str">
        <f>IFERROR(VLOOKUP(D197,'مراجع الوصفات'!$F$2:$I$253,4,FALSE),"")</f>
        <v/>
      </c>
      <c r="M197" s="24" t="str">
        <f t="shared" si="2"/>
        <v/>
      </c>
      <c r="N197" s="26"/>
      <c r="O197" s="25" t="str">
        <f t="shared" si="3"/>
        <v/>
      </c>
    </row>
    <row r="198" ht="15.75" customHeight="1">
      <c r="A198" s="28"/>
      <c r="B198" s="26"/>
      <c r="C198" s="20" t="str">
        <f>IFERROR(VLOOKUP(B198,'مراجع الوصفات'!$A$2:$D$79,2,FALSE),"")</f>
        <v/>
      </c>
      <c r="D198" s="26"/>
      <c r="E198" s="20" t="str">
        <f>IFERROR(VLOOKUP(D198,'مراجع الوصفات'!$F$2:$I$253,2,FALSE),"")</f>
        <v/>
      </c>
      <c r="F198" s="21"/>
      <c r="G198" s="26"/>
      <c r="H198" s="20" t="str">
        <f>IFERROR(VLOOKUP(D198,'مراجع الوصفات'!$F$2:$I$253,3,FALSE),"")</f>
        <v/>
      </c>
      <c r="I198" s="22" t="str">
        <f t="shared" si="1"/>
        <v/>
      </c>
      <c r="J198" s="23"/>
      <c r="K198" s="26"/>
      <c r="L198" s="24" t="str">
        <f>IFERROR(VLOOKUP(D198,'مراجع الوصفات'!$F$2:$I$253,4,FALSE),"")</f>
        <v/>
      </c>
      <c r="M198" s="24" t="str">
        <f t="shared" si="2"/>
        <v/>
      </c>
      <c r="N198" s="26"/>
      <c r="O198" s="25" t="str">
        <f t="shared" si="3"/>
        <v/>
      </c>
    </row>
    <row r="199" ht="15.75" customHeight="1">
      <c r="A199" s="28"/>
      <c r="B199" s="26"/>
      <c r="C199" s="20" t="str">
        <f>IFERROR(VLOOKUP(B199,'مراجع الوصفات'!$A$2:$D$79,2,FALSE),"")</f>
        <v/>
      </c>
      <c r="D199" s="26"/>
      <c r="E199" s="20" t="str">
        <f>IFERROR(VLOOKUP(D199,'مراجع الوصفات'!$F$2:$I$253,2,FALSE),"")</f>
        <v/>
      </c>
      <c r="F199" s="21"/>
      <c r="G199" s="26"/>
      <c r="H199" s="20" t="str">
        <f>IFERROR(VLOOKUP(D199,'مراجع الوصفات'!$F$2:$I$253,3,FALSE),"")</f>
        <v/>
      </c>
      <c r="I199" s="22" t="str">
        <f t="shared" si="1"/>
        <v/>
      </c>
      <c r="J199" s="23"/>
      <c r="K199" s="26"/>
      <c r="L199" s="24" t="str">
        <f>IFERROR(VLOOKUP(D199,'مراجع الوصفات'!$F$2:$I$253,4,FALSE),"")</f>
        <v/>
      </c>
      <c r="M199" s="24" t="str">
        <f t="shared" si="2"/>
        <v/>
      </c>
      <c r="N199" s="26"/>
      <c r="O199" s="25" t="str">
        <f t="shared" si="3"/>
        <v/>
      </c>
    </row>
    <row r="200" ht="15.75" customHeight="1">
      <c r="A200" s="28"/>
      <c r="B200" s="26"/>
      <c r="C200" s="20" t="str">
        <f>IFERROR(VLOOKUP(B200,'مراجع الوصفات'!$A$2:$D$79,2,FALSE),"")</f>
        <v/>
      </c>
      <c r="D200" s="26"/>
      <c r="E200" s="20" t="str">
        <f>IFERROR(VLOOKUP(D200,'مراجع الوصفات'!$F$2:$I$253,2,FALSE),"")</f>
        <v/>
      </c>
      <c r="F200" s="21"/>
      <c r="G200" s="26"/>
      <c r="H200" s="20" t="str">
        <f>IFERROR(VLOOKUP(D200,'مراجع الوصفات'!$F$2:$I$253,3,FALSE),"")</f>
        <v/>
      </c>
      <c r="I200" s="22" t="str">
        <f t="shared" si="1"/>
        <v/>
      </c>
      <c r="J200" s="23"/>
      <c r="K200" s="26"/>
      <c r="L200" s="24" t="str">
        <f>IFERROR(VLOOKUP(D200,'مراجع الوصفات'!$F$2:$I$253,4,FALSE),"")</f>
        <v/>
      </c>
      <c r="M200" s="24" t="str">
        <f t="shared" si="2"/>
        <v/>
      </c>
      <c r="N200" s="26"/>
      <c r="O200" s="25" t="str">
        <f t="shared" si="3"/>
        <v/>
      </c>
    </row>
    <row r="201" ht="15.75" customHeight="1">
      <c r="A201" s="28"/>
      <c r="B201" s="26"/>
      <c r="C201" s="20" t="str">
        <f>IFERROR(VLOOKUP(B201,'مراجع الوصفات'!$A$2:$D$79,2,FALSE),"")</f>
        <v/>
      </c>
      <c r="D201" s="26"/>
      <c r="E201" s="20" t="str">
        <f>IFERROR(VLOOKUP(D201,'مراجع الوصفات'!$F$2:$I$253,2,FALSE),"")</f>
        <v/>
      </c>
      <c r="F201" s="21"/>
      <c r="G201" s="26"/>
      <c r="H201" s="20" t="str">
        <f>IFERROR(VLOOKUP(D201,'مراجع الوصفات'!$F$2:$I$253,3,FALSE),"")</f>
        <v/>
      </c>
      <c r="I201" s="22" t="str">
        <f t="shared" si="1"/>
        <v/>
      </c>
      <c r="J201" s="23"/>
      <c r="K201" s="26"/>
      <c r="L201" s="24" t="str">
        <f>IFERROR(VLOOKUP(D201,'مراجع الوصفات'!$F$2:$I$253,4,FALSE),"")</f>
        <v/>
      </c>
      <c r="M201" s="24" t="str">
        <f t="shared" si="2"/>
        <v/>
      </c>
      <c r="N201" s="26"/>
      <c r="O201" s="25" t="str">
        <f t="shared" si="3"/>
        <v/>
      </c>
    </row>
    <row r="202" ht="15.75" customHeight="1">
      <c r="A202" s="28"/>
      <c r="B202" s="26"/>
      <c r="C202" s="20" t="str">
        <f>IFERROR(VLOOKUP(B202,'مراجع الوصفات'!$A$2:$D$79,2,FALSE),"")</f>
        <v/>
      </c>
      <c r="D202" s="26"/>
      <c r="E202" s="20" t="str">
        <f>IFERROR(VLOOKUP(D202,'مراجع الوصفات'!$F$2:$I$253,2,FALSE),"")</f>
        <v/>
      </c>
      <c r="F202" s="21"/>
      <c r="G202" s="26"/>
      <c r="H202" s="20" t="str">
        <f>IFERROR(VLOOKUP(D202,'مراجع الوصفات'!$F$2:$I$253,3,FALSE),"")</f>
        <v/>
      </c>
      <c r="I202" s="22" t="str">
        <f t="shared" si="1"/>
        <v/>
      </c>
      <c r="J202" s="23"/>
      <c r="K202" s="26"/>
      <c r="L202" s="24" t="str">
        <f>IFERROR(VLOOKUP(D202,'مراجع الوصفات'!$F$2:$I$253,4,FALSE),"")</f>
        <v/>
      </c>
      <c r="M202" s="24" t="str">
        <f t="shared" si="2"/>
        <v/>
      </c>
      <c r="N202" s="26"/>
      <c r="O202" s="25" t="str">
        <f t="shared" si="3"/>
        <v/>
      </c>
    </row>
    <row r="203" ht="15.75" customHeight="1">
      <c r="A203" s="28"/>
      <c r="B203" s="26"/>
      <c r="C203" s="20" t="str">
        <f>IFERROR(VLOOKUP(B203,'مراجع الوصفات'!$A$2:$D$79,2,FALSE),"")</f>
        <v/>
      </c>
      <c r="D203" s="26"/>
      <c r="E203" s="20" t="str">
        <f>IFERROR(VLOOKUP(D203,'مراجع الوصفات'!$F$2:$I$253,2,FALSE),"")</f>
        <v/>
      </c>
      <c r="F203" s="21"/>
      <c r="G203" s="26"/>
      <c r="H203" s="20" t="str">
        <f>IFERROR(VLOOKUP(D203,'مراجع الوصفات'!$F$2:$I$253,3,FALSE),"")</f>
        <v/>
      </c>
      <c r="I203" s="22" t="str">
        <f t="shared" si="1"/>
        <v/>
      </c>
      <c r="J203" s="23"/>
      <c r="K203" s="26"/>
      <c r="L203" s="24" t="str">
        <f>IFERROR(VLOOKUP(D203,'مراجع الوصفات'!$F$2:$I$253,4,FALSE),"")</f>
        <v/>
      </c>
      <c r="M203" s="24" t="str">
        <f t="shared" si="2"/>
        <v/>
      </c>
      <c r="N203" s="26"/>
      <c r="O203" s="25" t="str">
        <f t="shared" si="3"/>
        <v/>
      </c>
    </row>
    <row r="204" ht="15.75" customHeight="1">
      <c r="A204" s="28"/>
      <c r="B204" s="26"/>
      <c r="C204" s="20" t="str">
        <f>IFERROR(VLOOKUP(B204,'مراجع الوصفات'!$A$2:$D$79,2,FALSE),"")</f>
        <v/>
      </c>
      <c r="D204" s="26"/>
      <c r="E204" s="20" t="str">
        <f>IFERROR(VLOOKUP(D204,'مراجع الوصفات'!$F$2:$I$253,2,FALSE),"")</f>
        <v/>
      </c>
      <c r="F204" s="21"/>
      <c r="G204" s="26"/>
      <c r="H204" s="20" t="str">
        <f>IFERROR(VLOOKUP(D204,'مراجع الوصفات'!$F$2:$I$253,3,FALSE),"")</f>
        <v/>
      </c>
      <c r="I204" s="22" t="str">
        <f t="shared" si="1"/>
        <v/>
      </c>
      <c r="J204" s="23"/>
      <c r="K204" s="26"/>
      <c r="L204" s="24" t="str">
        <f>IFERROR(VLOOKUP(D204,'مراجع الوصفات'!$F$2:$I$253,4,FALSE),"")</f>
        <v/>
      </c>
      <c r="M204" s="24" t="str">
        <f t="shared" si="2"/>
        <v/>
      </c>
      <c r="N204" s="26"/>
      <c r="O204" s="25" t="str">
        <f t="shared" si="3"/>
        <v/>
      </c>
    </row>
    <row r="205" ht="15.75" customHeight="1">
      <c r="A205" s="28"/>
      <c r="B205" s="26"/>
      <c r="C205" s="20" t="str">
        <f>IFERROR(VLOOKUP(B205,'مراجع الوصفات'!$A$2:$D$79,2,FALSE),"")</f>
        <v/>
      </c>
      <c r="D205" s="26"/>
      <c r="E205" s="20" t="str">
        <f>IFERROR(VLOOKUP(D205,'مراجع الوصفات'!$F$2:$I$253,2,FALSE),"")</f>
        <v/>
      </c>
      <c r="F205" s="21"/>
      <c r="G205" s="26"/>
      <c r="H205" s="20" t="str">
        <f>IFERROR(VLOOKUP(D205,'مراجع الوصفات'!$F$2:$I$253,3,FALSE),"")</f>
        <v/>
      </c>
      <c r="I205" s="22" t="str">
        <f t="shared" si="1"/>
        <v/>
      </c>
      <c r="J205" s="23"/>
      <c r="K205" s="26"/>
      <c r="L205" s="24" t="str">
        <f>IFERROR(VLOOKUP(D205,'مراجع الوصفات'!$F$2:$I$253,4,FALSE),"")</f>
        <v/>
      </c>
      <c r="M205" s="24" t="str">
        <f t="shared" si="2"/>
        <v/>
      </c>
      <c r="N205" s="26"/>
      <c r="O205" s="25" t="str">
        <f t="shared" si="3"/>
        <v/>
      </c>
    </row>
    <row r="206" ht="15.75" customHeight="1">
      <c r="A206" s="28"/>
      <c r="B206" s="26"/>
      <c r="C206" s="20" t="str">
        <f>IFERROR(VLOOKUP(B206,'مراجع الوصفات'!$A$2:$D$79,2,FALSE),"")</f>
        <v/>
      </c>
      <c r="D206" s="26"/>
      <c r="E206" s="20" t="str">
        <f>IFERROR(VLOOKUP(D206,'مراجع الوصفات'!$F$2:$I$253,2,FALSE),"")</f>
        <v/>
      </c>
      <c r="F206" s="21"/>
      <c r="G206" s="26"/>
      <c r="H206" s="20" t="str">
        <f>IFERROR(VLOOKUP(D206,'مراجع الوصفات'!$F$2:$I$253,3,FALSE),"")</f>
        <v/>
      </c>
      <c r="I206" s="22" t="str">
        <f t="shared" si="1"/>
        <v/>
      </c>
      <c r="J206" s="23"/>
      <c r="K206" s="26"/>
      <c r="L206" s="24" t="str">
        <f>IFERROR(VLOOKUP(D206,'مراجع الوصفات'!$F$2:$I$253,4,FALSE),"")</f>
        <v/>
      </c>
      <c r="M206" s="24" t="str">
        <f t="shared" si="2"/>
        <v/>
      </c>
      <c r="N206" s="26"/>
      <c r="O206" s="25" t="str">
        <f t="shared" si="3"/>
        <v/>
      </c>
    </row>
    <row r="207" ht="15.75" customHeight="1">
      <c r="A207" s="28"/>
      <c r="B207" s="26"/>
      <c r="C207" s="20" t="str">
        <f>IFERROR(VLOOKUP(B207,'مراجع الوصفات'!$A$2:$D$79,2,FALSE),"")</f>
        <v/>
      </c>
      <c r="D207" s="26"/>
      <c r="E207" s="20" t="str">
        <f>IFERROR(VLOOKUP(D207,'مراجع الوصفات'!$F$2:$I$253,2,FALSE),"")</f>
        <v/>
      </c>
      <c r="F207" s="21"/>
      <c r="G207" s="26"/>
      <c r="H207" s="20" t="str">
        <f>IFERROR(VLOOKUP(D207,'مراجع الوصفات'!$F$2:$I$253,3,FALSE),"")</f>
        <v/>
      </c>
      <c r="I207" s="22" t="str">
        <f t="shared" si="1"/>
        <v/>
      </c>
      <c r="J207" s="23"/>
      <c r="K207" s="26"/>
      <c r="L207" s="24" t="str">
        <f>IFERROR(VLOOKUP(D207,'مراجع الوصفات'!$F$2:$I$253,4,FALSE),"")</f>
        <v/>
      </c>
      <c r="M207" s="24" t="str">
        <f t="shared" si="2"/>
        <v/>
      </c>
      <c r="N207" s="26"/>
      <c r="O207" s="25" t="str">
        <f t="shared" si="3"/>
        <v/>
      </c>
    </row>
    <row r="208" ht="15.75" customHeight="1">
      <c r="A208" s="28"/>
      <c r="B208" s="26"/>
      <c r="C208" s="20" t="str">
        <f>IFERROR(VLOOKUP(B208,'مراجع الوصفات'!$A$2:$D$79,2,FALSE),"")</f>
        <v/>
      </c>
      <c r="D208" s="26"/>
      <c r="E208" s="20" t="str">
        <f>IFERROR(VLOOKUP(D208,'مراجع الوصفات'!$F$2:$I$253,2,FALSE),"")</f>
        <v/>
      </c>
      <c r="F208" s="21"/>
      <c r="G208" s="26"/>
      <c r="H208" s="20" t="str">
        <f>IFERROR(VLOOKUP(D208,'مراجع الوصفات'!$F$2:$I$253,3,FALSE),"")</f>
        <v/>
      </c>
      <c r="I208" s="22" t="str">
        <f t="shared" si="1"/>
        <v/>
      </c>
      <c r="J208" s="23"/>
      <c r="K208" s="26"/>
      <c r="L208" s="24" t="str">
        <f>IFERROR(VLOOKUP(D208,'مراجع الوصفات'!$F$2:$I$253,4,FALSE),"")</f>
        <v/>
      </c>
      <c r="M208" s="24" t="str">
        <f t="shared" si="2"/>
        <v/>
      </c>
      <c r="N208" s="26"/>
      <c r="O208" s="25" t="str">
        <f t="shared" si="3"/>
        <v/>
      </c>
    </row>
    <row r="209" ht="15.75" customHeight="1">
      <c r="A209" s="28"/>
      <c r="B209" s="26"/>
      <c r="C209" s="20" t="str">
        <f>IFERROR(VLOOKUP(B209,'مراجع الوصفات'!$A$2:$D$79,2,FALSE),"")</f>
        <v/>
      </c>
      <c r="D209" s="26"/>
      <c r="E209" s="20" t="str">
        <f>IFERROR(VLOOKUP(D209,'مراجع الوصفات'!$F$2:$I$253,2,FALSE),"")</f>
        <v/>
      </c>
      <c r="F209" s="21"/>
      <c r="G209" s="26"/>
      <c r="H209" s="20" t="str">
        <f>IFERROR(VLOOKUP(D209,'مراجع الوصفات'!$F$2:$I$253,3,FALSE),"")</f>
        <v/>
      </c>
      <c r="I209" s="22" t="str">
        <f t="shared" si="1"/>
        <v/>
      </c>
      <c r="J209" s="23"/>
      <c r="K209" s="26"/>
      <c r="L209" s="24" t="str">
        <f>IFERROR(VLOOKUP(D209,'مراجع الوصفات'!$F$2:$I$253,4,FALSE),"")</f>
        <v/>
      </c>
      <c r="M209" s="24" t="str">
        <f t="shared" si="2"/>
        <v/>
      </c>
      <c r="N209" s="26"/>
      <c r="O209" s="25" t="str">
        <f t="shared" si="3"/>
        <v/>
      </c>
    </row>
    <row r="210" ht="15.75" customHeight="1">
      <c r="A210" s="28"/>
      <c r="B210" s="26"/>
      <c r="C210" s="20" t="str">
        <f>IFERROR(VLOOKUP(B210,'مراجع الوصفات'!$A$2:$D$79,2,FALSE),"")</f>
        <v/>
      </c>
      <c r="D210" s="26"/>
      <c r="E210" s="20" t="str">
        <f>IFERROR(VLOOKUP(D210,'مراجع الوصفات'!$F$2:$I$253,2,FALSE),"")</f>
        <v/>
      </c>
      <c r="F210" s="21"/>
      <c r="G210" s="26"/>
      <c r="H210" s="20" t="str">
        <f>IFERROR(VLOOKUP(D210,'مراجع الوصفات'!$F$2:$I$253,3,FALSE),"")</f>
        <v/>
      </c>
      <c r="I210" s="22" t="str">
        <f t="shared" si="1"/>
        <v/>
      </c>
      <c r="J210" s="23"/>
      <c r="K210" s="26"/>
      <c r="L210" s="24" t="str">
        <f>IFERROR(VLOOKUP(D210,'مراجع الوصفات'!$F$2:$I$253,4,FALSE),"")</f>
        <v/>
      </c>
      <c r="M210" s="24" t="str">
        <f t="shared" si="2"/>
        <v/>
      </c>
      <c r="N210" s="26"/>
      <c r="O210" s="25" t="str">
        <f t="shared" si="3"/>
        <v/>
      </c>
    </row>
    <row r="211" ht="15.75" customHeight="1">
      <c r="A211" s="28"/>
      <c r="B211" s="26"/>
      <c r="C211" s="20" t="str">
        <f>IFERROR(VLOOKUP(B211,'مراجع الوصفات'!$A$2:$D$79,2,FALSE),"")</f>
        <v/>
      </c>
      <c r="D211" s="26"/>
      <c r="E211" s="20" t="str">
        <f>IFERROR(VLOOKUP(D211,'مراجع الوصفات'!$F$2:$I$253,2,FALSE),"")</f>
        <v/>
      </c>
      <c r="F211" s="21"/>
      <c r="G211" s="26"/>
      <c r="H211" s="20" t="str">
        <f>IFERROR(VLOOKUP(D211,'مراجع الوصفات'!$F$2:$I$253,3,FALSE),"")</f>
        <v/>
      </c>
      <c r="I211" s="22" t="str">
        <f t="shared" si="1"/>
        <v/>
      </c>
      <c r="J211" s="23"/>
      <c r="K211" s="26"/>
      <c r="L211" s="24" t="str">
        <f>IFERROR(VLOOKUP(D211,'مراجع الوصفات'!$F$2:$I$253,4,FALSE),"")</f>
        <v/>
      </c>
      <c r="M211" s="24" t="str">
        <f t="shared" si="2"/>
        <v/>
      </c>
      <c r="N211" s="26"/>
      <c r="O211" s="25" t="str">
        <f t="shared" si="3"/>
        <v/>
      </c>
    </row>
    <row r="212" ht="15.75" customHeight="1">
      <c r="A212" s="28"/>
      <c r="B212" s="26"/>
      <c r="C212" s="20" t="str">
        <f>IFERROR(VLOOKUP(B212,'مراجع الوصفات'!$A$2:$D$79,2,FALSE),"")</f>
        <v/>
      </c>
      <c r="D212" s="26"/>
      <c r="E212" s="20" t="str">
        <f>IFERROR(VLOOKUP(D212,'مراجع الوصفات'!$F$2:$I$253,2,FALSE),"")</f>
        <v/>
      </c>
      <c r="F212" s="21"/>
      <c r="G212" s="26"/>
      <c r="H212" s="20" t="str">
        <f>IFERROR(VLOOKUP(D212,'مراجع الوصفات'!$F$2:$I$253,3,FALSE),"")</f>
        <v/>
      </c>
      <c r="I212" s="22" t="str">
        <f t="shared" si="1"/>
        <v/>
      </c>
      <c r="J212" s="23"/>
      <c r="K212" s="26"/>
      <c r="L212" s="24" t="str">
        <f>IFERROR(VLOOKUP(D212,'مراجع الوصفات'!$F$2:$I$253,4,FALSE),"")</f>
        <v/>
      </c>
      <c r="M212" s="24" t="str">
        <f t="shared" si="2"/>
        <v/>
      </c>
      <c r="N212" s="26"/>
      <c r="O212" s="25" t="str">
        <f t="shared" si="3"/>
        <v/>
      </c>
    </row>
    <row r="213" ht="15.75" customHeight="1">
      <c r="A213" s="28"/>
      <c r="B213" s="26"/>
      <c r="C213" s="20" t="str">
        <f>IFERROR(VLOOKUP(B213,'مراجع الوصفات'!$A$2:$D$79,2,FALSE),"")</f>
        <v/>
      </c>
      <c r="D213" s="26"/>
      <c r="E213" s="20" t="str">
        <f>IFERROR(VLOOKUP(D213,'مراجع الوصفات'!$F$2:$I$253,2,FALSE),"")</f>
        <v/>
      </c>
      <c r="F213" s="21"/>
      <c r="G213" s="26"/>
      <c r="H213" s="20" t="str">
        <f>IFERROR(VLOOKUP(D213,'مراجع الوصفات'!$F$2:$I$253,3,FALSE),"")</f>
        <v/>
      </c>
      <c r="I213" s="22" t="str">
        <f t="shared" si="1"/>
        <v/>
      </c>
      <c r="J213" s="23"/>
      <c r="K213" s="26"/>
      <c r="L213" s="24" t="str">
        <f>IFERROR(VLOOKUP(D213,'مراجع الوصفات'!$F$2:$I$253,4,FALSE),"")</f>
        <v/>
      </c>
      <c r="M213" s="24" t="str">
        <f t="shared" si="2"/>
        <v/>
      </c>
      <c r="N213" s="26"/>
      <c r="O213" s="25" t="str">
        <f t="shared" si="3"/>
        <v/>
      </c>
    </row>
    <row r="214" ht="15.75" customHeight="1">
      <c r="A214" s="28"/>
      <c r="B214" s="26"/>
      <c r="C214" s="20" t="str">
        <f>IFERROR(VLOOKUP(B214,'مراجع الوصفات'!$A$2:$D$79,2,FALSE),"")</f>
        <v/>
      </c>
      <c r="D214" s="26"/>
      <c r="E214" s="20" t="str">
        <f>IFERROR(VLOOKUP(D214,'مراجع الوصفات'!$F$2:$I$253,2,FALSE),"")</f>
        <v/>
      </c>
      <c r="F214" s="21"/>
      <c r="G214" s="26"/>
      <c r="H214" s="20" t="str">
        <f>IFERROR(VLOOKUP(D214,'مراجع الوصفات'!$F$2:$I$253,3,FALSE),"")</f>
        <v/>
      </c>
      <c r="I214" s="22" t="str">
        <f t="shared" si="1"/>
        <v/>
      </c>
      <c r="J214" s="23"/>
      <c r="K214" s="26"/>
      <c r="L214" s="24" t="str">
        <f>IFERROR(VLOOKUP(D214,'مراجع الوصفات'!$F$2:$I$253,4,FALSE),"")</f>
        <v/>
      </c>
      <c r="M214" s="24" t="str">
        <f t="shared" si="2"/>
        <v/>
      </c>
      <c r="N214" s="26"/>
      <c r="O214" s="25" t="str">
        <f t="shared" si="3"/>
        <v/>
      </c>
    </row>
    <row r="215" ht="15.75" customHeight="1">
      <c r="A215" s="28"/>
      <c r="B215" s="26"/>
      <c r="C215" s="20" t="str">
        <f>IFERROR(VLOOKUP(B215,'مراجع الوصفات'!$A$2:$D$79,2,FALSE),"")</f>
        <v/>
      </c>
      <c r="D215" s="26"/>
      <c r="E215" s="20" t="str">
        <f>IFERROR(VLOOKUP(D215,'مراجع الوصفات'!$F$2:$I$253,2,FALSE),"")</f>
        <v/>
      </c>
      <c r="F215" s="21"/>
      <c r="G215" s="26"/>
      <c r="H215" s="20" t="str">
        <f>IFERROR(VLOOKUP(D215,'مراجع الوصفات'!$F$2:$I$253,3,FALSE),"")</f>
        <v/>
      </c>
      <c r="I215" s="22" t="str">
        <f t="shared" si="1"/>
        <v/>
      </c>
      <c r="J215" s="23"/>
      <c r="K215" s="26"/>
      <c r="L215" s="24" t="str">
        <f>IFERROR(VLOOKUP(D215,'مراجع الوصفات'!$F$2:$I$253,4,FALSE),"")</f>
        <v/>
      </c>
      <c r="M215" s="24" t="str">
        <f t="shared" si="2"/>
        <v/>
      </c>
      <c r="N215" s="26"/>
      <c r="O215" s="25" t="str">
        <f t="shared" si="3"/>
        <v/>
      </c>
    </row>
    <row r="216" ht="15.75" customHeight="1">
      <c r="A216" s="28"/>
      <c r="B216" s="26"/>
      <c r="C216" s="20" t="str">
        <f>IFERROR(VLOOKUP(B216,'مراجع الوصفات'!$A$2:$D$79,2,FALSE),"")</f>
        <v/>
      </c>
      <c r="D216" s="26"/>
      <c r="E216" s="20" t="str">
        <f>IFERROR(VLOOKUP(D216,'مراجع الوصفات'!$F$2:$I$253,2,FALSE),"")</f>
        <v/>
      </c>
      <c r="F216" s="21"/>
      <c r="G216" s="26"/>
      <c r="H216" s="20" t="str">
        <f>IFERROR(VLOOKUP(D216,'مراجع الوصفات'!$F$2:$I$253,3,FALSE),"")</f>
        <v/>
      </c>
      <c r="I216" s="22" t="str">
        <f t="shared" si="1"/>
        <v/>
      </c>
      <c r="J216" s="23"/>
      <c r="K216" s="26"/>
      <c r="L216" s="24" t="str">
        <f>IFERROR(VLOOKUP(D216,'مراجع الوصفات'!$F$2:$I$253,4,FALSE),"")</f>
        <v/>
      </c>
      <c r="M216" s="24" t="str">
        <f t="shared" si="2"/>
        <v/>
      </c>
      <c r="N216" s="26"/>
      <c r="O216" s="25" t="str">
        <f t="shared" si="3"/>
        <v/>
      </c>
    </row>
    <row r="217" ht="15.75" customHeight="1">
      <c r="A217" s="28"/>
      <c r="B217" s="26"/>
      <c r="C217" s="20" t="str">
        <f>IFERROR(VLOOKUP(B217,'مراجع الوصفات'!$A$2:$D$79,2,FALSE),"")</f>
        <v/>
      </c>
      <c r="D217" s="26"/>
      <c r="E217" s="20" t="str">
        <f>IFERROR(VLOOKUP(D217,'مراجع الوصفات'!$F$2:$I$253,2,FALSE),"")</f>
        <v/>
      </c>
      <c r="F217" s="21"/>
      <c r="G217" s="26"/>
      <c r="H217" s="20" t="str">
        <f>IFERROR(VLOOKUP(D217,'مراجع الوصفات'!$F$2:$I$253,3,FALSE),"")</f>
        <v/>
      </c>
      <c r="I217" s="22" t="str">
        <f t="shared" si="1"/>
        <v/>
      </c>
      <c r="J217" s="23"/>
      <c r="K217" s="26"/>
      <c r="L217" s="24" t="str">
        <f>IFERROR(VLOOKUP(D217,'مراجع الوصفات'!$F$2:$I$253,4,FALSE),"")</f>
        <v/>
      </c>
      <c r="M217" s="24" t="str">
        <f t="shared" si="2"/>
        <v/>
      </c>
      <c r="N217" s="26"/>
      <c r="O217" s="25" t="str">
        <f t="shared" si="3"/>
        <v/>
      </c>
    </row>
    <row r="218" ht="15.75" customHeight="1">
      <c r="A218" s="28"/>
      <c r="B218" s="26"/>
      <c r="C218" s="20" t="str">
        <f>IFERROR(VLOOKUP(B218,'مراجع الوصفات'!$A$2:$D$79,2,FALSE),"")</f>
        <v/>
      </c>
      <c r="D218" s="26"/>
      <c r="E218" s="20" t="str">
        <f>IFERROR(VLOOKUP(D218,'مراجع الوصفات'!$F$2:$I$253,2,FALSE),"")</f>
        <v/>
      </c>
      <c r="F218" s="21"/>
      <c r="G218" s="26"/>
      <c r="H218" s="20" t="str">
        <f>IFERROR(VLOOKUP(D218,'مراجع الوصفات'!$F$2:$I$253,3,FALSE),"")</f>
        <v/>
      </c>
      <c r="I218" s="22" t="str">
        <f t="shared" si="1"/>
        <v/>
      </c>
      <c r="J218" s="23"/>
      <c r="K218" s="26"/>
      <c r="L218" s="24" t="str">
        <f>IFERROR(VLOOKUP(D218,'مراجع الوصفات'!$F$2:$I$253,4,FALSE),"")</f>
        <v/>
      </c>
      <c r="M218" s="24" t="str">
        <f t="shared" si="2"/>
        <v/>
      </c>
      <c r="N218" s="26"/>
      <c r="O218" s="25" t="str">
        <f t="shared" si="3"/>
        <v/>
      </c>
    </row>
    <row r="219" ht="15.75" customHeight="1">
      <c r="A219" s="28"/>
      <c r="B219" s="26"/>
      <c r="C219" s="20" t="str">
        <f>IFERROR(VLOOKUP(B219,'مراجع الوصفات'!$A$2:$D$79,2,FALSE),"")</f>
        <v/>
      </c>
      <c r="D219" s="26"/>
      <c r="E219" s="20" t="str">
        <f>IFERROR(VLOOKUP(D219,'مراجع الوصفات'!$F$2:$I$253,2,FALSE),"")</f>
        <v/>
      </c>
      <c r="F219" s="21"/>
      <c r="G219" s="26"/>
      <c r="H219" s="20" t="str">
        <f>IFERROR(VLOOKUP(D219,'مراجع الوصفات'!$F$2:$I$253,3,FALSE),"")</f>
        <v/>
      </c>
      <c r="I219" s="22" t="str">
        <f t="shared" si="1"/>
        <v/>
      </c>
      <c r="J219" s="23"/>
      <c r="K219" s="26"/>
      <c r="L219" s="24" t="str">
        <f>IFERROR(VLOOKUP(D219,'مراجع الوصفات'!$F$2:$I$253,4,FALSE),"")</f>
        <v/>
      </c>
      <c r="M219" s="24" t="str">
        <f t="shared" si="2"/>
        <v/>
      </c>
      <c r="N219" s="26"/>
      <c r="O219" s="25" t="str">
        <f t="shared" si="3"/>
        <v/>
      </c>
    </row>
    <row r="220" ht="15.75" customHeight="1">
      <c r="A220" s="28"/>
      <c r="B220" s="26"/>
      <c r="C220" s="20" t="str">
        <f>IFERROR(VLOOKUP(B220,'مراجع الوصفات'!$A$2:$D$79,2,FALSE),"")</f>
        <v/>
      </c>
      <c r="D220" s="26"/>
      <c r="E220" s="20" t="str">
        <f>IFERROR(VLOOKUP(D220,'مراجع الوصفات'!$F$2:$I$253,2,FALSE),"")</f>
        <v/>
      </c>
      <c r="F220" s="21"/>
      <c r="G220" s="26"/>
      <c r="H220" s="20" t="str">
        <f>IFERROR(VLOOKUP(D220,'مراجع الوصفات'!$F$2:$I$253,3,FALSE),"")</f>
        <v/>
      </c>
      <c r="I220" s="22" t="str">
        <f t="shared" si="1"/>
        <v/>
      </c>
      <c r="J220" s="23"/>
      <c r="K220" s="26"/>
      <c r="L220" s="24" t="str">
        <f>IFERROR(VLOOKUP(D220,'مراجع الوصفات'!$F$2:$I$253,4,FALSE),"")</f>
        <v/>
      </c>
      <c r="M220" s="24" t="str">
        <f t="shared" si="2"/>
        <v/>
      </c>
      <c r="N220" s="26"/>
      <c r="O220" s="25" t="str">
        <f t="shared" si="3"/>
        <v/>
      </c>
    </row>
    <row r="221" ht="15.75" customHeight="1">
      <c r="A221" s="28"/>
      <c r="B221" s="26"/>
      <c r="C221" s="20" t="str">
        <f>IFERROR(VLOOKUP(B221,'مراجع الوصفات'!$A$2:$D$79,2,FALSE),"")</f>
        <v/>
      </c>
      <c r="D221" s="26"/>
      <c r="E221" s="20" t="str">
        <f>IFERROR(VLOOKUP(D221,'مراجع الوصفات'!$F$2:$I$253,2,FALSE),"")</f>
        <v/>
      </c>
      <c r="F221" s="21"/>
      <c r="G221" s="26"/>
      <c r="H221" s="20" t="str">
        <f>IFERROR(VLOOKUP(D221,'مراجع الوصفات'!$F$2:$I$253,3,FALSE),"")</f>
        <v/>
      </c>
      <c r="I221" s="22" t="str">
        <f t="shared" si="1"/>
        <v/>
      </c>
      <c r="J221" s="23"/>
      <c r="K221" s="26"/>
      <c r="L221" s="24" t="str">
        <f>IFERROR(VLOOKUP(D221,'مراجع الوصفات'!$F$2:$I$253,4,FALSE),"")</f>
        <v/>
      </c>
      <c r="M221" s="24" t="str">
        <f t="shared" si="2"/>
        <v/>
      </c>
      <c r="N221" s="26"/>
      <c r="O221" s="25" t="str">
        <f t="shared" si="3"/>
        <v/>
      </c>
    </row>
    <row r="222" ht="15.75" customHeight="1">
      <c r="A222" s="28"/>
      <c r="B222" s="26"/>
      <c r="C222" s="20" t="str">
        <f>IFERROR(VLOOKUP(B222,'مراجع الوصفات'!$A$2:$D$79,2,FALSE),"")</f>
        <v/>
      </c>
      <c r="D222" s="26"/>
      <c r="E222" s="20" t="str">
        <f>IFERROR(VLOOKUP(D222,'مراجع الوصفات'!$F$2:$I$253,2,FALSE),"")</f>
        <v/>
      </c>
      <c r="F222" s="21"/>
      <c r="G222" s="26"/>
      <c r="H222" s="20" t="str">
        <f>IFERROR(VLOOKUP(D222,'مراجع الوصفات'!$F$2:$I$253,3,FALSE),"")</f>
        <v/>
      </c>
      <c r="I222" s="22" t="str">
        <f t="shared" si="1"/>
        <v/>
      </c>
      <c r="J222" s="23"/>
      <c r="K222" s="26"/>
      <c r="L222" s="24" t="str">
        <f>IFERROR(VLOOKUP(D222,'مراجع الوصفات'!$F$2:$I$253,4,FALSE),"")</f>
        <v/>
      </c>
      <c r="M222" s="24" t="str">
        <f t="shared" si="2"/>
        <v/>
      </c>
      <c r="N222" s="26"/>
      <c r="O222" s="25" t="str">
        <f t="shared" si="3"/>
        <v/>
      </c>
    </row>
    <row r="223" ht="15.75" customHeight="1">
      <c r="A223" s="28"/>
      <c r="B223" s="26"/>
      <c r="C223" s="20" t="str">
        <f>IFERROR(VLOOKUP(B223,'مراجع الوصفات'!$A$2:$D$79,2,FALSE),"")</f>
        <v/>
      </c>
      <c r="D223" s="26"/>
      <c r="E223" s="20" t="str">
        <f>IFERROR(VLOOKUP(D223,'مراجع الوصفات'!$F$2:$I$253,2,FALSE),"")</f>
        <v/>
      </c>
      <c r="F223" s="21"/>
      <c r="G223" s="26"/>
      <c r="H223" s="20" t="str">
        <f>IFERROR(VLOOKUP(D223,'مراجع الوصفات'!$F$2:$I$253,3,FALSE),"")</f>
        <v/>
      </c>
      <c r="I223" s="22" t="str">
        <f t="shared" si="1"/>
        <v/>
      </c>
      <c r="J223" s="23"/>
      <c r="K223" s="26"/>
      <c r="L223" s="24" t="str">
        <f>IFERROR(VLOOKUP(D223,'مراجع الوصفات'!$F$2:$I$253,4,FALSE),"")</f>
        <v/>
      </c>
      <c r="M223" s="24" t="str">
        <f t="shared" si="2"/>
        <v/>
      </c>
      <c r="N223" s="26"/>
      <c r="O223" s="25" t="str">
        <f t="shared" si="3"/>
        <v/>
      </c>
    </row>
    <row r="224" ht="15.75" customHeight="1">
      <c r="A224" s="28"/>
      <c r="B224" s="26"/>
      <c r="C224" s="20" t="str">
        <f>IFERROR(VLOOKUP(B224,'مراجع الوصفات'!$A$2:$D$79,2,FALSE),"")</f>
        <v/>
      </c>
      <c r="D224" s="26"/>
      <c r="E224" s="20" t="str">
        <f>IFERROR(VLOOKUP(D224,'مراجع الوصفات'!$F$2:$I$253,2,FALSE),"")</f>
        <v/>
      </c>
      <c r="F224" s="21"/>
      <c r="G224" s="26"/>
      <c r="H224" s="20" t="str">
        <f>IFERROR(VLOOKUP(D224,'مراجع الوصفات'!$F$2:$I$253,3,FALSE),"")</f>
        <v/>
      </c>
      <c r="I224" s="22" t="str">
        <f t="shared" si="1"/>
        <v/>
      </c>
      <c r="J224" s="23"/>
      <c r="K224" s="26"/>
      <c r="L224" s="24" t="str">
        <f>IFERROR(VLOOKUP(D224,'مراجع الوصفات'!$F$2:$I$253,4,FALSE),"")</f>
        <v/>
      </c>
      <c r="M224" s="24" t="str">
        <f t="shared" si="2"/>
        <v/>
      </c>
      <c r="N224" s="26"/>
      <c r="O224" s="25" t="str">
        <f t="shared" si="3"/>
        <v/>
      </c>
    </row>
    <row r="225" ht="15.75" customHeight="1">
      <c r="A225" s="28"/>
      <c r="B225" s="26"/>
      <c r="C225" s="20" t="str">
        <f>IFERROR(VLOOKUP(B225,'مراجع الوصفات'!$A$2:$D$79,2,FALSE),"")</f>
        <v/>
      </c>
      <c r="D225" s="26"/>
      <c r="E225" s="20" t="str">
        <f>IFERROR(VLOOKUP(D225,'مراجع الوصفات'!$F$2:$I$253,2,FALSE),"")</f>
        <v/>
      </c>
      <c r="F225" s="21"/>
      <c r="G225" s="26"/>
      <c r="H225" s="20" t="str">
        <f>IFERROR(VLOOKUP(D225,'مراجع الوصفات'!$F$2:$I$253,3,FALSE),"")</f>
        <v/>
      </c>
      <c r="I225" s="22" t="str">
        <f t="shared" si="1"/>
        <v/>
      </c>
      <c r="J225" s="23"/>
      <c r="K225" s="26"/>
      <c r="L225" s="24" t="str">
        <f>IFERROR(VLOOKUP(D225,'مراجع الوصفات'!$F$2:$I$253,4,FALSE),"")</f>
        <v/>
      </c>
      <c r="M225" s="24" t="str">
        <f t="shared" si="2"/>
        <v/>
      </c>
      <c r="N225" s="26"/>
      <c r="O225" s="25" t="str">
        <f t="shared" si="3"/>
        <v/>
      </c>
    </row>
    <row r="226" ht="15.75" customHeight="1">
      <c r="A226" s="28"/>
      <c r="B226" s="26"/>
      <c r="C226" s="20" t="str">
        <f>IFERROR(VLOOKUP(B226,'مراجع الوصفات'!$A$2:$D$79,2,FALSE),"")</f>
        <v/>
      </c>
      <c r="D226" s="26"/>
      <c r="E226" s="20" t="str">
        <f>IFERROR(VLOOKUP(D226,'مراجع الوصفات'!$F$2:$I$253,2,FALSE),"")</f>
        <v/>
      </c>
      <c r="F226" s="21"/>
      <c r="G226" s="26"/>
      <c r="H226" s="20" t="str">
        <f>IFERROR(VLOOKUP(D226,'مراجع الوصفات'!$F$2:$I$253,3,FALSE),"")</f>
        <v/>
      </c>
      <c r="I226" s="22" t="str">
        <f t="shared" si="1"/>
        <v/>
      </c>
      <c r="J226" s="23"/>
      <c r="K226" s="26"/>
      <c r="L226" s="24" t="str">
        <f>IFERROR(VLOOKUP(D226,'مراجع الوصفات'!$F$2:$I$253,4,FALSE),"")</f>
        <v/>
      </c>
      <c r="M226" s="24" t="str">
        <f t="shared" si="2"/>
        <v/>
      </c>
      <c r="N226" s="26"/>
      <c r="O226" s="25" t="str">
        <f t="shared" si="3"/>
        <v/>
      </c>
    </row>
    <row r="227" ht="15.75" customHeight="1">
      <c r="A227" s="28"/>
      <c r="B227" s="26"/>
      <c r="C227" s="20" t="str">
        <f>IFERROR(VLOOKUP(B227,'مراجع الوصفات'!$A$2:$D$79,2,FALSE),"")</f>
        <v/>
      </c>
      <c r="D227" s="26"/>
      <c r="E227" s="20" t="str">
        <f>IFERROR(VLOOKUP(D227,'مراجع الوصفات'!$F$2:$I$253,2,FALSE),"")</f>
        <v/>
      </c>
      <c r="F227" s="21"/>
      <c r="G227" s="26"/>
      <c r="H227" s="20" t="str">
        <f>IFERROR(VLOOKUP(D227,'مراجع الوصفات'!$F$2:$I$253,3,FALSE),"")</f>
        <v/>
      </c>
      <c r="I227" s="22" t="str">
        <f t="shared" si="1"/>
        <v/>
      </c>
      <c r="J227" s="23"/>
      <c r="K227" s="26"/>
      <c r="L227" s="24" t="str">
        <f>IFERROR(VLOOKUP(D227,'مراجع الوصفات'!$F$2:$I$253,4,FALSE),"")</f>
        <v/>
      </c>
      <c r="M227" s="24" t="str">
        <f t="shared" si="2"/>
        <v/>
      </c>
      <c r="N227" s="26"/>
      <c r="O227" s="25" t="str">
        <f t="shared" si="3"/>
        <v/>
      </c>
    </row>
    <row r="228" ht="15.75" customHeight="1">
      <c r="A228" s="28"/>
      <c r="B228" s="26"/>
      <c r="C228" s="20" t="str">
        <f>IFERROR(VLOOKUP(B228,'مراجع الوصفات'!$A$2:$D$79,2,FALSE),"")</f>
        <v/>
      </c>
      <c r="D228" s="26"/>
      <c r="E228" s="20" t="str">
        <f>IFERROR(VLOOKUP(D228,'مراجع الوصفات'!$F$2:$I$253,2,FALSE),"")</f>
        <v/>
      </c>
      <c r="F228" s="21"/>
      <c r="G228" s="26"/>
      <c r="H228" s="20" t="str">
        <f>IFERROR(VLOOKUP(D228,'مراجع الوصفات'!$F$2:$I$253,3,FALSE),"")</f>
        <v/>
      </c>
      <c r="I228" s="22" t="str">
        <f t="shared" si="1"/>
        <v/>
      </c>
      <c r="J228" s="23"/>
      <c r="K228" s="26"/>
      <c r="L228" s="24" t="str">
        <f>IFERROR(VLOOKUP(D228,'مراجع الوصفات'!$F$2:$I$253,4,FALSE),"")</f>
        <v/>
      </c>
      <c r="M228" s="24" t="str">
        <f t="shared" si="2"/>
        <v/>
      </c>
      <c r="N228" s="26"/>
      <c r="O228" s="25" t="str">
        <f t="shared" si="3"/>
        <v/>
      </c>
    </row>
    <row r="229" ht="15.75" customHeight="1">
      <c r="A229" s="28"/>
      <c r="B229" s="26"/>
      <c r="C229" s="20" t="str">
        <f>IFERROR(VLOOKUP(B229,'مراجع الوصفات'!$A$2:$D$79,2,FALSE),"")</f>
        <v/>
      </c>
      <c r="D229" s="26"/>
      <c r="E229" s="20" t="str">
        <f>IFERROR(VLOOKUP(D229,'مراجع الوصفات'!$F$2:$I$253,2,FALSE),"")</f>
        <v/>
      </c>
      <c r="F229" s="21"/>
      <c r="G229" s="26"/>
      <c r="H229" s="20" t="str">
        <f>IFERROR(VLOOKUP(D229,'مراجع الوصفات'!$F$2:$I$253,3,FALSE),"")</f>
        <v/>
      </c>
      <c r="I229" s="22" t="str">
        <f t="shared" si="1"/>
        <v/>
      </c>
      <c r="J229" s="23"/>
      <c r="K229" s="26"/>
      <c r="L229" s="24" t="str">
        <f>IFERROR(VLOOKUP(D229,'مراجع الوصفات'!$F$2:$I$253,4,FALSE),"")</f>
        <v/>
      </c>
      <c r="M229" s="24" t="str">
        <f t="shared" si="2"/>
        <v/>
      </c>
      <c r="N229" s="26"/>
      <c r="O229" s="25" t="str">
        <f t="shared" si="3"/>
        <v/>
      </c>
    </row>
    <row r="230" ht="15.75" customHeight="1">
      <c r="A230" s="28"/>
      <c r="B230" s="26"/>
      <c r="C230" s="20" t="str">
        <f>IFERROR(VLOOKUP(B230,'مراجع الوصفات'!$A$2:$D$79,2,FALSE),"")</f>
        <v/>
      </c>
      <c r="D230" s="26"/>
      <c r="E230" s="20" t="str">
        <f>IFERROR(VLOOKUP(D230,'مراجع الوصفات'!$F$2:$I$253,2,FALSE),"")</f>
        <v/>
      </c>
      <c r="F230" s="21"/>
      <c r="G230" s="26"/>
      <c r="H230" s="20" t="str">
        <f>IFERROR(VLOOKUP(D230,'مراجع الوصفات'!$F$2:$I$253,3,FALSE),"")</f>
        <v/>
      </c>
      <c r="I230" s="22" t="str">
        <f t="shared" si="1"/>
        <v/>
      </c>
      <c r="J230" s="23"/>
      <c r="K230" s="26"/>
      <c r="L230" s="24" t="str">
        <f>IFERROR(VLOOKUP(D230,'مراجع الوصفات'!$F$2:$I$253,4,FALSE),"")</f>
        <v/>
      </c>
      <c r="M230" s="24" t="str">
        <f t="shared" si="2"/>
        <v/>
      </c>
      <c r="N230" s="26"/>
      <c r="O230" s="25" t="str">
        <f t="shared" si="3"/>
        <v/>
      </c>
    </row>
    <row r="231" ht="15.75" customHeight="1">
      <c r="A231" s="28"/>
      <c r="B231" s="26"/>
      <c r="C231" s="20" t="str">
        <f>IFERROR(VLOOKUP(B231,'مراجع الوصفات'!$A$2:$D$79,2,FALSE),"")</f>
        <v/>
      </c>
      <c r="D231" s="26"/>
      <c r="E231" s="20" t="str">
        <f>IFERROR(VLOOKUP(D231,'مراجع الوصفات'!$F$2:$I$253,2,FALSE),"")</f>
        <v/>
      </c>
      <c r="F231" s="21"/>
      <c r="G231" s="26"/>
      <c r="H231" s="20" t="str">
        <f>IFERROR(VLOOKUP(D231,'مراجع الوصفات'!$F$2:$I$253,3,FALSE),"")</f>
        <v/>
      </c>
      <c r="I231" s="22" t="str">
        <f t="shared" si="1"/>
        <v/>
      </c>
      <c r="J231" s="23"/>
      <c r="K231" s="26"/>
      <c r="L231" s="24" t="str">
        <f>IFERROR(VLOOKUP(D231,'مراجع الوصفات'!$F$2:$I$253,4,FALSE),"")</f>
        <v/>
      </c>
      <c r="M231" s="24" t="str">
        <f t="shared" si="2"/>
        <v/>
      </c>
      <c r="N231" s="26"/>
      <c r="O231" s="25" t="str">
        <f t="shared" si="3"/>
        <v/>
      </c>
    </row>
    <row r="232" ht="15.75" customHeight="1">
      <c r="A232" s="28"/>
      <c r="B232" s="26"/>
      <c r="C232" s="20" t="str">
        <f>IFERROR(VLOOKUP(B232,'مراجع الوصفات'!$A$2:$D$79,2,FALSE),"")</f>
        <v/>
      </c>
      <c r="D232" s="26"/>
      <c r="E232" s="20" t="str">
        <f>IFERROR(VLOOKUP(D232,'مراجع الوصفات'!$F$2:$I$253,2,FALSE),"")</f>
        <v/>
      </c>
      <c r="F232" s="21"/>
      <c r="G232" s="26"/>
      <c r="H232" s="20" t="str">
        <f>IFERROR(VLOOKUP(D232,'مراجع الوصفات'!$F$2:$I$253,3,FALSE),"")</f>
        <v/>
      </c>
      <c r="I232" s="22" t="str">
        <f t="shared" si="1"/>
        <v/>
      </c>
      <c r="J232" s="23"/>
      <c r="K232" s="26"/>
      <c r="L232" s="24" t="str">
        <f>IFERROR(VLOOKUP(D232,'مراجع الوصفات'!$F$2:$I$253,4,FALSE),"")</f>
        <v/>
      </c>
      <c r="M232" s="24" t="str">
        <f t="shared" si="2"/>
        <v/>
      </c>
      <c r="N232" s="26"/>
      <c r="O232" s="25" t="str">
        <f t="shared" si="3"/>
        <v/>
      </c>
    </row>
    <row r="233" ht="15.75" customHeight="1">
      <c r="A233" s="28"/>
      <c r="B233" s="26"/>
      <c r="C233" s="20" t="str">
        <f>IFERROR(VLOOKUP(B233,'مراجع الوصفات'!$A$2:$D$79,2,FALSE),"")</f>
        <v/>
      </c>
      <c r="D233" s="26"/>
      <c r="E233" s="20" t="str">
        <f>IFERROR(VLOOKUP(D233,'مراجع الوصفات'!$F$2:$I$253,2,FALSE),"")</f>
        <v/>
      </c>
      <c r="F233" s="21"/>
      <c r="G233" s="26"/>
      <c r="H233" s="20" t="str">
        <f>IFERROR(VLOOKUP(D233,'مراجع الوصفات'!$F$2:$I$253,3,FALSE),"")</f>
        <v/>
      </c>
      <c r="I233" s="22" t="str">
        <f t="shared" si="1"/>
        <v/>
      </c>
      <c r="J233" s="23"/>
      <c r="K233" s="26"/>
      <c r="L233" s="24" t="str">
        <f>IFERROR(VLOOKUP(D233,'مراجع الوصفات'!$F$2:$I$253,4,FALSE),"")</f>
        <v/>
      </c>
      <c r="M233" s="24" t="str">
        <f t="shared" si="2"/>
        <v/>
      </c>
      <c r="N233" s="26"/>
      <c r="O233" s="25" t="str">
        <f t="shared" si="3"/>
        <v/>
      </c>
    </row>
    <row r="234" ht="15.75" customHeight="1">
      <c r="A234" s="28"/>
      <c r="B234" s="26"/>
      <c r="C234" s="20" t="str">
        <f>IFERROR(VLOOKUP(B234,'مراجع الوصفات'!$A$2:$D$79,2,FALSE),"")</f>
        <v/>
      </c>
      <c r="D234" s="26"/>
      <c r="E234" s="20" t="str">
        <f>IFERROR(VLOOKUP(D234,'مراجع الوصفات'!$F$2:$I$253,2,FALSE),"")</f>
        <v/>
      </c>
      <c r="F234" s="21"/>
      <c r="G234" s="26"/>
      <c r="H234" s="20" t="str">
        <f>IFERROR(VLOOKUP(D234,'مراجع الوصفات'!$F$2:$I$253,3,FALSE),"")</f>
        <v/>
      </c>
      <c r="I234" s="22" t="str">
        <f t="shared" si="1"/>
        <v/>
      </c>
      <c r="J234" s="23"/>
      <c r="K234" s="26"/>
      <c r="L234" s="24" t="str">
        <f>IFERROR(VLOOKUP(D234,'مراجع الوصفات'!$F$2:$I$253,4,FALSE),"")</f>
        <v/>
      </c>
      <c r="M234" s="24" t="str">
        <f t="shared" si="2"/>
        <v/>
      </c>
      <c r="N234" s="26"/>
      <c r="O234" s="25" t="str">
        <f t="shared" si="3"/>
        <v/>
      </c>
    </row>
    <row r="235" ht="15.75" customHeight="1">
      <c r="A235" s="28"/>
      <c r="B235" s="26"/>
      <c r="C235" s="20" t="str">
        <f>IFERROR(VLOOKUP(B235,'مراجع الوصفات'!$A$2:$D$79,2,FALSE),"")</f>
        <v/>
      </c>
      <c r="D235" s="26"/>
      <c r="E235" s="20" t="str">
        <f>IFERROR(VLOOKUP(D235,'مراجع الوصفات'!$F$2:$I$253,2,FALSE),"")</f>
        <v/>
      </c>
      <c r="F235" s="21"/>
      <c r="G235" s="26"/>
      <c r="H235" s="20" t="str">
        <f>IFERROR(VLOOKUP(D235,'مراجع الوصفات'!$F$2:$I$253,3,FALSE),"")</f>
        <v/>
      </c>
      <c r="I235" s="22" t="str">
        <f t="shared" si="1"/>
        <v/>
      </c>
      <c r="J235" s="23"/>
      <c r="K235" s="26"/>
      <c r="L235" s="24" t="str">
        <f>IFERROR(VLOOKUP(D235,'مراجع الوصفات'!$F$2:$I$253,4,FALSE),"")</f>
        <v/>
      </c>
      <c r="M235" s="24" t="str">
        <f t="shared" si="2"/>
        <v/>
      </c>
      <c r="N235" s="26"/>
      <c r="O235" s="25" t="str">
        <f t="shared" si="3"/>
        <v/>
      </c>
    </row>
    <row r="236" ht="15.75" customHeight="1">
      <c r="A236" s="28"/>
      <c r="B236" s="26"/>
      <c r="C236" s="20" t="str">
        <f>IFERROR(VLOOKUP(B236,'مراجع الوصفات'!$A$2:$D$79,2,FALSE),"")</f>
        <v/>
      </c>
      <c r="D236" s="26"/>
      <c r="E236" s="20" t="str">
        <f>IFERROR(VLOOKUP(D236,'مراجع الوصفات'!$F$2:$I$253,2,FALSE),"")</f>
        <v/>
      </c>
      <c r="F236" s="21"/>
      <c r="G236" s="26"/>
      <c r="H236" s="20" t="str">
        <f>IFERROR(VLOOKUP(D236,'مراجع الوصفات'!$F$2:$I$253,3,FALSE),"")</f>
        <v/>
      </c>
      <c r="I236" s="22" t="str">
        <f t="shared" si="1"/>
        <v/>
      </c>
      <c r="J236" s="23"/>
      <c r="K236" s="26"/>
      <c r="L236" s="24" t="str">
        <f>IFERROR(VLOOKUP(D236,'مراجع الوصفات'!$F$2:$I$253,4,FALSE),"")</f>
        <v/>
      </c>
      <c r="M236" s="24" t="str">
        <f t="shared" si="2"/>
        <v/>
      </c>
      <c r="N236" s="26"/>
      <c r="O236" s="25" t="str">
        <f t="shared" si="3"/>
        <v/>
      </c>
    </row>
    <row r="237" ht="15.75" customHeight="1">
      <c r="A237" s="28"/>
      <c r="B237" s="26"/>
      <c r="C237" s="20" t="str">
        <f>IFERROR(VLOOKUP(B237,'مراجع الوصفات'!$A$2:$D$79,2,FALSE),"")</f>
        <v/>
      </c>
      <c r="D237" s="26"/>
      <c r="E237" s="20" t="str">
        <f>IFERROR(VLOOKUP(D237,'مراجع الوصفات'!$F$2:$I$253,2,FALSE),"")</f>
        <v/>
      </c>
      <c r="F237" s="21"/>
      <c r="G237" s="26"/>
      <c r="H237" s="20" t="str">
        <f>IFERROR(VLOOKUP(D237,'مراجع الوصفات'!$F$2:$I$253,3,FALSE),"")</f>
        <v/>
      </c>
      <c r="I237" s="22" t="str">
        <f t="shared" si="1"/>
        <v/>
      </c>
      <c r="J237" s="23"/>
      <c r="K237" s="26"/>
      <c r="L237" s="24" t="str">
        <f>IFERROR(VLOOKUP(D237,'مراجع الوصفات'!$F$2:$I$253,4,FALSE),"")</f>
        <v/>
      </c>
      <c r="M237" s="24" t="str">
        <f t="shared" si="2"/>
        <v/>
      </c>
      <c r="N237" s="26"/>
      <c r="O237" s="25" t="str">
        <f t="shared" si="3"/>
        <v/>
      </c>
    </row>
    <row r="238" ht="15.75" customHeight="1">
      <c r="A238" s="28"/>
      <c r="B238" s="26"/>
      <c r="C238" s="20" t="str">
        <f>IFERROR(VLOOKUP(B238,'مراجع الوصفات'!$A$2:$D$79,2,FALSE),"")</f>
        <v/>
      </c>
      <c r="D238" s="26"/>
      <c r="E238" s="20" t="str">
        <f>IFERROR(VLOOKUP(D238,'مراجع الوصفات'!$F$2:$I$253,2,FALSE),"")</f>
        <v/>
      </c>
      <c r="F238" s="21"/>
      <c r="G238" s="26"/>
      <c r="H238" s="20" t="str">
        <f>IFERROR(VLOOKUP(D238,'مراجع الوصفات'!$F$2:$I$253,3,FALSE),"")</f>
        <v/>
      </c>
      <c r="I238" s="22" t="str">
        <f t="shared" si="1"/>
        <v/>
      </c>
      <c r="J238" s="23"/>
      <c r="K238" s="26"/>
      <c r="L238" s="24" t="str">
        <f>IFERROR(VLOOKUP(D238,'مراجع الوصفات'!$F$2:$I$253,4,FALSE),"")</f>
        <v/>
      </c>
      <c r="M238" s="24" t="str">
        <f t="shared" si="2"/>
        <v/>
      </c>
      <c r="N238" s="26"/>
      <c r="O238" s="25" t="str">
        <f t="shared" si="3"/>
        <v/>
      </c>
    </row>
    <row r="239" ht="15.75" customHeight="1">
      <c r="A239" s="28"/>
      <c r="B239" s="26"/>
      <c r="C239" s="20" t="str">
        <f>IFERROR(VLOOKUP(B239,'مراجع الوصفات'!$A$2:$D$79,2,FALSE),"")</f>
        <v/>
      </c>
      <c r="D239" s="26"/>
      <c r="E239" s="20" t="str">
        <f>IFERROR(VLOOKUP(D239,'مراجع الوصفات'!$F$2:$I$253,2,FALSE),"")</f>
        <v/>
      </c>
      <c r="F239" s="21"/>
      <c r="G239" s="26"/>
      <c r="H239" s="20" t="str">
        <f>IFERROR(VLOOKUP(D239,'مراجع الوصفات'!$F$2:$I$253,3,FALSE),"")</f>
        <v/>
      </c>
      <c r="I239" s="22" t="str">
        <f t="shared" si="1"/>
        <v/>
      </c>
      <c r="J239" s="23"/>
      <c r="K239" s="26"/>
      <c r="L239" s="24" t="str">
        <f>IFERROR(VLOOKUP(D239,'مراجع الوصفات'!$F$2:$I$253,4,FALSE),"")</f>
        <v/>
      </c>
      <c r="M239" s="24" t="str">
        <f t="shared" si="2"/>
        <v/>
      </c>
      <c r="N239" s="26"/>
      <c r="O239" s="25" t="str">
        <f t="shared" si="3"/>
        <v/>
      </c>
    </row>
    <row r="240" ht="15.75" customHeight="1">
      <c r="A240" s="28"/>
      <c r="B240" s="26"/>
      <c r="C240" s="20" t="str">
        <f>IFERROR(VLOOKUP(B240,'مراجع الوصفات'!$A$2:$D$79,2,FALSE),"")</f>
        <v/>
      </c>
      <c r="D240" s="26"/>
      <c r="E240" s="20" t="str">
        <f>IFERROR(VLOOKUP(D240,'مراجع الوصفات'!$F$2:$I$253,2,FALSE),"")</f>
        <v/>
      </c>
      <c r="F240" s="21"/>
      <c r="G240" s="26"/>
      <c r="H240" s="20" t="str">
        <f>IFERROR(VLOOKUP(D240,'مراجع الوصفات'!$F$2:$I$253,3,FALSE),"")</f>
        <v/>
      </c>
      <c r="I240" s="22" t="str">
        <f t="shared" si="1"/>
        <v/>
      </c>
      <c r="J240" s="23"/>
      <c r="K240" s="26"/>
      <c r="L240" s="24" t="str">
        <f>IFERROR(VLOOKUP(D240,'مراجع الوصفات'!$F$2:$I$253,4,FALSE),"")</f>
        <v/>
      </c>
      <c r="M240" s="24" t="str">
        <f t="shared" si="2"/>
        <v/>
      </c>
      <c r="N240" s="26"/>
      <c r="O240" s="25" t="str">
        <f t="shared" si="3"/>
        <v/>
      </c>
    </row>
    <row r="241" ht="15.75" customHeight="1">
      <c r="A241" s="28"/>
      <c r="B241" s="26"/>
      <c r="C241" s="20" t="str">
        <f>IFERROR(VLOOKUP(B241,'مراجع الوصفات'!$A$2:$D$79,2,FALSE),"")</f>
        <v/>
      </c>
      <c r="D241" s="26"/>
      <c r="E241" s="20" t="str">
        <f>IFERROR(VLOOKUP(D241,'مراجع الوصفات'!$F$2:$I$253,2,FALSE),"")</f>
        <v/>
      </c>
      <c r="F241" s="21"/>
      <c r="G241" s="26"/>
      <c r="H241" s="20" t="str">
        <f>IFERROR(VLOOKUP(D241,'مراجع الوصفات'!$F$2:$I$253,3,FALSE),"")</f>
        <v/>
      </c>
      <c r="I241" s="22" t="str">
        <f t="shared" si="1"/>
        <v/>
      </c>
      <c r="J241" s="23"/>
      <c r="K241" s="26"/>
      <c r="L241" s="24" t="str">
        <f>IFERROR(VLOOKUP(D241,'مراجع الوصفات'!$F$2:$I$253,4,FALSE),"")</f>
        <v/>
      </c>
      <c r="M241" s="24" t="str">
        <f t="shared" si="2"/>
        <v/>
      </c>
      <c r="N241" s="26"/>
      <c r="O241" s="25" t="str">
        <f t="shared" si="3"/>
        <v/>
      </c>
    </row>
    <row r="242" ht="15.75" customHeight="1">
      <c r="A242" s="28"/>
      <c r="B242" s="26"/>
      <c r="C242" s="20" t="str">
        <f>IFERROR(VLOOKUP(B242,'مراجع الوصفات'!$A$2:$D$79,2,FALSE),"")</f>
        <v/>
      </c>
      <c r="D242" s="26"/>
      <c r="E242" s="20" t="str">
        <f>IFERROR(VLOOKUP(D242,'مراجع الوصفات'!$F$2:$I$253,2,FALSE),"")</f>
        <v/>
      </c>
      <c r="F242" s="21"/>
      <c r="G242" s="26"/>
      <c r="H242" s="20" t="str">
        <f>IFERROR(VLOOKUP(D242,'مراجع الوصفات'!$F$2:$I$253,3,FALSE),"")</f>
        <v/>
      </c>
      <c r="I242" s="22" t="str">
        <f t="shared" si="1"/>
        <v/>
      </c>
      <c r="J242" s="23"/>
      <c r="K242" s="26"/>
      <c r="L242" s="24" t="str">
        <f>IFERROR(VLOOKUP(D242,'مراجع الوصفات'!$F$2:$I$253,4,FALSE),"")</f>
        <v/>
      </c>
      <c r="M242" s="24" t="str">
        <f t="shared" si="2"/>
        <v/>
      </c>
      <c r="N242" s="26"/>
      <c r="O242" s="25" t="str">
        <f t="shared" si="3"/>
        <v/>
      </c>
    </row>
    <row r="243" ht="15.75" customHeight="1">
      <c r="A243" s="28"/>
      <c r="B243" s="26"/>
      <c r="C243" s="20" t="str">
        <f>IFERROR(VLOOKUP(B243,'مراجع الوصفات'!$A$2:$D$79,2,FALSE),"")</f>
        <v/>
      </c>
      <c r="D243" s="26"/>
      <c r="E243" s="20" t="str">
        <f>IFERROR(VLOOKUP(D243,'مراجع الوصفات'!$F$2:$I$253,2,FALSE),"")</f>
        <v/>
      </c>
      <c r="F243" s="21"/>
      <c r="G243" s="26"/>
      <c r="H243" s="20" t="str">
        <f>IFERROR(VLOOKUP(D243,'مراجع الوصفات'!$F$2:$I$253,3,FALSE),"")</f>
        <v/>
      </c>
      <c r="I243" s="22" t="str">
        <f t="shared" si="1"/>
        <v/>
      </c>
      <c r="J243" s="23"/>
      <c r="K243" s="26"/>
      <c r="L243" s="24" t="str">
        <f>IFERROR(VLOOKUP(D243,'مراجع الوصفات'!$F$2:$I$253,4,FALSE),"")</f>
        <v/>
      </c>
      <c r="M243" s="24" t="str">
        <f t="shared" si="2"/>
        <v/>
      </c>
      <c r="N243" s="26"/>
      <c r="O243" s="25" t="str">
        <f t="shared" si="3"/>
        <v/>
      </c>
    </row>
    <row r="244" ht="15.75" customHeight="1">
      <c r="A244" s="28"/>
      <c r="B244" s="26"/>
      <c r="C244" s="20" t="str">
        <f>IFERROR(VLOOKUP(B244,'مراجع الوصفات'!$A$2:$D$79,2,FALSE),"")</f>
        <v/>
      </c>
      <c r="D244" s="26"/>
      <c r="E244" s="20" t="str">
        <f>IFERROR(VLOOKUP(D244,'مراجع الوصفات'!$F$2:$I$253,2,FALSE),"")</f>
        <v/>
      </c>
      <c r="F244" s="21"/>
      <c r="G244" s="26"/>
      <c r="H244" s="20" t="str">
        <f>IFERROR(VLOOKUP(D244,'مراجع الوصفات'!$F$2:$I$253,3,FALSE),"")</f>
        <v/>
      </c>
      <c r="I244" s="22" t="str">
        <f t="shared" si="1"/>
        <v/>
      </c>
      <c r="J244" s="23"/>
      <c r="K244" s="26"/>
      <c r="L244" s="24" t="str">
        <f>IFERROR(VLOOKUP(D244,'مراجع الوصفات'!$F$2:$I$253,4,FALSE),"")</f>
        <v/>
      </c>
      <c r="M244" s="24" t="str">
        <f t="shared" si="2"/>
        <v/>
      </c>
      <c r="N244" s="26"/>
      <c r="O244" s="25" t="str">
        <f t="shared" si="3"/>
        <v/>
      </c>
    </row>
    <row r="245" ht="15.75" customHeight="1">
      <c r="A245" s="28"/>
      <c r="B245" s="26"/>
      <c r="C245" s="20" t="str">
        <f>IFERROR(VLOOKUP(B245,'مراجع الوصفات'!$A$2:$D$79,2,FALSE),"")</f>
        <v/>
      </c>
      <c r="D245" s="26"/>
      <c r="E245" s="20" t="str">
        <f>IFERROR(VLOOKUP(D245,'مراجع الوصفات'!$F$2:$I$253,2,FALSE),"")</f>
        <v/>
      </c>
      <c r="F245" s="21"/>
      <c r="G245" s="26"/>
      <c r="H245" s="20" t="str">
        <f>IFERROR(VLOOKUP(D245,'مراجع الوصفات'!$F$2:$I$253,3,FALSE),"")</f>
        <v/>
      </c>
      <c r="I245" s="22" t="str">
        <f t="shared" si="1"/>
        <v/>
      </c>
      <c r="J245" s="23"/>
      <c r="K245" s="26"/>
      <c r="L245" s="24" t="str">
        <f>IFERROR(VLOOKUP(D245,'مراجع الوصفات'!$F$2:$I$253,4,FALSE),"")</f>
        <v/>
      </c>
      <c r="M245" s="24" t="str">
        <f t="shared" si="2"/>
        <v/>
      </c>
      <c r="N245" s="26"/>
      <c r="O245" s="25" t="str">
        <f t="shared" si="3"/>
        <v/>
      </c>
    </row>
    <row r="246" ht="15.75" customHeight="1">
      <c r="A246" s="28"/>
      <c r="B246" s="26"/>
      <c r="C246" s="20" t="str">
        <f>IFERROR(VLOOKUP(B246,'مراجع الوصفات'!$A$2:$D$79,2,FALSE),"")</f>
        <v/>
      </c>
      <c r="D246" s="26"/>
      <c r="E246" s="20" t="str">
        <f>IFERROR(VLOOKUP(D246,'مراجع الوصفات'!$F$2:$I$253,2,FALSE),"")</f>
        <v/>
      </c>
      <c r="F246" s="21"/>
      <c r="G246" s="26"/>
      <c r="H246" s="20" t="str">
        <f>IFERROR(VLOOKUP(D246,'مراجع الوصفات'!$F$2:$I$253,3,FALSE),"")</f>
        <v/>
      </c>
      <c r="I246" s="22" t="str">
        <f t="shared" si="1"/>
        <v/>
      </c>
      <c r="J246" s="23"/>
      <c r="K246" s="26"/>
      <c r="L246" s="24" t="str">
        <f>IFERROR(VLOOKUP(D246,'مراجع الوصفات'!$F$2:$I$253,4,FALSE),"")</f>
        <v/>
      </c>
      <c r="M246" s="24" t="str">
        <f t="shared" si="2"/>
        <v/>
      </c>
      <c r="N246" s="26"/>
      <c r="O246" s="25" t="str">
        <f t="shared" si="3"/>
        <v/>
      </c>
    </row>
    <row r="247" ht="15.75" customHeight="1">
      <c r="A247" s="28"/>
      <c r="B247" s="26"/>
      <c r="C247" s="20" t="str">
        <f>IFERROR(VLOOKUP(B247,'مراجع الوصفات'!$A$2:$D$79,2,FALSE),"")</f>
        <v/>
      </c>
      <c r="D247" s="26"/>
      <c r="E247" s="20" t="str">
        <f>IFERROR(VLOOKUP(D247,'مراجع الوصفات'!$F$2:$I$253,2,FALSE),"")</f>
        <v/>
      </c>
      <c r="F247" s="21"/>
      <c r="G247" s="26"/>
      <c r="H247" s="20" t="str">
        <f>IFERROR(VLOOKUP(D247,'مراجع الوصفات'!$F$2:$I$253,3,FALSE),"")</f>
        <v/>
      </c>
      <c r="I247" s="22" t="str">
        <f t="shared" si="1"/>
        <v/>
      </c>
      <c r="J247" s="23"/>
      <c r="K247" s="26"/>
      <c r="L247" s="24" t="str">
        <f>IFERROR(VLOOKUP(D247,'مراجع الوصفات'!$F$2:$I$253,4,FALSE),"")</f>
        <v/>
      </c>
      <c r="M247" s="24" t="str">
        <f t="shared" si="2"/>
        <v/>
      </c>
      <c r="N247" s="26"/>
      <c r="O247" s="25" t="str">
        <f t="shared" si="3"/>
        <v/>
      </c>
    </row>
    <row r="248" ht="15.75" customHeight="1">
      <c r="A248" s="28"/>
      <c r="B248" s="26"/>
      <c r="C248" s="20" t="str">
        <f>IFERROR(VLOOKUP(B248,'مراجع الوصفات'!$A$2:$D$79,2,FALSE),"")</f>
        <v/>
      </c>
      <c r="D248" s="26"/>
      <c r="E248" s="20" t="str">
        <f>IFERROR(VLOOKUP(D248,'مراجع الوصفات'!$F$2:$I$253,2,FALSE),"")</f>
        <v/>
      </c>
      <c r="F248" s="21"/>
      <c r="G248" s="26"/>
      <c r="H248" s="20" t="str">
        <f>IFERROR(VLOOKUP(D248,'مراجع الوصفات'!$F$2:$I$253,3,FALSE),"")</f>
        <v/>
      </c>
      <c r="I248" s="22" t="str">
        <f t="shared" si="1"/>
        <v/>
      </c>
      <c r="J248" s="23"/>
      <c r="K248" s="26"/>
      <c r="L248" s="24" t="str">
        <f>IFERROR(VLOOKUP(D248,'مراجع الوصفات'!$F$2:$I$253,4,FALSE),"")</f>
        <v/>
      </c>
      <c r="M248" s="24" t="str">
        <f t="shared" si="2"/>
        <v/>
      </c>
      <c r="N248" s="26"/>
      <c r="O248" s="25" t="str">
        <f t="shared" si="3"/>
        <v/>
      </c>
    </row>
    <row r="249" ht="15.75" customHeight="1">
      <c r="A249" s="28"/>
      <c r="B249" s="26"/>
      <c r="C249" s="20" t="str">
        <f>IFERROR(VLOOKUP(B249,'مراجع الوصفات'!$A$2:$D$79,2,FALSE),"")</f>
        <v/>
      </c>
      <c r="D249" s="26"/>
      <c r="E249" s="20" t="str">
        <f>IFERROR(VLOOKUP(D249,'مراجع الوصفات'!$F$2:$I$253,2,FALSE),"")</f>
        <v/>
      </c>
      <c r="F249" s="21"/>
      <c r="G249" s="26"/>
      <c r="H249" s="20" t="str">
        <f>IFERROR(VLOOKUP(D249,'مراجع الوصفات'!$F$2:$I$253,3,FALSE),"")</f>
        <v/>
      </c>
      <c r="I249" s="22" t="str">
        <f t="shared" si="1"/>
        <v/>
      </c>
      <c r="J249" s="23"/>
      <c r="K249" s="26"/>
      <c r="L249" s="24" t="str">
        <f>IFERROR(VLOOKUP(D249,'مراجع الوصفات'!$F$2:$I$253,4,FALSE),"")</f>
        <v/>
      </c>
      <c r="M249" s="24" t="str">
        <f t="shared" si="2"/>
        <v/>
      </c>
      <c r="N249" s="26"/>
      <c r="O249" s="25" t="str">
        <f t="shared" si="3"/>
        <v/>
      </c>
    </row>
    <row r="250" ht="15.75" customHeight="1">
      <c r="A250" s="28"/>
      <c r="B250" s="26"/>
      <c r="C250" s="20" t="str">
        <f>IFERROR(VLOOKUP(B250,'مراجع الوصفات'!$A$2:$D$79,2,FALSE),"")</f>
        <v/>
      </c>
      <c r="D250" s="26"/>
      <c r="E250" s="20" t="str">
        <f>IFERROR(VLOOKUP(D250,'مراجع الوصفات'!$F$2:$I$253,2,FALSE),"")</f>
        <v/>
      </c>
      <c r="F250" s="21"/>
      <c r="G250" s="26"/>
      <c r="H250" s="20" t="str">
        <f>IFERROR(VLOOKUP(D250,'مراجع الوصفات'!$F$2:$I$253,3,FALSE),"")</f>
        <v/>
      </c>
      <c r="I250" s="22" t="str">
        <f t="shared" si="1"/>
        <v/>
      </c>
      <c r="J250" s="23"/>
      <c r="K250" s="26"/>
      <c r="L250" s="24" t="str">
        <f>IFERROR(VLOOKUP(D250,'مراجع الوصفات'!$F$2:$I$253,4,FALSE),"")</f>
        <v/>
      </c>
      <c r="M250" s="24" t="str">
        <f t="shared" si="2"/>
        <v/>
      </c>
      <c r="N250" s="26"/>
      <c r="O250" s="25" t="str">
        <f t="shared" si="3"/>
        <v/>
      </c>
    </row>
    <row r="251" ht="15.75" customHeight="1">
      <c r="A251" s="28"/>
      <c r="B251" s="26"/>
      <c r="C251" s="20" t="str">
        <f>IFERROR(VLOOKUP(B251,'مراجع الوصفات'!$A$2:$D$79,2,FALSE),"")</f>
        <v/>
      </c>
      <c r="D251" s="26"/>
      <c r="E251" s="20" t="str">
        <f>IFERROR(VLOOKUP(D251,'مراجع الوصفات'!$F$2:$I$253,2,FALSE),"")</f>
        <v/>
      </c>
      <c r="F251" s="21"/>
      <c r="G251" s="26"/>
      <c r="H251" s="20" t="str">
        <f>IFERROR(VLOOKUP(D251,'مراجع الوصفات'!$F$2:$I$253,3,FALSE),"")</f>
        <v/>
      </c>
      <c r="I251" s="22" t="str">
        <f t="shared" si="1"/>
        <v/>
      </c>
      <c r="J251" s="23"/>
      <c r="K251" s="26"/>
      <c r="L251" s="24" t="str">
        <f>IFERROR(VLOOKUP(D251,'مراجع الوصفات'!$F$2:$I$253,4,FALSE),"")</f>
        <v/>
      </c>
      <c r="M251" s="24" t="str">
        <f t="shared" si="2"/>
        <v/>
      </c>
      <c r="N251" s="26"/>
      <c r="O251" s="25" t="str">
        <f t="shared" si="3"/>
        <v/>
      </c>
    </row>
    <row r="252" ht="15.75" customHeight="1">
      <c r="A252" s="28"/>
      <c r="B252" s="26"/>
      <c r="C252" s="20" t="str">
        <f>IFERROR(VLOOKUP(B252,'مراجع الوصفات'!$A$2:$D$79,2,FALSE),"")</f>
        <v/>
      </c>
      <c r="D252" s="26"/>
      <c r="E252" s="20" t="str">
        <f>IFERROR(VLOOKUP(D252,'مراجع الوصفات'!$F$2:$I$253,2,FALSE),"")</f>
        <v/>
      </c>
      <c r="F252" s="21"/>
      <c r="G252" s="26"/>
      <c r="H252" s="20" t="str">
        <f>IFERROR(VLOOKUP(D252,'مراجع الوصفات'!$F$2:$I$253,3,FALSE),"")</f>
        <v/>
      </c>
      <c r="I252" s="22" t="str">
        <f t="shared" si="1"/>
        <v/>
      </c>
      <c r="J252" s="23"/>
      <c r="K252" s="26"/>
      <c r="L252" s="24" t="str">
        <f>IFERROR(VLOOKUP(D252,'مراجع الوصفات'!$F$2:$I$253,4,FALSE),"")</f>
        <v/>
      </c>
      <c r="M252" s="24" t="str">
        <f t="shared" si="2"/>
        <v/>
      </c>
      <c r="N252" s="26"/>
      <c r="O252" s="25" t="str">
        <f t="shared" si="3"/>
        <v/>
      </c>
    </row>
    <row r="253" ht="15.75" customHeight="1">
      <c r="A253" s="28"/>
      <c r="B253" s="26"/>
      <c r="C253" s="20" t="str">
        <f>IFERROR(VLOOKUP(B253,'مراجع الوصفات'!$A$2:$D$79,2,FALSE),"")</f>
        <v/>
      </c>
      <c r="D253" s="26"/>
      <c r="E253" s="20" t="str">
        <f>IFERROR(VLOOKUP(D253,'مراجع الوصفات'!$F$2:$I$253,2,FALSE),"")</f>
        <v/>
      </c>
      <c r="F253" s="21"/>
      <c r="G253" s="26"/>
      <c r="H253" s="20" t="str">
        <f>IFERROR(VLOOKUP(D253,'مراجع الوصفات'!$F$2:$I$253,3,FALSE),"")</f>
        <v/>
      </c>
      <c r="I253" s="22" t="str">
        <f t="shared" si="1"/>
        <v/>
      </c>
      <c r="J253" s="23"/>
      <c r="K253" s="26"/>
      <c r="L253" s="24" t="str">
        <f>IFERROR(VLOOKUP(D253,'مراجع الوصفات'!$F$2:$I$253,4,FALSE),"")</f>
        <v/>
      </c>
      <c r="M253" s="24" t="str">
        <f t="shared" si="2"/>
        <v/>
      </c>
      <c r="N253" s="26"/>
      <c r="O253" s="25" t="str">
        <f t="shared" si="3"/>
        <v/>
      </c>
    </row>
    <row r="254" ht="15.75" customHeight="1">
      <c r="A254" s="28"/>
      <c r="B254" s="26"/>
      <c r="C254" s="20" t="str">
        <f>IFERROR(VLOOKUP(B254,'مراجع الوصفات'!$A$2:$D$79,2,FALSE),"")</f>
        <v/>
      </c>
      <c r="D254" s="26"/>
      <c r="E254" s="20" t="str">
        <f>IFERROR(VLOOKUP(D254,'مراجع الوصفات'!$F$2:$I$253,2,FALSE),"")</f>
        <v/>
      </c>
      <c r="F254" s="21"/>
      <c r="G254" s="26"/>
      <c r="H254" s="20" t="str">
        <f>IFERROR(VLOOKUP(D254,'مراجع الوصفات'!$F$2:$I$253,3,FALSE),"")</f>
        <v/>
      </c>
      <c r="I254" s="22" t="str">
        <f t="shared" si="1"/>
        <v/>
      </c>
      <c r="J254" s="23"/>
      <c r="K254" s="26"/>
      <c r="L254" s="24" t="str">
        <f>IFERROR(VLOOKUP(D254,'مراجع الوصفات'!$F$2:$I$253,4,FALSE),"")</f>
        <v/>
      </c>
      <c r="M254" s="24" t="str">
        <f t="shared" si="2"/>
        <v/>
      </c>
      <c r="N254" s="26"/>
      <c r="O254" s="25" t="str">
        <f t="shared" si="3"/>
        <v/>
      </c>
    </row>
    <row r="255" ht="15.75" customHeight="1">
      <c r="A255" s="28"/>
      <c r="B255" s="26"/>
      <c r="C255" s="20" t="str">
        <f>IFERROR(VLOOKUP(B255,'مراجع الوصفات'!$A$2:$D$79,2,FALSE),"")</f>
        <v/>
      </c>
      <c r="D255" s="26"/>
      <c r="E255" s="20" t="str">
        <f>IFERROR(VLOOKUP(D255,'مراجع الوصفات'!$F$2:$I$253,2,FALSE),"")</f>
        <v/>
      </c>
      <c r="F255" s="21"/>
      <c r="G255" s="26"/>
      <c r="H255" s="20" t="str">
        <f>IFERROR(VLOOKUP(D255,'مراجع الوصفات'!$F$2:$I$253,3,FALSE),"")</f>
        <v/>
      </c>
      <c r="I255" s="22" t="str">
        <f t="shared" si="1"/>
        <v/>
      </c>
      <c r="J255" s="23"/>
      <c r="K255" s="26"/>
      <c r="L255" s="24" t="str">
        <f>IFERROR(VLOOKUP(D255,'مراجع الوصفات'!$F$2:$I$253,4,FALSE),"")</f>
        <v/>
      </c>
      <c r="M255" s="24" t="str">
        <f t="shared" si="2"/>
        <v/>
      </c>
      <c r="N255" s="26"/>
      <c r="O255" s="25" t="str">
        <f t="shared" si="3"/>
        <v/>
      </c>
    </row>
    <row r="256" ht="15.75" customHeight="1">
      <c r="A256" s="28"/>
      <c r="B256" s="26"/>
      <c r="C256" s="20" t="str">
        <f>IFERROR(VLOOKUP(B256,'مراجع الوصفات'!$A$2:$D$79,2,FALSE),"")</f>
        <v/>
      </c>
      <c r="D256" s="26"/>
      <c r="E256" s="20" t="str">
        <f>IFERROR(VLOOKUP(D256,'مراجع الوصفات'!$F$2:$I$253,2,FALSE),"")</f>
        <v/>
      </c>
      <c r="F256" s="21"/>
      <c r="G256" s="26"/>
      <c r="H256" s="20" t="str">
        <f>IFERROR(VLOOKUP(D256,'مراجع الوصفات'!$F$2:$I$253,3,FALSE),"")</f>
        <v/>
      </c>
      <c r="I256" s="22" t="str">
        <f t="shared" si="1"/>
        <v/>
      </c>
      <c r="J256" s="23"/>
      <c r="K256" s="26"/>
      <c r="L256" s="24" t="str">
        <f>IFERROR(VLOOKUP(D256,'مراجع الوصفات'!$F$2:$I$253,4,FALSE),"")</f>
        <v/>
      </c>
      <c r="M256" s="24" t="str">
        <f t="shared" si="2"/>
        <v/>
      </c>
      <c r="N256" s="26"/>
      <c r="O256" s="25" t="str">
        <f t="shared" si="3"/>
        <v/>
      </c>
    </row>
    <row r="257" ht="15.75" customHeight="1">
      <c r="A257" s="28"/>
      <c r="B257" s="26"/>
      <c r="C257" s="20" t="str">
        <f>IFERROR(VLOOKUP(B257,'مراجع الوصفات'!$A$2:$D$79,2,FALSE),"")</f>
        <v/>
      </c>
      <c r="D257" s="26"/>
      <c r="E257" s="20" t="str">
        <f>IFERROR(VLOOKUP(D257,'مراجع الوصفات'!$F$2:$I$253,2,FALSE),"")</f>
        <v/>
      </c>
      <c r="F257" s="21"/>
      <c r="G257" s="26"/>
      <c r="H257" s="20" t="str">
        <f>IFERROR(VLOOKUP(D257,'مراجع الوصفات'!$F$2:$I$253,3,FALSE),"")</f>
        <v/>
      </c>
      <c r="I257" s="22" t="str">
        <f t="shared" si="1"/>
        <v/>
      </c>
      <c r="J257" s="23"/>
      <c r="K257" s="26"/>
      <c r="L257" s="24" t="str">
        <f>IFERROR(VLOOKUP(D257,'مراجع الوصفات'!$F$2:$I$253,4,FALSE),"")</f>
        <v/>
      </c>
      <c r="M257" s="24" t="str">
        <f t="shared" si="2"/>
        <v/>
      </c>
      <c r="N257" s="26"/>
      <c r="O257" s="25" t="str">
        <f t="shared" si="3"/>
        <v/>
      </c>
    </row>
    <row r="258" ht="15.75" customHeight="1">
      <c r="A258" s="28"/>
      <c r="B258" s="26"/>
      <c r="C258" s="20" t="str">
        <f>IFERROR(VLOOKUP(B258,'مراجع الوصفات'!$A$2:$D$79,2,FALSE),"")</f>
        <v/>
      </c>
      <c r="D258" s="26"/>
      <c r="E258" s="20" t="str">
        <f>IFERROR(VLOOKUP(D258,'مراجع الوصفات'!$F$2:$I$253,2,FALSE),"")</f>
        <v/>
      </c>
      <c r="F258" s="21"/>
      <c r="G258" s="26"/>
      <c r="H258" s="20" t="str">
        <f>IFERROR(VLOOKUP(D258,'مراجع الوصفات'!$F$2:$I$253,3,FALSE),"")</f>
        <v/>
      </c>
      <c r="I258" s="22" t="str">
        <f t="shared" si="1"/>
        <v/>
      </c>
      <c r="J258" s="23"/>
      <c r="K258" s="26"/>
      <c r="L258" s="24" t="str">
        <f>IFERROR(VLOOKUP(D258,'مراجع الوصفات'!$F$2:$I$253,4,FALSE),"")</f>
        <v/>
      </c>
      <c r="M258" s="24" t="str">
        <f t="shared" si="2"/>
        <v/>
      </c>
      <c r="N258" s="26"/>
      <c r="O258" s="25" t="str">
        <f t="shared" si="3"/>
        <v/>
      </c>
    </row>
    <row r="259" ht="15.75" customHeight="1">
      <c r="A259" s="28"/>
      <c r="B259" s="26"/>
      <c r="C259" s="20" t="str">
        <f>IFERROR(VLOOKUP(B259,'مراجع الوصفات'!$A$2:$D$79,2,FALSE),"")</f>
        <v/>
      </c>
      <c r="D259" s="26"/>
      <c r="E259" s="20" t="str">
        <f>IFERROR(VLOOKUP(D259,'مراجع الوصفات'!$F$2:$I$253,2,FALSE),"")</f>
        <v/>
      </c>
      <c r="F259" s="21"/>
      <c r="G259" s="26"/>
      <c r="H259" s="20" t="str">
        <f>IFERROR(VLOOKUP(D259,'مراجع الوصفات'!$F$2:$I$253,3,FALSE),"")</f>
        <v/>
      </c>
      <c r="I259" s="22" t="str">
        <f t="shared" si="1"/>
        <v/>
      </c>
      <c r="J259" s="23"/>
      <c r="K259" s="26"/>
      <c r="L259" s="24" t="str">
        <f>IFERROR(VLOOKUP(D259,'مراجع الوصفات'!$F$2:$I$253,4,FALSE),"")</f>
        <v/>
      </c>
      <c r="M259" s="24" t="str">
        <f t="shared" si="2"/>
        <v/>
      </c>
      <c r="N259" s="26"/>
      <c r="O259" s="25" t="str">
        <f t="shared" si="3"/>
        <v/>
      </c>
    </row>
    <row r="260" ht="15.75" customHeight="1">
      <c r="A260" s="28"/>
      <c r="B260" s="26"/>
      <c r="C260" s="20" t="str">
        <f>IFERROR(VLOOKUP(B260,'مراجع الوصفات'!$A$2:$D$79,2,FALSE),"")</f>
        <v/>
      </c>
      <c r="D260" s="26"/>
      <c r="E260" s="20" t="str">
        <f>IFERROR(VLOOKUP(D260,'مراجع الوصفات'!$F$2:$I$253,2,FALSE),"")</f>
        <v/>
      </c>
      <c r="F260" s="21"/>
      <c r="G260" s="26"/>
      <c r="H260" s="20" t="str">
        <f>IFERROR(VLOOKUP(D260,'مراجع الوصفات'!$F$2:$I$253,3,FALSE),"")</f>
        <v/>
      </c>
      <c r="I260" s="22" t="str">
        <f t="shared" si="1"/>
        <v/>
      </c>
      <c r="J260" s="23"/>
      <c r="K260" s="26"/>
      <c r="L260" s="24" t="str">
        <f>IFERROR(VLOOKUP(D260,'مراجع الوصفات'!$F$2:$I$253,4,FALSE),"")</f>
        <v/>
      </c>
      <c r="M260" s="24" t="str">
        <f t="shared" si="2"/>
        <v/>
      </c>
      <c r="N260" s="26"/>
      <c r="O260" s="25" t="str">
        <f t="shared" si="3"/>
        <v/>
      </c>
    </row>
    <row r="261" ht="15.75" customHeight="1">
      <c r="A261" s="28"/>
      <c r="B261" s="26"/>
      <c r="C261" s="20" t="str">
        <f>IFERROR(VLOOKUP(B261,'مراجع الوصفات'!$A$2:$D$79,2,FALSE),"")</f>
        <v/>
      </c>
      <c r="D261" s="26"/>
      <c r="E261" s="20" t="str">
        <f>IFERROR(VLOOKUP(D261,'مراجع الوصفات'!$F$2:$I$253,2,FALSE),"")</f>
        <v/>
      </c>
      <c r="F261" s="21"/>
      <c r="G261" s="26"/>
      <c r="H261" s="20" t="str">
        <f>IFERROR(VLOOKUP(D261,'مراجع الوصفات'!$F$2:$I$253,3,FALSE),"")</f>
        <v/>
      </c>
      <c r="I261" s="22" t="str">
        <f t="shared" si="1"/>
        <v/>
      </c>
      <c r="J261" s="23"/>
      <c r="K261" s="26"/>
      <c r="L261" s="24" t="str">
        <f>IFERROR(VLOOKUP(D261,'مراجع الوصفات'!$F$2:$I$253,4,FALSE),"")</f>
        <v/>
      </c>
      <c r="M261" s="24" t="str">
        <f t="shared" si="2"/>
        <v/>
      </c>
      <c r="N261" s="26"/>
      <c r="O261" s="25" t="str">
        <f t="shared" si="3"/>
        <v/>
      </c>
    </row>
    <row r="262" ht="15.75" customHeight="1">
      <c r="A262" s="28"/>
      <c r="B262" s="26"/>
      <c r="C262" s="20" t="str">
        <f>IFERROR(VLOOKUP(B262,'مراجع الوصفات'!$A$2:$D$79,2,FALSE),"")</f>
        <v/>
      </c>
      <c r="D262" s="26"/>
      <c r="E262" s="20" t="str">
        <f>IFERROR(VLOOKUP(D262,'مراجع الوصفات'!$F$2:$I$253,2,FALSE),"")</f>
        <v/>
      </c>
      <c r="F262" s="21"/>
      <c r="G262" s="26"/>
      <c r="H262" s="20" t="str">
        <f>IFERROR(VLOOKUP(D262,'مراجع الوصفات'!$F$2:$I$253,3,FALSE),"")</f>
        <v/>
      </c>
      <c r="I262" s="22" t="str">
        <f t="shared" si="1"/>
        <v/>
      </c>
      <c r="J262" s="23"/>
      <c r="K262" s="26"/>
      <c r="L262" s="24" t="str">
        <f>IFERROR(VLOOKUP(D262,'مراجع الوصفات'!$F$2:$I$253,4,FALSE),"")</f>
        <v/>
      </c>
      <c r="M262" s="24" t="str">
        <f t="shared" si="2"/>
        <v/>
      </c>
      <c r="N262" s="26"/>
      <c r="O262" s="25" t="str">
        <f t="shared" si="3"/>
        <v/>
      </c>
    </row>
    <row r="263" ht="15.75" customHeight="1">
      <c r="A263" s="28"/>
      <c r="B263" s="26"/>
      <c r="C263" s="20" t="str">
        <f>IFERROR(VLOOKUP(B263,'مراجع الوصفات'!$A$2:$D$79,2,FALSE),"")</f>
        <v/>
      </c>
      <c r="D263" s="26"/>
      <c r="E263" s="20" t="str">
        <f>IFERROR(VLOOKUP(D263,'مراجع الوصفات'!$F$2:$I$253,2,FALSE),"")</f>
        <v/>
      </c>
      <c r="F263" s="21"/>
      <c r="G263" s="26"/>
      <c r="H263" s="20" t="str">
        <f>IFERROR(VLOOKUP(D263,'مراجع الوصفات'!$F$2:$I$253,3,FALSE),"")</f>
        <v/>
      </c>
      <c r="I263" s="22" t="str">
        <f t="shared" si="1"/>
        <v/>
      </c>
      <c r="J263" s="23"/>
      <c r="K263" s="26"/>
      <c r="L263" s="24" t="str">
        <f>IFERROR(VLOOKUP(D263,'مراجع الوصفات'!$F$2:$I$253,4,FALSE),"")</f>
        <v/>
      </c>
      <c r="M263" s="24" t="str">
        <f t="shared" si="2"/>
        <v/>
      </c>
      <c r="N263" s="26"/>
      <c r="O263" s="25" t="str">
        <f t="shared" si="3"/>
        <v/>
      </c>
    </row>
    <row r="264" ht="15.75" customHeight="1">
      <c r="A264" s="28"/>
      <c r="B264" s="26"/>
      <c r="C264" s="20" t="str">
        <f>IFERROR(VLOOKUP(B264,'مراجع الوصفات'!$A$2:$D$79,2,FALSE),"")</f>
        <v/>
      </c>
      <c r="D264" s="26"/>
      <c r="E264" s="20" t="str">
        <f>IFERROR(VLOOKUP(D264,'مراجع الوصفات'!$F$2:$I$253,2,FALSE),"")</f>
        <v/>
      </c>
      <c r="F264" s="21"/>
      <c r="G264" s="26"/>
      <c r="H264" s="20" t="str">
        <f>IFERROR(VLOOKUP(D264,'مراجع الوصفات'!$F$2:$I$253,3,FALSE),"")</f>
        <v/>
      </c>
      <c r="I264" s="22" t="str">
        <f t="shared" si="1"/>
        <v/>
      </c>
      <c r="J264" s="23"/>
      <c r="K264" s="26"/>
      <c r="L264" s="24" t="str">
        <f>IFERROR(VLOOKUP(D264,'مراجع الوصفات'!$F$2:$I$253,4,FALSE),"")</f>
        <v/>
      </c>
      <c r="M264" s="24" t="str">
        <f t="shared" si="2"/>
        <v/>
      </c>
      <c r="N264" s="26"/>
      <c r="O264" s="25" t="str">
        <f t="shared" si="3"/>
        <v/>
      </c>
    </row>
    <row r="265" ht="15.75" customHeight="1">
      <c r="A265" s="28"/>
      <c r="B265" s="26"/>
      <c r="C265" s="20" t="str">
        <f>IFERROR(VLOOKUP(B265,'مراجع الوصفات'!$A$2:$D$79,2,FALSE),"")</f>
        <v/>
      </c>
      <c r="D265" s="26"/>
      <c r="E265" s="20" t="str">
        <f>IFERROR(VLOOKUP(D265,'مراجع الوصفات'!$F$2:$I$253,2,FALSE),"")</f>
        <v/>
      </c>
      <c r="F265" s="21"/>
      <c r="G265" s="26"/>
      <c r="H265" s="20" t="str">
        <f>IFERROR(VLOOKUP(D265,'مراجع الوصفات'!$F$2:$I$253,3,FALSE),"")</f>
        <v/>
      </c>
      <c r="I265" s="22" t="str">
        <f t="shared" si="1"/>
        <v/>
      </c>
      <c r="J265" s="23"/>
      <c r="K265" s="26"/>
      <c r="L265" s="24" t="str">
        <f>IFERROR(VLOOKUP(D265,'مراجع الوصفات'!$F$2:$I$253,4,FALSE),"")</f>
        <v/>
      </c>
      <c r="M265" s="24" t="str">
        <f t="shared" si="2"/>
        <v/>
      </c>
      <c r="N265" s="26"/>
      <c r="O265" s="25" t="str">
        <f t="shared" si="3"/>
        <v/>
      </c>
    </row>
    <row r="266" ht="15.75" customHeight="1">
      <c r="A266" s="28"/>
      <c r="B266" s="26"/>
      <c r="C266" s="20" t="str">
        <f>IFERROR(VLOOKUP(B266,'مراجع الوصفات'!$A$2:$D$79,2,FALSE),"")</f>
        <v/>
      </c>
      <c r="D266" s="26"/>
      <c r="E266" s="20" t="str">
        <f>IFERROR(VLOOKUP(D266,'مراجع الوصفات'!$F$2:$I$253,2,FALSE),"")</f>
        <v/>
      </c>
      <c r="F266" s="21"/>
      <c r="G266" s="26"/>
      <c r="H266" s="20" t="str">
        <f>IFERROR(VLOOKUP(D266,'مراجع الوصفات'!$F$2:$I$253,3,FALSE),"")</f>
        <v/>
      </c>
      <c r="I266" s="22" t="str">
        <f t="shared" si="1"/>
        <v/>
      </c>
      <c r="J266" s="23"/>
      <c r="K266" s="26"/>
      <c r="L266" s="24" t="str">
        <f>IFERROR(VLOOKUP(D266,'مراجع الوصفات'!$F$2:$I$253,4,FALSE),"")</f>
        <v/>
      </c>
      <c r="M266" s="24" t="str">
        <f t="shared" si="2"/>
        <v/>
      </c>
      <c r="N266" s="26"/>
      <c r="O266" s="25" t="str">
        <f t="shared" si="3"/>
        <v/>
      </c>
    </row>
    <row r="267" ht="15.75" customHeight="1">
      <c r="A267" s="28"/>
      <c r="B267" s="26"/>
      <c r="C267" s="20" t="str">
        <f>IFERROR(VLOOKUP(B267,'مراجع الوصفات'!$A$2:$D$79,2,FALSE),"")</f>
        <v/>
      </c>
      <c r="D267" s="26"/>
      <c r="E267" s="20" t="str">
        <f>IFERROR(VLOOKUP(D267,'مراجع الوصفات'!$F$2:$I$253,2,FALSE),"")</f>
        <v/>
      </c>
      <c r="F267" s="21"/>
      <c r="G267" s="26"/>
      <c r="H267" s="20" t="str">
        <f>IFERROR(VLOOKUP(D267,'مراجع الوصفات'!$F$2:$I$253,3,FALSE),"")</f>
        <v/>
      </c>
      <c r="I267" s="22" t="str">
        <f t="shared" si="1"/>
        <v/>
      </c>
      <c r="J267" s="23"/>
      <c r="K267" s="26"/>
      <c r="L267" s="24" t="str">
        <f>IFERROR(VLOOKUP(D267,'مراجع الوصفات'!$F$2:$I$253,4,FALSE),"")</f>
        <v/>
      </c>
      <c r="M267" s="24" t="str">
        <f t="shared" si="2"/>
        <v/>
      </c>
      <c r="N267" s="26"/>
      <c r="O267" s="25" t="str">
        <f t="shared" si="3"/>
        <v/>
      </c>
    </row>
    <row r="268" ht="15.75" customHeight="1">
      <c r="A268" s="28"/>
      <c r="B268" s="26"/>
      <c r="C268" s="20" t="str">
        <f>IFERROR(VLOOKUP(B268,'مراجع الوصفات'!$A$2:$D$79,2,FALSE),"")</f>
        <v/>
      </c>
      <c r="D268" s="26"/>
      <c r="E268" s="20" t="str">
        <f>IFERROR(VLOOKUP(D268,'مراجع الوصفات'!$F$2:$I$253,2,FALSE),"")</f>
        <v/>
      </c>
      <c r="F268" s="21"/>
      <c r="G268" s="26"/>
      <c r="H268" s="20" t="str">
        <f>IFERROR(VLOOKUP(D268,'مراجع الوصفات'!$F$2:$I$253,3,FALSE),"")</f>
        <v/>
      </c>
      <c r="I268" s="22" t="str">
        <f t="shared" si="1"/>
        <v/>
      </c>
      <c r="J268" s="23"/>
      <c r="K268" s="26"/>
      <c r="L268" s="24" t="str">
        <f>IFERROR(VLOOKUP(D268,'مراجع الوصفات'!$F$2:$I$253,4,FALSE),"")</f>
        <v/>
      </c>
      <c r="M268" s="24" t="str">
        <f t="shared" si="2"/>
        <v/>
      </c>
      <c r="N268" s="26"/>
      <c r="O268" s="25" t="str">
        <f t="shared" si="3"/>
        <v/>
      </c>
    </row>
    <row r="269" ht="15.75" customHeight="1">
      <c r="A269" s="28"/>
      <c r="B269" s="26"/>
      <c r="C269" s="20" t="str">
        <f>IFERROR(VLOOKUP(B269,'مراجع الوصفات'!$A$2:$D$79,2,FALSE),"")</f>
        <v/>
      </c>
      <c r="D269" s="26"/>
      <c r="E269" s="20" t="str">
        <f>IFERROR(VLOOKUP(D269,'مراجع الوصفات'!$F$2:$I$253,2,FALSE),"")</f>
        <v/>
      </c>
      <c r="F269" s="21"/>
      <c r="G269" s="26"/>
      <c r="H269" s="20" t="str">
        <f>IFERROR(VLOOKUP(D269,'مراجع الوصفات'!$F$2:$I$253,3,FALSE),"")</f>
        <v/>
      </c>
      <c r="I269" s="22" t="str">
        <f t="shared" si="1"/>
        <v/>
      </c>
      <c r="J269" s="23"/>
      <c r="K269" s="26"/>
      <c r="L269" s="24" t="str">
        <f>IFERROR(VLOOKUP(D269,'مراجع الوصفات'!$F$2:$I$253,4,FALSE),"")</f>
        <v/>
      </c>
      <c r="M269" s="24" t="str">
        <f t="shared" si="2"/>
        <v/>
      </c>
      <c r="N269" s="26"/>
      <c r="O269" s="25" t="str">
        <f t="shared" si="3"/>
        <v/>
      </c>
    </row>
    <row r="270" ht="15.75" customHeight="1">
      <c r="A270" s="28"/>
      <c r="B270" s="26"/>
      <c r="C270" s="20" t="str">
        <f>IFERROR(VLOOKUP(B270,'مراجع الوصفات'!$A$2:$D$79,2,FALSE),"")</f>
        <v/>
      </c>
      <c r="D270" s="26"/>
      <c r="E270" s="20" t="str">
        <f>IFERROR(VLOOKUP(D270,'مراجع الوصفات'!$F$2:$I$253,2,FALSE),"")</f>
        <v/>
      </c>
      <c r="F270" s="21"/>
      <c r="G270" s="26"/>
      <c r="H270" s="20" t="str">
        <f>IFERROR(VLOOKUP(D270,'مراجع الوصفات'!$F$2:$I$253,3,FALSE),"")</f>
        <v/>
      </c>
      <c r="I270" s="22" t="str">
        <f t="shared" si="1"/>
        <v/>
      </c>
      <c r="J270" s="23"/>
      <c r="K270" s="26"/>
      <c r="L270" s="24" t="str">
        <f>IFERROR(VLOOKUP(D270,'مراجع الوصفات'!$F$2:$I$253,4,FALSE),"")</f>
        <v/>
      </c>
      <c r="M270" s="24" t="str">
        <f t="shared" si="2"/>
        <v/>
      </c>
      <c r="N270" s="26"/>
      <c r="O270" s="25" t="str">
        <f t="shared" si="3"/>
        <v/>
      </c>
    </row>
    <row r="271" ht="15.75" customHeight="1">
      <c r="A271" s="28"/>
      <c r="B271" s="26"/>
      <c r="C271" s="20" t="str">
        <f>IFERROR(VLOOKUP(B271,'مراجع الوصفات'!$A$2:$D$79,2,FALSE),"")</f>
        <v/>
      </c>
      <c r="D271" s="26"/>
      <c r="E271" s="20" t="str">
        <f>IFERROR(VLOOKUP(D271,'مراجع الوصفات'!$F$2:$I$253,2,FALSE),"")</f>
        <v/>
      </c>
      <c r="F271" s="21"/>
      <c r="G271" s="26"/>
      <c r="H271" s="20" t="str">
        <f>IFERROR(VLOOKUP(D271,'مراجع الوصفات'!$F$2:$I$253,3,FALSE),"")</f>
        <v/>
      </c>
      <c r="I271" s="22" t="str">
        <f t="shared" si="1"/>
        <v/>
      </c>
      <c r="J271" s="23"/>
      <c r="K271" s="26"/>
      <c r="L271" s="24" t="str">
        <f>IFERROR(VLOOKUP(D271,'مراجع الوصفات'!$F$2:$I$253,4,FALSE),"")</f>
        <v/>
      </c>
      <c r="M271" s="24" t="str">
        <f t="shared" si="2"/>
        <v/>
      </c>
      <c r="N271" s="26"/>
      <c r="O271" s="25" t="str">
        <f t="shared" si="3"/>
        <v/>
      </c>
    </row>
    <row r="272" ht="15.75" customHeight="1">
      <c r="A272" s="28"/>
      <c r="B272" s="26"/>
      <c r="C272" s="20" t="str">
        <f>IFERROR(VLOOKUP(B272,'مراجع الوصفات'!$A$2:$D$79,2,FALSE),"")</f>
        <v/>
      </c>
      <c r="D272" s="26"/>
      <c r="E272" s="20" t="str">
        <f>IFERROR(VLOOKUP(D272,'مراجع الوصفات'!$F$2:$I$253,2,FALSE),"")</f>
        <v/>
      </c>
      <c r="F272" s="21"/>
      <c r="G272" s="26"/>
      <c r="H272" s="20" t="str">
        <f>IFERROR(VLOOKUP(D272,'مراجع الوصفات'!$F$2:$I$253,3,FALSE),"")</f>
        <v/>
      </c>
      <c r="I272" s="22" t="str">
        <f t="shared" si="1"/>
        <v/>
      </c>
      <c r="J272" s="23"/>
      <c r="K272" s="26"/>
      <c r="L272" s="24" t="str">
        <f>IFERROR(VLOOKUP(D272,'مراجع الوصفات'!$F$2:$I$253,4,FALSE),"")</f>
        <v/>
      </c>
      <c r="M272" s="24" t="str">
        <f t="shared" si="2"/>
        <v/>
      </c>
      <c r="N272" s="26"/>
      <c r="O272" s="25" t="str">
        <f t="shared" si="3"/>
        <v/>
      </c>
    </row>
    <row r="273" ht="15.75" customHeight="1">
      <c r="A273" s="28"/>
      <c r="B273" s="26"/>
      <c r="C273" s="20" t="str">
        <f>IFERROR(VLOOKUP(B273,'مراجع الوصفات'!$A$2:$D$79,2,FALSE),"")</f>
        <v/>
      </c>
      <c r="D273" s="26"/>
      <c r="E273" s="20" t="str">
        <f>IFERROR(VLOOKUP(D273,'مراجع الوصفات'!$F$2:$I$253,2,FALSE),"")</f>
        <v/>
      </c>
      <c r="F273" s="21"/>
      <c r="G273" s="26"/>
      <c r="H273" s="20" t="str">
        <f>IFERROR(VLOOKUP(D273,'مراجع الوصفات'!$F$2:$I$253,3,FALSE),"")</f>
        <v/>
      </c>
      <c r="I273" s="22" t="str">
        <f t="shared" si="1"/>
        <v/>
      </c>
      <c r="J273" s="23"/>
      <c r="K273" s="26"/>
      <c r="L273" s="24" t="str">
        <f>IFERROR(VLOOKUP(D273,'مراجع الوصفات'!$F$2:$I$253,4,FALSE),"")</f>
        <v/>
      </c>
      <c r="M273" s="24" t="str">
        <f t="shared" si="2"/>
        <v/>
      </c>
      <c r="N273" s="26"/>
      <c r="O273" s="25" t="str">
        <f t="shared" si="3"/>
        <v/>
      </c>
    </row>
    <row r="274" ht="15.75" customHeight="1">
      <c r="A274" s="28"/>
      <c r="B274" s="26"/>
      <c r="C274" s="20" t="str">
        <f>IFERROR(VLOOKUP(B274,'مراجع الوصفات'!$A$2:$D$79,2,FALSE),"")</f>
        <v/>
      </c>
      <c r="D274" s="26"/>
      <c r="E274" s="20" t="str">
        <f>IFERROR(VLOOKUP(D274,'مراجع الوصفات'!$F$2:$I$253,2,FALSE),"")</f>
        <v/>
      </c>
      <c r="F274" s="21"/>
      <c r="G274" s="26"/>
      <c r="H274" s="20" t="str">
        <f>IFERROR(VLOOKUP(D274,'مراجع الوصفات'!$F$2:$I$253,3,FALSE),"")</f>
        <v/>
      </c>
      <c r="I274" s="22" t="str">
        <f t="shared" si="1"/>
        <v/>
      </c>
      <c r="J274" s="23"/>
      <c r="K274" s="26"/>
      <c r="L274" s="24" t="str">
        <f>IFERROR(VLOOKUP(D274,'مراجع الوصفات'!$F$2:$I$253,4,FALSE),"")</f>
        <v/>
      </c>
      <c r="M274" s="24" t="str">
        <f t="shared" si="2"/>
        <v/>
      </c>
      <c r="N274" s="26"/>
      <c r="O274" s="25" t="str">
        <f t="shared" si="3"/>
        <v/>
      </c>
    </row>
    <row r="275" ht="15.75" customHeight="1">
      <c r="A275" s="28"/>
      <c r="B275" s="26"/>
      <c r="C275" s="20" t="str">
        <f>IFERROR(VLOOKUP(B275,'مراجع الوصفات'!$A$2:$D$79,2,FALSE),"")</f>
        <v/>
      </c>
      <c r="D275" s="26"/>
      <c r="E275" s="20" t="str">
        <f>IFERROR(VLOOKUP(D275,'مراجع الوصفات'!$F$2:$I$253,2,FALSE),"")</f>
        <v/>
      </c>
      <c r="F275" s="21"/>
      <c r="G275" s="26"/>
      <c r="H275" s="20" t="str">
        <f>IFERROR(VLOOKUP(D275,'مراجع الوصفات'!$F$2:$I$253,3,FALSE),"")</f>
        <v/>
      </c>
      <c r="I275" s="22" t="str">
        <f t="shared" si="1"/>
        <v/>
      </c>
      <c r="J275" s="23"/>
      <c r="K275" s="26"/>
      <c r="L275" s="24" t="str">
        <f>IFERROR(VLOOKUP(D275,'مراجع الوصفات'!$F$2:$I$253,4,FALSE),"")</f>
        <v/>
      </c>
      <c r="M275" s="24" t="str">
        <f t="shared" si="2"/>
        <v/>
      </c>
      <c r="N275" s="26"/>
      <c r="O275" s="25" t="str">
        <f t="shared" si="3"/>
        <v/>
      </c>
    </row>
    <row r="276" ht="15.75" customHeight="1">
      <c r="A276" s="28"/>
      <c r="B276" s="26"/>
      <c r="C276" s="20" t="str">
        <f>IFERROR(VLOOKUP(B276,'مراجع الوصفات'!$A$2:$D$79,2,FALSE),"")</f>
        <v/>
      </c>
      <c r="D276" s="26"/>
      <c r="E276" s="20" t="str">
        <f>IFERROR(VLOOKUP(D276,'مراجع الوصفات'!$F$2:$I$253,2,FALSE),"")</f>
        <v/>
      </c>
      <c r="F276" s="21"/>
      <c r="G276" s="26"/>
      <c r="H276" s="20" t="str">
        <f>IFERROR(VLOOKUP(D276,'مراجع الوصفات'!$F$2:$I$253,3,FALSE),"")</f>
        <v/>
      </c>
      <c r="I276" s="22" t="str">
        <f t="shared" si="1"/>
        <v/>
      </c>
      <c r="J276" s="23"/>
      <c r="K276" s="26"/>
      <c r="L276" s="24" t="str">
        <f>IFERROR(VLOOKUP(D276,'مراجع الوصفات'!$F$2:$I$253,4,FALSE),"")</f>
        <v/>
      </c>
      <c r="M276" s="24" t="str">
        <f t="shared" si="2"/>
        <v/>
      </c>
      <c r="N276" s="26"/>
      <c r="O276" s="25" t="str">
        <f t="shared" si="3"/>
        <v/>
      </c>
    </row>
    <row r="277" ht="15.75" customHeight="1">
      <c r="A277" s="28"/>
      <c r="B277" s="26"/>
      <c r="C277" s="20" t="str">
        <f>IFERROR(VLOOKUP(B277,'مراجع الوصفات'!$A$2:$D$79,2,FALSE),"")</f>
        <v/>
      </c>
      <c r="D277" s="26"/>
      <c r="E277" s="20" t="str">
        <f>IFERROR(VLOOKUP(D277,'مراجع الوصفات'!$F$2:$I$253,2,FALSE),"")</f>
        <v/>
      </c>
      <c r="F277" s="21"/>
      <c r="G277" s="26"/>
      <c r="H277" s="20" t="str">
        <f>IFERROR(VLOOKUP(D277,'مراجع الوصفات'!$F$2:$I$253,3,FALSE),"")</f>
        <v/>
      </c>
      <c r="I277" s="22" t="str">
        <f t="shared" si="1"/>
        <v/>
      </c>
      <c r="J277" s="23"/>
      <c r="K277" s="26"/>
      <c r="L277" s="24" t="str">
        <f>IFERROR(VLOOKUP(D277,'مراجع الوصفات'!$F$2:$I$253,4,FALSE),"")</f>
        <v/>
      </c>
      <c r="M277" s="24" t="str">
        <f t="shared" si="2"/>
        <v/>
      </c>
      <c r="N277" s="26"/>
      <c r="O277" s="25" t="str">
        <f t="shared" si="3"/>
        <v/>
      </c>
    </row>
    <row r="278" ht="15.75" customHeight="1">
      <c r="A278" s="28"/>
      <c r="B278" s="26"/>
      <c r="C278" s="20" t="str">
        <f>IFERROR(VLOOKUP(B278,'مراجع الوصفات'!$A$2:$D$79,2,FALSE),"")</f>
        <v/>
      </c>
      <c r="D278" s="26"/>
      <c r="E278" s="20" t="str">
        <f>IFERROR(VLOOKUP(D278,'مراجع الوصفات'!$F$2:$I$253,2,FALSE),"")</f>
        <v/>
      </c>
      <c r="F278" s="21"/>
      <c r="G278" s="26"/>
      <c r="H278" s="20" t="str">
        <f>IFERROR(VLOOKUP(D278,'مراجع الوصفات'!$F$2:$I$253,3,FALSE),"")</f>
        <v/>
      </c>
      <c r="I278" s="22" t="str">
        <f t="shared" si="1"/>
        <v/>
      </c>
      <c r="J278" s="23"/>
      <c r="K278" s="26"/>
      <c r="L278" s="24" t="str">
        <f>IFERROR(VLOOKUP(D278,'مراجع الوصفات'!$F$2:$I$253,4,FALSE),"")</f>
        <v/>
      </c>
      <c r="M278" s="24" t="str">
        <f t="shared" si="2"/>
        <v/>
      </c>
      <c r="N278" s="26"/>
      <c r="O278" s="25" t="str">
        <f t="shared" si="3"/>
        <v/>
      </c>
    </row>
    <row r="279" ht="15.75" customHeight="1">
      <c r="A279" s="28"/>
      <c r="B279" s="26"/>
      <c r="C279" s="20" t="str">
        <f>IFERROR(VLOOKUP(B279,'مراجع الوصفات'!$A$2:$D$79,2,FALSE),"")</f>
        <v/>
      </c>
      <c r="D279" s="26"/>
      <c r="E279" s="20" t="str">
        <f>IFERROR(VLOOKUP(D279,'مراجع الوصفات'!$F$2:$I$253,2,FALSE),"")</f>
        <v/>
      </c>
      <c r="F279" s="21"/>
      <c r="G279" s="26"/>
      <c r="H279" s="20" t="str">
        <f>IFERROR(VLOOKUP(D279,'مراجع الوصفات'!$F$2:$I$253,3,FALSE),"")</f>
        <v/>
      </c>
      <c r="I279" s="22" t="str">
        <f t="shared" si="1"/>
        <v/>
      </c>
      <c r="J279" s="23"/>
      <c r="K279" s="26"/>
      <c r="L279" s="24" t="str">
        <f>IFERROR(VLOOKUP(D279,'مراجع الوصفات'!$F$2:$I$253,4,FALSE),"")</f>
        <v/>
      </c>
      <c r="M279" s="24" t="str">
        <f t="shared" si="2"/>
        <v/>
      </c>
      <c r="N279" s="26"/>
      <c r="O279" s="25" t="str">
        <f t="shared" si="3"/>
        <v/>
      </c>
    </row>
    <row r="280" ht="15.75" customHeight="1">
      <c r="A280" s="28"/>
      <c r="B280" s="26"/>
      <c r="C280" s="20" t="str">
        <f>IFERROR(VLOOKUP(B280,'مراجع الوصفات'!$A$2:$D$79,2,FALSE),"")</f>
        <v/>
      </c>
      <c r="D280" s="26"/>
      <c r="E280" s="20" t="str">
        <f>IFERROR(VLOOKUP(D280,'مراجع الوصفات'!$F$2:$I$253,2,FALSE),"")</f>
        <v/>
      </c>
      <c r="F280" s="21"/>
      <c r="G280" s="26"/>
      <c r="H280" s="20" t="str">
        <f>IFERROR(VLOOKUP(D280,'مراجع الوصفات'!$F$2:$I$253,3,FALSE),"")</f>
        <v/>
      </c>
      <c r="I280" s="22" t="str">
        <f t="shared" si="1"/>
        <v/>
      </c>
      <c r="J280" s="23"/>
      <c r="K280" s="26"/>
      <c r="L280" s="24" t="str">
        <f>IFERROR(VLOOKUP(D280,'مراجع الوصفات'!$F$2:$I$253,4,FALSE),"")</f>
        <v/>
      </c>
      <c r="M280" s="24" t="str">
        <f t="shared" si="2"/>
        <v/>
      </c>
      <c r="N280" s="26"/>
      <c r="O280" s="25" t="str">
        <f t="shared" si="3"/>
        <v/>
      </c>
    </row>
    <row r="281" ht="15.75" customHeight="1">
      <c r="A281" s="28"/>
      <c r="B281" s="26"/>
      <c r="C281" s="20" t="str">
        <f>IFERROR(VLOOKUP(B281,'مراجع الوصفات'!$A$2:$D$79,2,FALSE),"")</f>
        <v/>
      </c>
      <c r="D281" s="26"/>
      <c r="E281" s="20" t="str">
        <f>IFERROR(VLOOKUP(D281,'مراجع الوصفات'!$F$2:$I$253,2,FALSE),"")</f>
        <v/>
      </c>
      <c r="F281" s="21"/>
      <c r="G281" s="26"/>
      <c r="H281" s="20" t="str">
        <f>IFERROR(VLOOKUP(D281,'مراجع الوصفات'!$F$2:$I$253,3,FALSE),"")</f>
        <v/>
      </c>
      <c r="I281" s="22" t="str">
        <f t="shared" si="1"/>
        <v/>
      </c>
      <c r="J281" s="23"/>
      <c r="K281" s="26"/>
      <c r="L281" s="24" t="str">
        <f>IFERROR(VLOOKUP(D281,'مراجع الوصفات'!$F$2:$I$253,4,FALSE),"")</f>
        <v/>
      </c>
      <c r="M281" s="24" t="str">
        <f t="shared" si="2"/>
        <v/>
      </c>
      <c r="N281" s="26"/>
      <c r="O281" s="25" t="str">
        <f t="shared" si="3"/>
        <v/>
      </c>
    </row>
    <row r="282" ht="15.75" customHeight="1">
      <c r="A282" s="28"/>
      <c r="B282" s="26"/>
      <c r="C282" s="20" t="str">
        <f>IFERROR(VLOOKUP(B282,'مراجع الوصفات'!$A$2:$D$79,2,FALSE),"")</f>
        <v/>
      </c>
      <c r="D282" s="26"/>
      <c r="E282" s="20" t="str">
        <f>IFERROR(VLOOKUP(D282,'مراجع الوصفات'!$F$2:$I$253,2,FALSE),"")</f>
        <v/>
      </c>
      <c r="F282" s="21"/>
      <c r="G282" s="26"/>
      <c r="H282" s="20" t="str">
        <f>IFERROR(VLOOKUP(D282,'مراجع الوصفات'!$F$2:$I$253,3,FALSE),"")</f>
        <v/>
      </c>
      <c r="I282" s="22" t="str">
        <f t="shared" si="1"/>
        <v/>
      </c>
      <c r="J282" s="23"/>
      <c r="K282" s="26"/>
      <c r="L282" s="24" t="str">
        <f>IFERROR(VLOOKUP(D282,'مراجع الوصفات'!$F$2:$I$253,4,FALSE),"")</f>
        <v/>
      </c>
      <c r="M282" s="24" t="str">
        <f t="shared" si="2"/>
        <v/>
      </c>
      <c r="N282" s="26"/>
      <c r="O282" s="25" t="str">
        <f t="shared" si="3"/>
        <v/>
      </c>
    </row>
    <row r="283" ht="15.75" customHeight="1">
      <c r="A283" s="28"/>
      <c r="B283" s="26"/>
      <c r="C283" s="20" t="str">
        <f>IFERROR(VLOOKUP(B283,'مراجع الوصفات'!$A$2:$D$79,2,FALSE),"")</f>
        <v/>
      </c>
      <c r="D283" s="26"/>
      <c r="E283" s="20" t="str">
        <f>IFERROR(VLOOKUP(D283,'مراجع الوصفات'!$F$2:$I$253,2,FALSE),"")</f>
        <v/>
      </c>
      <c r="F283" s="21"/>
      <c r="G283" s="26"/>
      <c r="H283" s="20" t="str">
        <f>IFERROR(VLOOKUP(D283,'مراجع الوصفات'!$F$2:$I$253,3,FALSE),"")</f>
        <v/>
      </c>
      <c r="I283" s="22" t="str">
        <f t="shared" si="1"/>
        <v/>
      </c>
      <c r="J283" s="23"/>
      <c r="K283" s="26"/>
      <c r="L283" s="24" t="str">
        <f>IFERROR(VLOOKUP(D283,'مراجع الوصفات'!$F$2:$I$253,4,FALSE),"")</f>
        <v/>
      </c>
      <c r="M283" s="24" t="str">
        <f t="shared" si="2"/>
        <v/>
      </c>
      <c r="N283" s="26"/>
      <c r="O283" s="25" t="str">
        <f t="shared" si="3"/>
        <v/>
      </c>
    </row>
    <row r="284" ht="15.75" customHeight="1">
      <c r="A284" s="28"/>
      <c r="B284" s="26"/>
      <c r="C284" s="20" t="str">
        <f>IFERROR(VLOOKUP(B284,'مراجع الوصفات'!$A$2:$D$79,2,FALSE),"")</f>
        <v/>
      </c>
      <c r="D284" s="26"/>
      <c r="E284" s="20" t="str">
        <f>IFERROR(VLOOKUP(D284,'مراجع الوصفات'!$F$2:$I$253,2,FALSE),"")</f>
        <v/>
      </c>
      <c r="F284" s="21"/>
      <c r="G284" s="26"/>
      <c r="H284" s="20" t="str">
        <f>IFERROR(VLOOKUP(D284,'مراجع الوصفات'!$F$2:$I$253,3,FALSE),"")</f>
        <v/>
      </c>
      <c r="I284" s="22" t="str">
        <f t="shared" si="1"/>
        <v/>
      </c>
      <c r="J284" s="23"/>
      <c r="K284" s="26"/>
      <c r="L284" s="24" t="str">
        <f>IFERROR(VLOOKUP(D284,'مراجع الوصفات'!$F$2:$I$253,4,FALSE),"")</f>
        <v/>
      </c>
      <c r="M284" s="24" t="str">
        <f t="shared" si="2"/>
        <v/>
      </c>
      <c r="N284" s="26"/>
      <c r="O284" s="25" t="str">
        <f t="shared" si="3"/>
        <v/>
      </c>
    </row>
    <row r="285" ht="15.75" customHeight="1">
      <c r="A285" s="28"/>
      <c r="B285" s="26"/>
      <c r="C285" s="20" t="str">
        <f>IFERROR(VLOOKUP(B285,'مراجع الوصفات'!$A$2:$D$79,2,FALSE),"")</f>
        <v/>
      </c>
      <c r="D285" s="26"/>
      <c r="E285" s="20" t="str">
        <f>IFERROR(VLOOKUP(D285,'مراجع الوصفات'!$F$2:$I$253,2,FALSE),"")</f>
        <v/>
      </c>
      <c r="F285" s="21"/>
      <c r="G285" s="26"/>
      <c r="H285" s="20" t="str">
        <f>IFERROR(VLOOKUP(D285,'مراجع الوصفات'!$F$2:$I$253,3,FALSE),"")</f>
        <v/>
      </c>
      <c r="I285" s="22" t="str">
        <f t="shared" si="1"/>
        <v/>
      </c>
      <c r="J285" s="23"/>
      <c r="K285" s="26"/>
      <c r="L285" s="24" t="str">
        <f>IFERROR(VLOOKUP(D285,'مراجع الوصفات'!$F$2:$I$253,4,FALSE),"")</f>
        <v/>
      </c>
      <c r="M285" s="24" t="str">
        <f t="shared" si="2"/>
        <v/>
      </c>
      <c r="N285" s="26"/>
      <c r="O285" s="25" t="str">
        <f t="shared" si="3"/>
        <v/>
      </c>
    </row>
    <row r="286" ht="15.75" customHeight="1">
      <c r="A286" s="28"/>
      <c r="B286" s="26"/>
      <c r="C286" s="20" t="str">
        <f>IFERROR(VLOOKUP(B286,'مراجع الوصفات'!$A$2:$D$79,2,FALSE),"")</f>
        <v/>
      </c>
      <c r="D286" s="26"/>
      <c r="E286" s="20" t="str">
        <f>IFERROR(VLOOKUP(D286,'مراجع الوصفات'!$F$2:$I$253,2,FALSE),"")</f>
        <v/>
      </c>
      <c r="F286" s="21"/>
      <c r="G286" s="26"/>
      <c r="H286" s="20" t="str">
        <f>IFERROR(VLOOKUP(D286,'مراجع الوصفات'!$F$2:$I$253,3,FALSE),"")</f>
        <v/>
      </c>
      <c r="I286" s="22" t="str">
        <f t="shared" si="1"/>
        <v/>
      </c>
      <c r="J286" s="23"/>
      <c r="K286" s="26"/>
      <c r="L286" s="24" t="str">
        <f>IFERROR(VLOOKUP(D286,'مراجع الوصفات'!$F$2:$I$253,4,FALSE),"")</f>
        <v/>
      </c>
      <c r="M286" s="24" t="str">
        <f t="shared" si="2"/>
        <v/>
      </c>
      <c r="N286" s="26"/>
      <c r="O286" s="25" t="str">
        <f t="shared" si="3"/>
        <v/>
      </c>
    </row>
    <row r="287" ht="15.75" customHeight="1">
      <c r="A287" s="28"/>
      <c r="B287" s="26"/>
      <c r="C287" s="20" t="str">
        <f>IFERROR(VLOOKUP(B287,'مراجع الوصفات'!$A$2:$D$79,2,FALSE),"")</f>
        <v/>
      </c>
      <c r="D287" s="26"/>
      <c r="E287" s="20" t="str">
        <f>IFERROR(VLOOKUP(D287,'مراجع الوصفات'!$F$2:$I$253,2,FALSE),"")</f>
        <v/>
      </c>
      <c r="F287" s="21"/>
      <c r="G287" s="26"/>
      <c r="H287" s="20" t="str">
        <f>IFERROR(VLOOKUP(D287,'مراجع الوصفات'!$F$2:$I$253,3,FALSE),"")</f>
        <v/>
      </c>
      <c r="I287" s="22" t="str">
        <f t="shared" si="1"/>
        <v/>
      </c>
      <c r="J287" s="23"/>
      <c r="K287" s="26"/>
      <c r="L287" s="24" t="str">
        <f>IFERROR(VLOOKUP(D287,'مراجع الوصفات'!$F$2:$I$253,4,FALSE),"")</f>
        <v/>
      </c>
      <c r="M287" s="24" t="str">
        <f t="shared" si="2"/>
        <v/>
      </c>
      <c r="N287" s="26"/>
      <c r="O287" s="25" t="str">
        <f t="shared" si="3"/>
        <v/>
      </c>
    </row>
    <row r="288" ht="15.75" customHeight="1">
      <c r="A288" s="28"/>
      <c r="B288" s="26"/>
      <c r="C288" s="20" t="str">
        <f>IFERROR(VLOOKUP(B288,'مراجع الوصفات'!$A$2:$D$79,2,FALSE),"")</f>
        <v/>
      </c>
      <c r="D288" s="26"/>
      <c r="E288" s="20" t="str">
        <f>IFERROR(VLOOKUP(D288,'مراجع الوصفات'!$F$2:$I$253,2,FALSE),"")</f>
        <v/>
      </c>
      <c r="F288" s="21"/>
      <c r="G288" s="26"/>
      <c r="H288" s="20" t="str">
        <f>IFERROR(VLOOKUP(D288,'مراجع الوصفات'!$F$2:$I$253,3,FALSE),"")</f>
        <v/>
      </c>
      <c r="I288" s="22" t="str">
        <f t="shared" si="1"/>
        <v/>
      </c>
      <c r="J288" s="23"/>
      <c r="K288" s="26"/>
      <c r="L288" s="24" t="str">
        <f>IFERROR(VLOOKUP(D288,'مراجع الوصفات'!$F$2:$I$253,4,FALSE),"")</f>
        <v/>
      </c>
      <c r="M288" s="24" t="str">
        <f t="shared" si="2"/>
        <v/>
      </c>
      <c r="N288" s="26"/>
      <c r="O288" s="25" t="str">
        <f t="shared" si="3"/>
        <v/>
      </c>
    </row>
    <row r="289" ht="15.75" customHeight="1">
      <c r="A289" s="28"/>
      <c r="B289" s="26"/>
      <c r="C289" s="20" t="str">
        <f>IFERROR(VLOOKUP(B289,'مراجع الوصفات'!$A$2:$D$79,2,FALSE),"")</f>
        <v/>
      </c>
      <c r="D289" s="26"/>
      <c r="E289" s="20" t="str">
        <f>IFERROR(VLOOKUP(D289,'مراجع الوصفات'!$F$2:$I$253,2,FALSE),"")</f>
        <v/>
      </c>
      <c r="F289" s="21"/>
      <c r="G289" s="26"/>
      <c r="H289" s="20" t="str">
        <f>IFERROR(VLOOKUP(D289,'مراجع الوصفات'!$F$2:$I$253,3,FALSE),"")</f>
        <v/>
      </c>
      <c r="I289" s="22" t="str">
        <f t="shared" si="1"/>
        <v/>
      </c>
      <c r="J289" s="23"/>
      <c r="K289" s="26"/>
      <c r="L289" s="24" t="str">
        <f>IFERROR(VLOOKUP(D289,'مراجع الوصفات'!$F$2:$I$253,4,FALSE),"")</f>
        <v/>
      </c>
      <c r="M289" s="24" t="str">
        <f t="shared" si="2"/>
        <v/>
      </c>
      <c r="N289" s="26"/>
      <c r="O289" s="25" t="str">
        <f t="shared" si="3"/>
        <v/>
      </c>
    </row>
    <row r="290" ht="15.75" customHeight="1">
      <c r="A290" s="28"/>
      <c r="B290" s="26"/>
      <c r="C290" s="20" t="str">
        <f>IFERROR(VLOOKUP(B290,'مراجع الوصفات'!$A$2:$D$79,2,FALSE),"")</f>
        <v/>
      </c>
      <c r="D290" s="26"/>
      <c r="E290" s="20" t="str">
        <f>IFERROR(VLOOKUP(D290,'مراجع الوصفات'!$F$2:$I$253,2,FALSE),"")</f>
        <v/>
      </c>
      <c r="F290" s="21"/>
      <c r="G290" s="26"/>
      <c r="H290" s="20" t="str">
        <f>IFERROR(VLOOKUP(D290,'مراجع الوصفات'!$F$2:$I$253,3,FALSE),"")</f>
        <v/>
      </c>
      <c r="I290" s="22" t="str">
        <f t="shared" si="1"/>
        <v/>
      </c>
      <c r="J290" s="23"/>
      <c r="K290" s="26"/>
      <c r="L290" s="24" t="str">
        <f>IFERROR(VLOOKUP(D290,'مراجع الوصفات'!$F$2:$I$253,4,FALSE),"")</f>
        <v/>
      </c>
      <c r="M290" s="24" t="str">
        <f t="shared" si="2"/>
        <v/>
      </c>
      <c r="N290" s="26"/>
      <c r="O290" s="25" t="str">
        <f t="shared" si="3"/>
        <v/>
      </c>
    </row>
    <row r="291" ht="15.75" customHeight="1">
      <c r="A291" s="28"/>
      <c r="B291" s="26"/>
      <c r="C291" s="20" t="str">
        <f>IFERROR(VLOOKUP(B291,'مراجع الوصفات'!$A$2:$D$79,2,FALSE),"")</f>
        <v/>
      </c>
      <c r="D291" s="26"/>
      <c r="E291" s="20" t="str">
        <f>IFERROR(VLOOKUP(D291,'مراجع الوصفات'!$F$2:$I$253,2,FALSE),"")</f>
        <v/>
      </c>
      <c r="F291" s="21"/>
      <c r="G291" s="26"/>
      <c r="H291" s="20" t="str">
        <f>IFERROR(VLOOKUP(D291,'مراجع الوصفات'!$F$2:$I$253,3,FALSE),"")</f>
        <v/>
      </c>
      <c r="I291" s="22" t="str">
        <f t="shared" si="1"/>
        <v/>
      </c>
      <c r="J291" s="23"/>
      <c r="K291" s="26"/>
      <c r="L291" s="24" t="str">
        <f>IFERROR(VLOOKUP(D291,'مراجع الوصفات'!$F$2:$I$253,4,FALSE),"")</f>
        <v/>
      </c>
      <c r="M291" s="24" t="str">
        <f t="shared" si="2"/>
        <v/>
      </c>
      <c r="N291" s="26"/>
      <c r="O291" s="25" t="str">
        <f t="shared" si="3"/>
        <v/>
      </c>
    </row>
    <row r="292" ht="15.75" customHeight="1">
      <c r="A292" s="28"/>
      <c r="B292" s="26"/>
      <c r="C292" s="20" t="str">
        <f>IFERROR(VLOOKUP(B292,'مراجع الوصفات'!$A$2:$D$79,2,FALSE),"")</f>
        <v/>
      </c>
      <c r="D292" s="26"/>
      <c r="E292" s="20" t="str">
        <f>IFERROR(VLOOKUP(D292,'مراجع الوصفات'!$F$2:$I$253,2,FALSE),"")</f>
        <v/>
      </c>
      <c r="F292" s="21"/>
      <c r="G292" s="26"/>
      <c r="H292" s="20" t="str">
        <f>IFERROR(VLOOKUP(D292,'مراجع الوصفات'!$F$2:$I$253,3,FALSE),"")</f>
        <v/>
      </c>
      <c r="I292" s="22" t="str">
        <f t="shared" si="1"/>
        <v/>
      </c>
      <c r="J292" s="23"/>
      <c r="K292" s="26"/>
      <c r="L292" s="24" t="str">
        <f>IFERROR(VLOOKUP(D292,'مراجع الوصفات'!$F$2:$I$253,4,FALSE),"")</f>
        <v/>
      </c>
      <c r="M292" s="24" t="str">
        <f t="shared" si="2"/>
        <v/>
      </c>
      <c r="N292" s="26"/>
      <c r="O292" s="25" t="str">
        <f t="shared" si="3"/>
        <v/>
      </c>
    </row>
    <row r="293" ht="15.75" customHeight="1">
      <c r="A293" s="28"/>
      <c r="B293" s="26"/>
      <c r="C293" s="20" t="str">
        <f>IFERROR(VLOOKUP(B293,'مراجع الوصفات'!$A$2:$D$79,2,FALSE),"")</f>
        <v/>
      </c>
      <c r="D293" s="26"/>
      <c r="E293" s="20" t="str">
        <f>IFERROR(VLOOKUP(D293,'مراجع الوصفات'!$F$2:$I$253,2,FALSE),"")</f>
        <v/>
      </c>
      <c r="F293" s="21"/>
      <c r="G293" s="26"/>
      <c r="H293" s="20" t="str">
        <f>IFERROR(VLOOKUP(D293,'مراجع الوصفات'!$F$2:$I$253,3,FALSE),"")</f>
        <v/>
      </c>
      <c r="I293" s="22" t="str">
        <f t="shared" si="1"/>
        <v/>
      </c>
      <c r="J293" s="23"/>
      <c r="K293" s="26"/>
      <c r="L293" s="24" t="str">
        <f>IFERROR(VLOOKUP(D293,'مراجع الوصفات'!$F$2:$I$253,4,FALSE),"")</f>
        <v/>
      </c>
      <c r="M293" s="24" t="str">
        <f t="shared" si="2"/>
        <v/>
      </c>
      <c r="N293" s="26"/>
      <c r="O293" s="25" t="str">
        <f t="shared" si="3"/>
        <v/>
      </c>
    </row>
    <row r="294" ht="15.75" customHeight="1">
      <c r="A294" s="28"/>
      <c r="B294" s="26"/>
      <c r="C294" s="20" t="str">
        <f>IFERROR(VLOOKUP(B294,'مراجع الوصفات'!$A$2:$D$79,2,FALSE),"")</f>
        <v/>
      </c>
      <c r="D294" s="26"/>
      <c r="E294" s="20" t="str">
        <f>IFERROR(VLOOKUP(D294,'مراجع الوصفات'!$F$2:$I$253,2,FALSE),"")</f>
        <v/>
      </c>
      <c r="F294" s="21"/>
      <c r="G294" s="26"/>
      <c r="H294" s="20" t="str">
        <f>IFERROR(VLOOKUP(D294,'مراجع الوصفات'!$F$2:$I$253,3,FALSE),"")</f>
        <v/>
      </c>
      <c r="I294" s="22" t="str">
        <f t="shared" si="1"/>
        <v/>
      </c>
      <c r="J294" s="23"/>
      <c r="K294" s="26"/>
      <c r="L294" s="24" t="str">
        <f>IFERROR(VLOOKUP(D294,'مراجع الوصفات'!$F$2:$I$253,4,FALSE),"")</f>
        <v/>
      </c>
      <c r="M294" s="24" t="str">
        <f t="shared" si="2"/>
        <v/>
      </c>
      <c r="N294" s="26"/>
      <c r="O294" s="25" t="str">
        <f t="shared" si="3"/>
        <v/>
      </c>
    </row>
    <row r="295" ht="15.75" customHeight="1">
      <c r="A295" s="28"/>
      <c r="B295" s="26"/>
      <c r="C295" s="20" t="str">
        <f>IFERROR(VLOOKUP(B295,'مراجع الوصفات'!$A$2:$D$79,2,FALSE),"")</f>
        <v/>
      </c>
      <c r="D295" s="26"/>
      <c r="E295" s="20" t="str">
        <f>IFERROR(VLOOKUP(D295,'مراجع الوصفات'!$F$2:$I$253,2,FALSE),"")</f>
        <v/>
      </c>
      <c r="F295" s="21"/>
      <c r="G295" s="26"/>
      <c r="H295" s="20" t="str">
        <f>IFERROR(VLOOKUP(D295,'مراجع الوصفات'!$F$2:$I$253,3,FALSE),"")</f>
        <v/>
      </c>
      <c r="I295" s="22" t="str">
        <f t="shared" si="1"/>
        <v/>
      </c>
      <c r="J295" s="23"/>
      <c r="K295" s="26"/>
      <c r="L295" s="24" t="str">
        <f>IFERROR(VLOOKUP(D295,'مراجع الوصفات'!$F$2:$I$253,4,FALSE),"")</f>
        <v/>
      </c>
      <c r="M295" s="24" t="str">
        <f t="shared" si="2"/>
        <v/>
      </c>
      <c r="N295" s="26"/>
      <c r="O295" s="25" t="str">
        <f t="shared" si="3"/>
        <v/>
      </c>
    </row>
    <row r="296" ht="15.75" customHeight="1">
      <c r="A296" s="28"/>
      <c r="B296" s="26"/>
      <c r="C296" s="20" t="str">
        <f>IFERROR(VLOOKUP(B296,'مراجع الوصفات'!$A$2:$D$79,2,FALSE),"")</f>
        <v/>
      </c>
      <c r="D296" s="26"/>
      <c r="E296" s="20" t="str">
        <f>IFERROR(VLOOKUP(D296,'مراجع الوصفات'!$F$2:$I$253,2,FALSE),"")</f>
        <v/>
      </c>
      <c r="F296" s="21"/>
      <c r="G296" s="26"/>
      <c r="H296" s="20" t="str">
        <f>IFERROR(VLOOKUP(D296,'مراجع الوصفات'!$F$2:$I$253,3,FALSE),"")</f>
        <v/>
      </c>
      <c r="I296" s="22" t="str">
        <f t="shared" si="1"/>
        <v/>
      </c>
      <c r="J296" s="23"/>
      <c r="K296" s="26"/>
      <c r="L296" s="24" t="str">
        <f>IFERROR(VLOOKUP(D296,'مراجع الوصفات'!$F$2:$I$253,4,FALSE),"")</f>
        <v/>
      </c>
      <c r="M296" s="24" t="str">
        <f t="shared" si="2"/>
        <v/>
      </c>
      <c r="N296" s="26"/>
      <c r="O296" s="25" t="str">
        <f t="shared" si="3"/>
        <v/>
      </c>
    </row>
    <row r="297" ht="15.75" customHeight="1">
      <c r="A297" s="28"/>
      <c r="B297" s="26"/>
      <c r="C297" s="20" t="str">
        <f>IFERROR(VLOOKUP(B297,'مراجع الوصفات'!$A$2:$D$79,2,FALSE),"")</f>
        <v/>
      </c>
      <c r="D297" s="26"/>
      <c r="E297" s="20" t="str">
        <f>IFERROR(VLOOKUP(D297,'مراجع الوصفات'!$F$2:$I$253,2,FALSE),"")</f>
        <v/>
      </c>
      <c r="F297" s="21"/>
      <c r="G297" s="26"/>
      <c r="H297" s="20" t="str">
        <f>IFERROR(VLOOKUP(D297,'مراجع الوصفات'!$F$2:$I$253,3,FALSE),"")</f>
        <v/>
      </c>
      <c r="I297" s="22" t="str">
        <f t="shared" si="1"/>
        <v/>
      </c>
      <c r="J297" s="23"/>
      <c r="K297" s="26"/>
      <c r="L297" s="24" t="str">
        <f>IFERROR(VLOOKUP(D297,'مراجع الوصفات'!$F$2:$I$253,4,FALSE),"")</f>
        <v/>
      </c>
      <c r="M297" s="24" t="str">
        <f t="shared" si="2"/>
        <v/>
      </c>
      <c r="N297" s="26"/>
      <c r="O297" s="25" t="str">
        <f t="shared" si="3"/>
        <v/>
      </c>
    </row>
    <row r="298" ht="15.75" customHeight="1">
      <c r="A298" s="28"/>
      <c r="B298" s="26"/>
      <c r="C298" s="20" t="str">
        <f>IFERROR(VLOOKUP(B298,'مراجع الوصفات'!$A$2:$D$79,2,FALSE),"")</f>
        <v/>
      </c>
      <c r="D298" s="26"/>
      <c r="E298" s="20" t="str">
        <f>IFERROR(VLOOKUP(D298,'مراجع الوصفات'!$F$2:$I$253,2,FALSE),"")</f>
        <v/>
      </c>
      <c r="F298" s="21"/>
      <c r="G298" s="26"/>
      <c r="H298" s="20" t="str">
        <f>IFERROR(VLOOKUP(D298,'مراجع الوصفات'!$F$2:$I$253,3,FALSE),"")</f>
        <v/>
      </c>
      <c r="I298" s="22" t="str">
        <f t="shared" si="1"/>
        <v/>
      </c>
      <c r="J298" s="23"/>
      <c r="K298" s="26"/>
      <c r="L298" s="24" t="str">
        <f>IFERROR(VLOOKUP(D298,'مراجع الوصفات'!$F$2:$I$253,4,FALSE),"")</f>
        <v/>
      </c>
      <c r="M298" s="24" t="str">
        <f t="shared" si="2"/>
        <v/>
      </c>
      <c r="N298" s="26"/>
      <c r="O298" s="25" t="str">
        <f t="shared" si="3"/>
        <v/>
      </c>
    </row>
    <row r="299" ht="15.75" customHeight="1">
      <c r="A299" s="28"/>
      <c r="B299" s="26"/>
      <c r="C299" s="20" t="str">
        <f>IFERROR(VLOOKUP(B299,'مراجع الوصفات'!$A$2:$D$79,2,FALSE),"")</f>
        <v/>
      </c>
      <c r="D299" s="26"/>
      <c r="E299" s="20" t="str">
        <f>IFERROR(VLOOKUP(D299,'مراجع الوصفات'!$F$2:$I$253,2,FALSE),"")</f>
        <v/>
      </c>
      <c r="F299" s="21"/>
      <c r="G299" s="26"/>
      <c r="H299" s="20" t="str">
        <f>IFERROR(VLOOKUP(D299,'مراجع الوصفات'!$F$2:$I$253,3,FALSE),"")</f>
        <v/>
      </c>
      <c r="I299" s="22" t="str">
        <f t="shared" si="1"/>
        <v/>
      </c>
      <c r="J299" s="23"/>
      <c r="K299" s="26"/>
      <c r="L299" s="24" t="str">
        <f>IFERROR(VLOOKUP(D299,'مراجع الوصفات'!$F$2:$I$253,4,FALSE),"")</f>
        <v/>
      </c>
      <c r="M299" s="24" t="str">
        <f t="shared" si="2"/>
        <v/>
      </c>
      <c r="N299" s="26"/>
      <c r="O299" s="25" t="str">
        <f t="shared" si="3"/>
        <v/>
      </c>
    </row>
    <row r="300" ht="15.75" customHeight="1">
      <c r="A300" s="28"/>
      <c r="B300" s="26"/>
      <c r="C300" s="20" t="str">
        <f>IFERROR(VLOOKUP(B300,'مراجع الوصفات'!$A$2:$D$79,2,FALSE),"")</f>
        <v/>
      </c>
      <c r="D300" s="26"/>
      <c r="E300" s="20" t="str">
        <f>IFERROR(VLOOKUP(D300,'مراجع الوصفات'!$F$2:$I$253,2,FALSE),"")</f>
        <v/>
      </c>
      <c r="F300" s="21"/>
      <c r="G300" s="26"/>
      <c r="H300" s="20" t="str">
        <f>IFERROR(VLOOKUP(D300,'مراجع الوصفات'!$F$2:$I$253,3,FALSE),"")</f>
        <v/>
      </c>
      <c r="I300" s="22" t="str">
        <f t="shared" si="1"/>
        <v/>
      </c>
      <c r="J300" s="23"/>
      <c r="K300" s="26"/>
      <c r="L300" s="24" t="str">
        <f>IFERROR(VLOOKUP(D300,'مراجع الوصفات'!$F$2:$I$253,4,FALSE),"")</f>
        <v/>
      </c>
      <c r="M300" s="24" t="str">
        <f t="shared" si="2"/>
        <v/>
      </c>
      <c r="N300" s="26"/>
      <c r="O300" s="25" t="str">
        <f t="shared" si="3"/>
        <v/>
      </c>
    </row>
    <row r="301" ht="15.75" customHeight="1">
      <c r="A301" s="29"/>
      <c r="B301" s="30"/>
      <c r="C301" s="31" t="str">
        <f>IFERROR(VLOOKUP(B301,'مراجع الوصفات'!$A$2:$D$79,2,FALSE),"")</f>
        <v/>
      </c>
      <c r="D301" s="30"/>
      <c r="E301" s="31" t="str">
        <f>IFERROR(VLOOKUP(D301,'مراجع الوصفات'!$F$2:$I$253,2,FALSE),"")</f>
        <v/>
      </c>
      <c r="F301" s="32"/>
      <c r="G301" s="30"/>
      <c r="H301" s="31" t="str">
        <f>IFERROR(VLOOKUP(D301,'مراجع الوصفات'!$F$2:$I$253,3,FALSE),"")</f>
        <v/>
      </c>
      <c r="I301" s="33" t="str">
        <f t="shared" si="1"/>
        <v/>
      </c>
      <c r="J301" s="34"/>
      <c r="K301" s="30"/>
      <c r="L301" s="35" t="str">
        <f>IFERROR(VLOOKUP(D301,'مراجع الوصفات'!$F$2:$I$253,4,FALSE),"")</f>
        <v/>
      </c>
      <c r="M301" s="35" t="str">
        <f t="shared" si="2"/>
        <v/>
      </c>
      <c r="N301" s="30"/>
      <c r="O301" s="36" t="str">
        <f t="shared" si="3"/>
        <v/>
      </c>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A301">
    <cfRule type="expression" dxfId="5" priority="1">
      <formula>A2="جاهز للاستيراد"</formula>
    </cfRule>
  </conditionalFormatting>
  <conditionalFormatting sqref="A2:A301">
    <cfRule type="expression" dxfId="6" priority="2">
      <formula>A2="بحاجة مراجعة"</formula>
    </cfRule>
  </conditionalFormatting>
  <conditionalFormatting sqref="A2:A301">
    <cfRule type="expression" dxfId="7" priority="3">
      <formula>A2="مسودة"</formula>
    </cfRule>
  </conditionalFormatting>
  <conditionalFormatting sqref="O2:O301">
    <cfRule type="expression" dxfId="5" priority="4">
      <formula>O2="صالح"</formula>
    </cfRule>
  </conditionalFormatting>
  <conditionalFormatting sqref="O2:O301">
    <cfRule type="expression" dxfId="8" priority="5">
      <formula>OR(O2="ناقص",O2="خطأ وحدة",O2="خطأ هدر")</formula>
    </cfRule>
  </conditionalFormatting>
  <dataValidations>
    <dataValidation type="list" allowBlank="1" sqref="G2:G301">
      <formula1>"كغ,غ,لتر,مل,قطعة,عبوة,زجاجة,صندوق,حصة,أخرى"</formula1>
    </dataValidation>
    <dataValidation type="list" allowBlank="1" sqref="B2:B301">
      <formula1>'مراجع الوصفات'!$A$2:$A$79</formula1>
    </dataValidation>
    <dataValidation type="list" allowBlank="1" sqref="K2:K301">
      <formula1>"نعم,لا"</formula1>
    </dataValidation>
    <dataValidation type="list" allowBlank="1" sqref="D2:D301">
      <formula1>'مراجع الوصفات'!$F$2:$F$253</formula1>
    </dataValidation>
    <dataValidation type="list" allowBlank="1" sqref="A2:A301">
      <formula1>"جاهز للاستيراد,بحاجة مراجعة,مسودة,تجاهل"</formula1>
    </dataValidation>
  </dataValidation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0"/>
    <col customWidth="1" min="2" max="2" width="26.0"/>
    <col customWidth="1" min="3" max="3" width="22.0"/>
    <col customWidth="1" min="4" max="4" width="14.0"/>
    <col customWidth="1" min="5" max="5" width="38.0"/>
    <col customWidth="1" min="6" max="26" width="8.63"/>
  </cols>
  <sheetData>
    <row r="1">
      <c r="A1" s="15" t="s">
        <v>916</v>
      </c>
      <c r="B1" s="16" t="s">
        <v>917</v>
      </c>
      <c r="C1" s="16" t="s">
        <v>1019</v>
      </c>
      <c r="D1" s="16" t="s">
        <v>1020</v>
      </c>
      <c r="E1" s="17" t="s">
        <v>1021</v>
      </c>
    </row>
    <row r="2">
      <c r="A2" s="37" t="s">
        <v>1022</v>
      </c>
      <c r="B2" s="38" t="s">
        <v>1023</v>
      </c>
      <c r="C2" s="37" t="s">
        <v>1024</v>
      </c>
      <c r="D2" s="39">
        <v>20000.0</v>
      </c>
      <c r="E2" s="38" t="s">
        <v>1025</v>
      </c>
    </row>
    <row r="3">
      <c r="A3" s="37" t="s">
        <v>1026</v>
      </c>
      <c r="B3" s="38" t="s">
        <v>1027</v>
      </c>
      <c r="C3" s="37" t="s">
        <v>1024</v>
      </c>
      <c r="D3" s="39">
        <v>130000.0</v>
      </c>
      <c r="E3" s="38" t="s">
        <v>1025</v>
      </c>
    </row>
    <row r="4">
      <c r="A4" s="37" t="s">
        <v>1028</v>
      </c>
      <c r="B4" s="38" t="s">
        <v>1029</v>
      </c>
      <c r="C4" s="37" t="s">
        <v>1028</v>
      </c>
      <c r="D4" s="39">
        <v>50000.0</v>
      </c>
      <c r="E4" s="38" t="s">
        <v>1025</v>
      </c>
    </row>
    <row r="5">
      <c r="A5" s="37" t="s">
        <v>1030</v>
      </c>
      <c r="B5" s="38" t="s">
        <v>1031</v>
      </c>
      <c r="C5" s="37" t="s">
        <v>1032</v>
      </c>
      <c r="D5" s="39">
        <v>8000.0</v>
      </c>
      <c r="E5" s="38" t="s">
        <v>1025</v>
      </c>
    </row>
    <row r="6">
      <c r="A6" s="37" t="s">
        <v>1033</v>
      </c>
      <c r="B6" s="38" t="s">
        <v>1034</v>
      </c>
      <c r="C6" s="37" t="s">
        <v>1032</v>
      </c>
      <c r="D6" s="39">
        <v>10000.0</v>
      </c>
      <c r="E6" s="38" t="s">
        <v>1025</v>
      </c>
    </row>
    <row r="7">
      <c r="A7" s="37" t="s">
        <v>1035</v>
      </c>
      <c r="B7" s="38" t="s">
        <v>1036</v>
      </c>
      <c r="C7" s="37" t="s">
        <v>1032</v>
      </c>
      <c r="D7" s="39">
        <v>25000.0</v>
      </c>
      <c r="E7" s="38" t="s">
        <v>1025</v>
      </c>
    </row>
    <row r="8">
      <c r="A8" s="37" t="s">
        <v>1037</v>
      </c>
      <c r="B8" s="38" t="s">
        <v>1038</v>
      </c>
      <c r="C8" s="37" t="s">
        <v>1032</v>
      </c>
      <c r="D8" s="39">
        <v>40000.0</v>
      </c>
      <c r="E8" s="38" t="s">
        <v>1025</v>
      </c>
    </row>
    <row r="9">
      <c r="A9" s="37" t="s">
        <v>930</v>
      </c>
      <c r="B9" s="38" t="s">
        <v>1039</v>
      </c>
      <c r="C9" s="37" t="s">
        <v>1040</v>
      </c>
      <c r="D9" s="39">
        <v>4000.0</v>
      </c>
      <c r="E9" s="38" t="s">
        <v>1025</v>
      </c>
    </row>
    <row r="10">
      <c r="A10" s="37" t="s">
        <v>933</v>
      </c>
      <c r="B10" s="38" t="s">
        <v>1041</v>
      </c>
      <c r="C10" s="37" t="s">
        <v>1040</v>
      </c>
      <c r="D10" s="39">
        <v>5000.0</v>
      </c>
      <c r="E10" s="38" t="s">
        <v>1025</v>
      </c>
    </row>
    <row r="11">
      <c r="A11" s="37" t="s">
        <v>935</v>
      </c>
      <c r="B11" s="38" t="s">
        <v>1042</v>
      </c>
      <c r="C11" s="37" t="s">
        <v>1040</v>
      </c>
      <c r="D11" s="39">
        <v>5000.0</v>
      </c>
      <c r="E11" s="38" t="s">
        <v>1025</v>
      </c>
    </row>
    <row r="12">
      <c r="A12" s="37" t="s">
        <v>937</v>
      </c>
      <c r="B12" s="38" t="s">
        <v>1043</v>
      </c>
      <c r="C12" s="37" t="s">
        <v>1040</v>
      </c>
      <c r="D12" s="39">
        <v>6000.0</v>
      </c>
      <c r="E12" s="38" t="s">
        <v>1025</v>
      </c>
    </row>
    <row r="13">
      <c r="A13" s="37" t="s">
        <v>938</v>
      </c>
      <c r="B13" s="38" t="s">
        <v>1044</v>
      </c>
      <c r="C13" s="37" t="s">
        <v>1040</v>
      </c>
      <c r="D13" s="39">
        <v>7000.0</v>
      </c>
      <c r="E13" s="38" t="s">
        <v>1025</v>
      </c>
    </row>
    <row r="14">
      <c r="A14" s="37" t="s">
        <v>940</v>
      </c>
      <c r="B14" s="38" t="s">
        <v>1045</v>
      </c>
      <c r="C14" s="37" t="s">
        <v>1040</v>
      </c>
      <c r="D14" s="39">
        <v>8000.0</v>
      </c>
      <c r="E14" s="38" t="s">
        <v>1025</v>
      </c>
    </row>
    <row r="15">
      <c r="A15" s="37" t="s">
        <v>942</v>
      </c>
      <c r="B15" s="38" t="s">
        <v>1046</v>
      </c>
      <c r="C15" s="37" t="s">
        <v>1040</v>
      </c>
      <c r="D15" s="39">
        <v>8000.0</v>
      </c>
      <c r="E15" s="38" t="s">
        <v>1025</v>
      </c>
    </row>
    <row r="16">
      <c r="A16" s="37" t="s">
        <v>943</v>
      </c>
      <c r="B16" s="38" t="s">
        <v>1047</v>
      </c>
      <c r="C16" s="37" t="s">
        <v>1040</v>
      </c>
      <c r="D16" s="39">
        <v>14000.0</v>
      </c>
      <c r="E16" s="38" t="s">
        <v>1025</v>
      </c>
    </row>
    <row r="17">
      <c r="A17" s="37" t="s">
        <v>945</v>
      </c>
      <c r="B17" s="38" t="s">
        <v>1048</v>
      </c>
      <c r="C17" s="37" t="s">
        <v>1040</v>
      </c>
      <c r="D17" s="39">
        <v>14000.0</v>
      </c>
      <c r="E17" s="38" t="s">
        <v>1025</v>
      </c>
    </row>
    <row r="18">
      <c r="A18" s="37" t="s">
        <v>946</v>
      </c>
      <c r="B18" s="38" t="s">
        <v>1049</v>
      </c>
      <c r="C18" s="37" t="s">
        <v>1040</v>
      </c>
      <c r="D18" s="39">
        <v>20000.0</v>
      </c>
      <c r="E18" s="38" t="s">
        <v>1025</v>
      </c>
    </row>
    <row r="19">
      <c r="A19" s="37" t="s">
        <v>947</v>
      </c>
      <c r="B19" s="38" t="s">
        <v>1050</v>
      </c>
      <c r="C19" s="37" t="s">
        <v>1051</v>
      </c>
      <c r="D19" s="39">
        <v>6000.0</v>
      </c>
      <c r="E19" s="38" t="s">
        <v>1025</v>
      </c>
    </row>
    <row r="20">
      <c r="A20" s="37" t="s">
        <v>949</v>
      </c>
      <c r="B20" s="38" t="s">
        <v>1052</v>
      </c>
      <c r="C20" s="37" t="s">
        <v>1051</v>
      </c>
      <c r="D20" s="39">
        <v>9000.0</v>
      </c>
      <c r="E20" s="38" t="s">
        <v>1025</v>
      </c>
    </row>
    <row r="21" ht="15.75" customHeight="1">
      <c r="A21" s="37" t="s">
        <v>950</v>
      </c>
      <c r="B21" s="38" t="s">
        <v>1053</v>
      </c>
      <c r="C21" s="37" t="s">
        <v>1051</v>
      </c>
      <c r="D21" s="39">
        <v>8000.0</v>
      </c>
      <c r="E21" s="38" t="s">
        <v>1025</v>
      </c>
    </row>
    <row r="22" ht="15.75" customHeight="1">
      <c r="A22" s="37" t="s">
        <v>952</v>
      </c>
      <c r="B22" s="38" t="s">
        <v>1054</v>
      </c>
      <c r="C22" s="37" t="s">
        <v>1051</v>
      </c>
      <c r="D22" s="39">
        <v>12000.0</v>
      </c>
      <c r="E22" s="38" t="s">
        <v>1025</v>
      </c>
    </row>
    <row r="23" ht="15.75" customHeight="1">
      <c r="A23" s="37" t="s">
        <v>954</v>
      </c>
      <c r="B23" s="38" t="s">
        <v>1055</v>
      </c>
      <c r="C23" s="37" t="s">
        <v>1051</v>
      </c>
      <c r="D23" s="39">
        <v>10000.0</v>
      </c>
      <c r="E23" s="38" t="s">
        <v>1025</v>
      </c>
    </row>
    <row r="24" ht="15.75" customHeight="1">
      <c r="A24" s="37" t="s">
        <v>956</v>
      </c>
      <c r="B24" s="38" t="s">
        <v>1056</v>
      </c>
      <c r="C24" s="37" t="s">
        <v>1051</v>
      </c>
      <c r="D24" s="39">
        <v>12000.0</v>
      </c>
      <c r="E24" s="38" t="s">
        <v>1025</v>
      </c>
    </row>
    <row r="25" ht="15.75" customHeight="1">
      <c r="A25" s="37" t="s">
        <v>959</v>
      </c>
      <c r="B25" s="38" t="s">
        <v>1057</v>
      </c>
      <c r="C25" s="37" t="s">
        <v>1051</v>
      </c>
      <c r="D25" s="39">
        <v>15000.0</v>
      </c>
      <c r="E25" s="38" t="s">
        <v>1025</v>
      </c>
    </row>
    <row r="26" ht="15.75" customHeight="1">
      <c r="A26" s="37" t="s">
        <v>961</v>
      </c>
      <c r="B26" s="38" t="s">
        <v>1058</v>
      </c>
      <c r="C26" s="37" t="s">
        <v>1051</v>
      </c>
      <c r="D26" s="39">
        <v>24000.0</v>
      </c>
      <c r="E26" s="38" t="s">
        <v>1025</v>
      </c>
    </row>
    <row r="27" ht="15.75" customHeight="1">
      <c r="A27" s="37" t="s">
        <v>1059</v>
      </c>
      <c r="B27" s="38" t="s">
        <v>1060</v>
      </c>
      <c r="C27" s="37" t="s">
        <v>1051</v>
      </c>
      <c r="D27" s="39">
        <v>28000.0</v>
      </c>
      <c r="E27" s="38" t="s">
        <v>1025</v>
      </c>
    </row>
    <row r="28" ht="15.75" customHeight="1">
      <c r="A28" s="37" t="s">
        <v>963</v>
      </c>
      <c r="B28" s="38" t="s">
        <v>1061</v>
      </c>
      <c r="C28" s="37" t="s">
        <v>1062</v>
      </c>
      <c r="D28" s="39">
        <v>12000.0</v>
      </c>
      <c r="E28" s="38" t="s">
        <v>1025</v>
      </c>
    </row>
    <row r="29" ht="15.75" customHeight="1">
      <c r="A29" s="37" t="s">
        <v>965</v>
      </c>
      <c r="B29" s="38" t="s">
        <v>1063</v>
      </c>
      <c r="C29" s="37" t="s">
        <v>1062</v>
      </c>
      <c r="D29" s="39">
        <v>25000.0</v>
      </c>
      <c r="E29" s="38" t="s">
        <v>1025</v>
      </c>
    </row>
    <row r="30" ht="15.75" customHeight="1">
      <c r="A30" s="37" t="s">
        <v>967</v>
      </c>
      <c r="B30" s="38" t="s">
        <v>1064</v>
      </c>
      <c r="C30" s="37" t="s">
        <v>1062</v>
      </c>
      <c r="D30" s="39">
        <v>8000.0</v>
      </c>
      <c r="E30" s="38" t="s">
        <v>1025</v>
      </c>
    </row>
    <row r="31" ht="15.75" customHeight="1">
      <c r="A31" s="37" t="s">
        <v>969</v>
      </c>
      <c r="B31" s="38" t="s">
        <v>1065</v>
      </c>
      <c r="C31" s="37" t="s">
        <v>1062</v>
      </c>
      <c r="D31" s="39">
        <v>10000.0</v>
      </c>
      <c r="E31" s="38" t="s">
        <v>1025</v>
      </c>
    </row>
    <row r="32" ht="15.75" customHeight="1">
      <c r="A32" s="37" t="s">
        <v>1066</v>
      </c>
      <c r="B32" s="38" t="s">
        <v>1067</v>
      </c>
      <c r="C32" s="37" t="s">
        <v>1068</v>
      </c>
      <c r="D32" s="39">
        <v>160000.0</v>
      </c>
      <c r="E32" s="38" t="s">
        <v>1025</v>
      </c>
    </row>
    <row r="33" ht="15.75" customHeight="1">
      <c r="A33" s="37" t="s">
        <v>1069</v>
      </c>
      <c r="B33" s="38" t="s">
        <v>1070</v>
      </c>
      <c r="C33" s="37" t="s">
        <v>1068</v>
      </c>
      <c r="D33" s="39">
        <v>175000.0</v>
      </c>
      <c r="E33" s="38" t="s">
        <v>1025</v>
      </c>
    </row>
    <row r="34" ht="15.75" customHeight="1">
      <c r="A34" s="37" t="s">
        <v>1071</v>
      </c>
      <c r="B34" s="38" t="s">
        <v>1072</v>
      </c>
      <c r="C34" s="37" t="s">
        <v>1068</v>
      </c>
      <c r="D34" s="39">
        <v>55000.0</v>
      </c>
      <c r="E34" s="38" t="s">
        <v>1025</v>
      </c>
    </row>
    <row r="35" ht="15.75" customHeight="1">
      <c r="A35" s="37" t="s">
        <v>972</v>
      </c>
      <c r="B35" s="38" t="s">
        <v>1073</v>
      </c>
      <c r="C35" s="37" t="s">
        <v>1074</v>
      </c>
      <c r="D35" s="39">
        <v>12000.0</v>
      </c>
      <c r="E35" s="38" t="s">
        <v>1025</v>
      </c>
    </row>
    <row r="36" ht="15.75" customHeight="1">
      <c r="A36" s="37" t="s">
        <v>974</v>
      </c>
      <c r="B36" s="38" t="s">
        <v>1075</v>
      </c>
      <c r="C36" s="37" t="s">
        <v>1074</v>
      </c>
      <c r="D36" s="39">
        <v>45000.0</v>
      </c>
      <c r="E36" s="38" t="s">
        <v>1025</v>
      </c>
    </row>
    <row r="37" ht="15.75" customHeight="1">
      <c r="A37" s="37" t="s">
        <v>976</v>
      </c>
      <c r="B37" s="38" t="s">
        <v>1076</v>
      </c>
      <c r="C37" s="37" t="s">
        <v>1074</v>
      </c>
      <c r="D37" s="39">
        <v>120000.0</v>
      </c>
      <c r="E37" s="38" t="s">
        <v>1025</v>
      </c>
    </row>
    <row r="38" ht="15.75" customHeight="1">
      <c r="A38" s="37" t="s">
        <v>700</v>
      </c>
      <c r="B38" s="38" t="s">
        <v>1077</v>
      </c>
      <c r="C38" s="37" t="s">
        <v>1074</v>
      </c>
      <c r="D38" s="39">
        <v>45000.0</v>
      </c>
      <c r="E38" s="38" t="s">
        <v>1025</v>
      </c>
    </row>
    <row r="39" ht="15.75" customHeight="1">
      <c r="A39" s="37" t="s">
        <v>697</v>
      </c>
      <c r="B39" s="38" t="s">
        <v>1078</v>
      </c>
      <c r="C39" s="37" t="s">
        <v>1074</v>
      </c>
      <c r="D39" s="39">
        <v>50000.0</v>
      </c>
      <c r="E39" s="38" t="s">
        <v>1025</v>
      </c>
    </row>
    <row r="40" ht="15.75" customHeight="1">
      <c r="A40" s="37" t="s">
        <v>1079</v>
      </c>
      <c r="B40" s="38" t="s">
        <v>1080</v>
      </c>
      <c r="C40" s="37" t="s">
        <v>1074</v>
      </c>
      <c r="D40" s="39">
        <v>32000.0</v>
      </c>
      <c r="E40" s="38" t="s">
        <v>1025</v>
      </c>
    </row>
    <row r="41" ht="15.75" customHeight="1">
      <c r="A41" s="37" t="s">
        <v>1081</v>
      </c>
      <c r="B41" s="38" t="s">
        <v>1082</v>
      </c>
      <c r="C41" s="37" t="s">
        <v>1074</v>
      </c>
      <c r="D41" s="39">
        <v>70000.0</v>
      </c>
      <c r="E41" s="38" t="s">
        <v>1025</v>
      </c>
    </row>
    <row r="42" ht="15.75" customHeight="1">
      <c r="A42" s="37" t="s">
        <v>1083</v>
      </c>
      <c r="B42" s="38" t="s">
        <v>1084</v>
      </c>
      <c r="C42" s="37" t="s">
        <v>1074</v>
      </c>
      <c r="D42" s="39">
        <v>155000.0</v>
      </c>
      <c r="E42" s="38" t="s">
        <v>1025</v>
      </c>
    </row>
    <row r="43" ht="15.75" customHeight="1">
      <c r="A43" s="37" t="s">
        <v>977</v>
      </c>
      <c r="B43" s="38"/>
      <c r="C43" s="37" t="s">
        <v>1085</v>
      </c>
      <c r="D43" s="39"/>
      <c r="E43" s="38" t="s">
        <v>1086</v>
      </c>
    </row>
    <row r="44" ht="15.75" customHeight="1">
      <c r="A44" s="37" t="s">
        <v>980</v>
      </c>
      <c r="B44" s="38"/>
      <c r="C44" s="37" t="s">
        <v>1085</v>
      </c>
      <c r="D44" s="39"/>
      <c r="E44" s="38" t="s">
        <v>1086</v>
      </c>
    </row>
    <row r="45" ht="15.75" customHeight="1">
      <c r="A45" s="37" t="s">
        <v>981</v>
      </c>
      <c r="B45" s="38"/>
      <c r="C45" s="37" t="s">
        <v>1085</v>
      </c>
      <c r="D45" s="39"/>
      <c r="E45" s="38" t="s">
        <v>1086</v>
      </c>
    </row>
    <row r="46" ht="15.75" customHeight="1">
      <c r="A46" s="37" t="s">
        <v>983</v>
      </c>
      <c r="B46" s="38"/>
      <c r="C46" s="37" t="s">
        <v>1085</v>
      </c>
      <c r="D46" s="39"/>
      <c r="E46" s="38" t="s">
        <v>1086</v>
      </c>
    </row>
    <row r="47" ht="15.75" customHeight="1">
      <c r="A47" s="37" t="s">
        <v>1087</v>
      </c>
      <c r="B47" s="38"/>
      <c r="C47" s="37" t="s">
        <v>1085</v>
      </c>
      <c r="D47" s="39"/>
      <c r="E47" s="38" t="s">
        <v>1088</v>
      </c>
    </row>
    <row r="48" ht="15.75" customHeight="1">
      <c r="A48" s="37" t="s">
        <v>1089</v>
      </c>
      <c r="B48" s="38"/>
      <c r="C48" s="37" t="s">
        <v>1085</v>
      </c>
      <c r="D48" s="39"/>
      <c r="E48" s="38" t="s">
        <v>1088</v>
      </c>
    </row>
    <row r="49" ht="15.75" customHeight="1">
      <c r="A49" s="37" t="s">
        <v>984</v>
      </c>
      <c r="B49" s="38"/>
      <c r="C49" s="37" t="s">
        <v>1085</v>
      </c>
      <c r="D49" s="39"/>
      <c r="E49" s="38" t="s">
        <v>1086</v>
      </c>
    </row>
    <row r="50" ht="15.75" customHeight="1">
      <c r="A50" s="37" t="s">
        <v>1090</v>
      </c>
      <c r="B50" s="38"/>
      <c r="C50" s="37" t="s">
        <v>1085</v>
      </c>
      <c r="D50" s="39"/>
      <c r="E50" s="38" t="s">
        <v>1088</v>
      </c>
    </row>
    <row r="51" ht="15.75" customHeight="1">
      <c r="A51" s="37" t="s">
        <v>1091</v>
      </c>
      <c r="B51" s="38"/>
      <c r="C51" s="37" t="s">
        <v>1085</v>
      </c>
      <c r="D51" s="39"/>
      <c r="E51" s="38" t="s">
        <v>1088</v>
      </c>
    </row>
    <row r="52" ht="15.75" customHeight="1">
      <c r="A52" s="37" t="s">
        <v>1092</v>
      </c>
      <c r="B52" s="38"/>
      <c r="C52" s="37" t="s">
        <v>1085</v>
      </c>
      <c r="D52" s="39"/>
      <c r="E52" s="38" t="s">
        <v>1088</v>
      </c>
    </row>
    <row r="53" ht="15.75" customHeight="1">
      <c r="A53" s="37" t="s">
        <v>985</v>
      </c>
      <c r="B53" s="38"/>
      <c r="C53" s="37" t="s">
        <v>1085</v>
      </c>
      <c r="D53" s="39"/>
      <c r="E53" s="38" t="s">
        <v>1086</v>
      </c>
    </row>
    <row r="54" ht="15.75" customHeight="1">
      <c r="A54" s="37" t="s">
        <v>988</v>
      </c>
      <c r="B54" s="38"/>
      <c r="C54" s="37" t="s">
        <v>1085</v>
      </c>
      <c r="D54" s="39"/>
      <c r="E54" s="38" t="s">
        <v>1086</v>
      </c>
    </row>
    <row r="55" ht="15.75" customHeight="1">
      <c r="A55" s="37" t="s">
        <v>990</v>
      </c>
      <c r="B55" s="38"/>
      <c r="C55" s="37" t="s">
        <v>1085</v>
      </c>
      <c r="D55" s="39"/>
      <c r="E55" s="38" t="s">
        <v>1086</v>
      </c>
    </row>
    <row r="56" ht="15.75" customHeight="1">
      <c r="A56" s="37" t="s">
        <v>991</v>
      </c>
      <c r="B56" s="38"/>
      <c r="C56" s="37" t="s">
        <v>1093</v>
      </c>
      <c r="D56" s="39"/>
      <c r="E56" s="38" t="s">
        <v>1086</v>
      </c>
    </row>
    <row r="57" ht="15.75" customHeight="1">
      <c r="A57" s="37" t="s">
        <v>993</v>
      </c>
      <c r="B57" s="38"/>
      <c r="C57" s="37" t="s">
        <v>1093</v>
      </c>
      <c r="D57" s="39"/>
      <c r="E57" s="38" t="s">
        <v>1086</v>
      </c>
    </row>
    <row r="58" ht="15.75" customHeight="1">
      <c r="A58" s="37" t="s">
        <v>995</v>
      </c>
      <c r="B58" s="38"/>
      <c r="C58" s="37" t="s">
        <v>1093</v>
      </c>
      <c r="D58" s="39"/>
      <c r="E58" s="38" t="s">
        <v>1086</v>
      </c>
    </row>
    <row r="59" ht="15.75" customHeight="1">
      <c r="A59" s="37" t="s">
        <v>996</v>
      </c>
      <c r="B59" s="38"/>
      <c r="C59" s="37" t="s">
        <v>1093</v>
      </c>
      <c r="D59" s="39"/>
      <c r="E59" s="38" t="s">
        <v>1086</v>
      </c>
    </row>
    <row r="60" ht="15.75" customHeight="1">
      <c r="A60" s="37" t="s">
        <v>997</v>
      </c>
      <c r="B60" s="38"/>
      <c r="C60" s="37" t="s">
        <v>1093</v>
      </c>
      <c r="D60" s="39"/>
      <c r="E60" s="38" t="s">
        <v>1086</v>
      </c>
    </row>
    <row r="61" ht="15.75" customHeight="1">
      <c r="A61" s="37" t="s">
        <v>998</v>
      </c>
      <c r="B61" s="38"/>
      <c r="C61" s="37" t="s">
        <v>1093</v>
      </c>
      <c r="D61" s="39"/>
      <c r="E61" s="38" t="s">
        <v>1086</v>
      </c>
    </row>
    <row r="62" ht="15.75" customHeight="1">
      <c r="A62" s="37" t="s">
        <v>592</v>
      </c>
      <c r="B62" s="38"/>
      <c r="C62" s="37" t="s">
        <v>1093</v>
      </c>
      <c r="D62" s="39"/>
      <c r="E62" s="38" t="s">
        <v>1086</v>
      </c>
    </row>
    <row r="63" ht="15.75" customHeight="1">
      <c r="A63" s="37" t="s">
        <v>999</v>
      </c>
      <c r="B63" s="38"/>
      <c r="C63" s="37" t="s">
        <v>1094</v>
      </c>
      <c r="D63" s="39"/>
      <c r="E63" s="38" t="s">
        <v>1086</v>
      </c>
    </row>
    <row r="64" ht="15.75" customHeight="1">
      <c r="A64" s="37" t="s">
        <v>1000</v>
      </c>
      <c r="B64" s="38"/>
      <c r="C64" s="37" t="s">
        <v>1094</v>
      </c>
      <c r="D64" s="39"/>
      <c r="E64" s="38" t="s">
        <v>1086</v>
      </c>
    </row>
    <row r="65" ht="15.75" customHeight="1">
      <c r="A65" s="37" t="s">
        <v>1001</v>
      </c>
      <c r="B65" s="38"/>
      <c r="C65" s="37" t="s">
        <v>1094</v>
      </c>
      <c r="D65" s="39"/>
      <c r="E65" s="38" t="s">
        <v>1086</v>
      </c>
    </row>
    <row r="66" ht="15.75" customHeight="1">
      <c r="A66" s="37" t="s">
        <v>1002</v>
      </c>
      <c r="B66" s="38"/>
      <c r="C66" s="37" t="s">
        <v>1040</v>
      </c>
      <c r="D66" s="39"/>
      <c r="E66" s="38" t="s">
        <v>1086</v>
      </c>
    </row>
    <row r="67" ht="15.75" customHeight="1">
      <c r="A67" s="37" t="s">
        <v>1003</v>
      </c>
      <c r="B67" s="38"/>
      <c r="C67" s="37" t="s">
        <v>1040</v>
      </c>
      <c r="D67" s="39"/>
      <c r="E67" s="38" t="s">
        <v>1086</v>
      </c>
    </row>
    <row r="68" ht="15.75" customHeight="1">
      <c r="A68" s="37" t="s">
        <v>1004</v>
      </c>
      <c r="B68" s="38"/>
      <c r="C68" s="37" t="s">
        <v>1051</v>
      </c>
      <c r="D68" s="39"/>
      <c r="E68" s="38" t="s">
        <v>1086</v>
      </c>
    </row>
    <row r="69" ht="15.75" customHeight="1">
      <c r="A69" s="37" t="s">
        <v>1005</v>
      </c>
      <c r="B69" s="38"/>
      <c r="C69" s="37" t="s">
        <v>1051</v>
      </c>
      <c r="D69" s="39"/>
      <c r="E69" s="38" t="s">
        <v>1086</v>
      </c>
    </row>
    <row r="70" ht="15.75" customHeight="1">
      <c r="A70" s="37" t="s">
        <v>1006</v>
      </c>
      <c r="B70" s="38"/>
      <c r="C70" s="37" t="s">
        <v>1040</v>
      </c>
      <c r="D70" s="39"/>
      <c r="E70" s="38" t="s">
        <v>1086</v>
      </c>
    </row>
    <row r="71" ht="15.75" customHeight="1">
      <c r="A71" s="37" t="s">
        <v>1007</v>
      </c>
      <c r="B71" s="38"/>
      <c r="C71" s="37" t="s">
        <v>1051</v>
      </c>
      <c r="D71" s="39"/>
      <c r="E71" s="38" t="s">
        <v>1086</v>
      </c>
    </row>
    <row r="72" ht="15.75" customHeight="1">
      <c r="A72" s="37" t="s">
        <v>1008</v>
      </c>
      <c r="B72" s="38"/>
      <c r="C72" s="37" t="s">
        <v>1051</v>
      </c>
      <c r="D72" s="39"/>
      <c r="E72" s="38" t="s">
        <v>1086</v>
      </c>
    </row>
    <row r="73" ht="15.75" customHeight="1">
      <c r="A73" s="37" t="s">
        <v>1010</v>
      </c>
      <c r="B73" s="38"/>
      <c r="C73" s="37" t="s">
        <v>1095</v>
      </c>
      <c r="D73" s="39"/>
      <c r="E73" s="38" t="s">
        <v>1086</v>
      </c>
    </row>
    <row r="74" ht="15.75" customHeight="1">
      <c r="A74" s="37" t="s">
        <v>1011</v>
      </c>
      <c r="B74" s="38"/>
      <c r="C74" s="37" t="s">
        <v>1095</v>
      </c>
      <c r="D74" s="39"/>
      <c r="E74" s="38" t="s">
        <v>1086</v>
      </c>
    </row>
    <row r="75" ht="15.75" customHeight="1">
      <c r="A75" s="37" t="s">
        <v>1012</v>
      </c>
      <c r="B75" s="38"/>
      <c r="C75" s="37" t="s">
        <v>1095</v>
      </c>
      <c r="D75" s="39"/>
      <c r="E75" s="38" t="s">
        <v>1086</v>
      </c>
    </row>
    <row r="76" ht="15.75" customHeight="1">
      <c r="A76" s="37" t="s">
        <v>1013</v>
      </c>
      <c r="B76" s="38"/>
      <c r="C76" s="37" t="s">
        <v>1095</v>
      </c>
      <c r="D76" s="39"/>
      <c r="E76" s="38" t="s">
        <v>1086</v>
      </c>
    </row>
    <row r="77" ht="15.75" customHeight="1">
      <c r="A77" s="37" t="s">
        <v>1014</v>
      </c>
      <c r="B77" s="38"/>
      <c r="C77" s="37" t="s">
        <v>1096</v>
      </c>
      <c r="D77" s="39"/>
      <c r="E77" s="38" t="s">
        <v>1086</v>
      </c>
    </row>
    <row r="78" ht="15.75" customHeight="1">
      <c r="A78" s="37" t="s">
        <v>1016</v>
      </c>
      <c r="B78" s="38"/>
      <c r="C78" s="37" t="s">
        <v>1096</v>
      </c>
      <c r="D78" s="39"/>
      <c r="E78" s="38" t="s">
        <v>1086</v>
      </c>
    </row>
    <row r="79" ht="15.75" customHeight="1">
      <c r="A79" s="37" t="s">
        <v>1017</v>
      </c>
      <c r="B79" s="38"/>
      <c r="C79" s="37" t="s">
        <v>1096</v>
      </c>
      <c r="D79" s="39"/>
      <c r="E79" s="38" t="s">
        <v>1086</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2" width="90.0"/>
    <col customWidth="1" min="3" max="26" width="8.63"/>
  </cols>
  <sheetData>
    <row r="1">
      <c r="A1" s="40" t="s">
        <v>1097</v>
      </c>
    </row>
    <row r="3" ht="43.5" customHeight="1">
      <c r="A3" s="41" t="s">
        <v>1098</v>
      </c>
      <c r="B3" s="42" t="s">
        <v>1099</v>
      </c>
    </row>
    <row r="4" ht="43.5" customHeight="1">
      <c r="A4" s="41" t="s">
        <v>915</v>
      </c>
      <c r="B4" s="42" t="s">
        <v>1100</v>
      </c>
    </row>
    <row r="5" ht="43.5" customHeight="1">
      <c r="A5" s="41" t="s">
        <v>917</v>
      </c>
      <c r="B5" s="42" t="s">
        <v>1101</v>
      </c>
    </row>
    <row r="6" ht="43.5" customHeight="1">
      <c r="A6" s="41" t="s">
        <v>920</v>
      </c>
      <c r="B6" s="42" t="s">
        <v>1102</v>
      </c>
    </row>
    <row r="7" ht="43.5" customHeight="1">
      <c r="A7" s="41" t="s">
        <v>1103</v>
      </c>
      <c r="B7" s="42" t="s">
        <v>1104</v>
      </c>
    </row>
    <row r="8" ht="43.5" customHeight="1">
      <c r="A8" s="41" t="s">
        <v>1105</v>
      </c>
      <c r="B8" s="42" t="s">
        <v>1106</v>
      </c>
    </row>
    <row r="9" ht="43.5" customHeight="1">
      <c r="A9" s="41" t="s">
        <v>1107</v>
      </c>
      <c r="B9" s="42" t="s">
        <v>1108</v>
      </c>
    </row>
    <row r="10" ht="43.5" customHeight="1">
      <c r="A10" s="41" t="s">
        <v>1109</v>
      </c>
      <c r="B10" s="42" t="s">
        <v>1110</v>
      </c>
    </row>
    <row r="11" ht="43.5" customHeight="1">
      <c r="A11" s="41" t="s">
        <v>1111</v>
      </c>
      <c r="B11" s="42" t="s">
        <v>1112</v>
      </c>
    </row>
    <row r="12" ht="43.5" customHeight="1">
      <c r="A12" s="41" t="s">
        <v>1113</v>
      </c>
      <c r="B12" s="42" t="s">
        <v>1114</v>
      </c>
    </row>
    <row r="13" ht="43.5" customHeight="1">
      <c r="A13" s="41" t="s">
        <v>1115</v>
      </c>
      <c r="B13" s="42" t="s">
        <v>1116</v>
      </c>
    </row>
    <row r="14" ht="43.5" customHeight="1">
      <c r="A14" s="41" t="s">
        <v>1117</v>
      </c>
      <c r="B14" s="42" t="s">
        <v>1118</v>
      </c>
    </row>
    <row r="17">
      <c r="A17" s="43" t="s">
        <v>1119</v>
      </c>
      <c r="B17" s="43" t="s">
        <v>1120</v>
      </c>
    </row>
    <row r="18">
      <c r="A18" s="44" t="s">
        <v>1121</v>
      </c>
      <c r="B18" s="45" t="s">
        <v>905</v>
      </c>
    </row>
    <row r="19">
      <c r="A19" s="44" t="s">
        <v>1122</v>
      </c>
      <c r="B19" s="45" t="s">
        <v>1123</v>
      </c>
    </row>
    <row r="20">
      <c r="A20" s="44" t="s">
        <v>1124</v>
      </c>
      <c r="B20" s="45" t="s">
        <v>1125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0"/>
    <col customWidth="1" min="2" max="2" width="34.0"/>
    <col customWidth="1" min="3" max="3" width="18.0"/>
    <col customWidth="1" min="4" max="4" width="34.0"/>
    <col customWidth="1" min="5" max="5" width="48.0"/>
    <col customWidth="1" min="6" max="26" width="8.63"/>
  </cols>
  <sheetData>
    <row r="1">
      <c r="A1" s="1" t="s">
        <v>1126</v>
      </c>
      <c r="B1" s="1" t="s">
        <v>1127</v>
      </c>
      <c r="C1" s="1" t="s">
        <v>1128</v>
      </c>
      <c r="D1" s="1" t="s">
        <v>1129</v>
      </c>
      <c r="E1" s="1" t="s">
        <v>1130</v>
      </c>
    </row>
    <row r="2">
      <c r="A2" s="37" t="s">
        <v>1131</v>
      </c>
      <c r="B2" s="37" t="s">
        <v>1132</v>
      </c>
      <c r="C2" s="37" t="s">
        <v>14</v>
      </c>
      <c r="D2" s="37" t="s">
        <v>1089</v>
      </c>
      <c r="E2" s="37" t="s">
        <v>1133</v>
      </c>
    </row>
    <row r="3">
      <c r="A3" s="37" t="s">
        <v>1134</v>
      </c>
      <c r="B3" s="37" t="s">
        <v>1132</v>
      </c>
      <c r="C3" s="37" t="s">
        <v>14</v>
      </c>
      <c r="D3" s="37" t="s">
        <v>1087</v>
      </c>
      <c r="E3" s="37" t="s">
        <v>1135</v>
      </c>
    </row>
    <row r="4">
      <c r="A4" s="37" t="s">
        <v>1136</v>
      </c>
      <c r="B4" s="37" t="s">
        <v>1132</v>
      </c>
      <c r="C4" s="37" t="s">
        <v>14</v>
      </c>
      <c r="D4" s="37" t="s">
        <v>1090</v>
      </c>
      <c r="E4" s="38"/>
    </row>
    <row r="5">
      <c r="A5" s="37" t="s">
        <v>1091</v>
      </c>
      <c r="B5" s="37" t="s">
        <v>1132</v>
      </c>
      <c r="C5" s="37" t="s">
        <v>14</v>
      </c>
      <c r="D5" s="37" t="s">
        <v>1091</v>
      </c>
      <c r="E5" s="38"/>
    </row>
    <row r="6">
      <c r="A6" s="37" t="s">
        <v>1137</v>
      </c>
      <c r="B6" s="37" t="s">
        <v>1132</v>
      </c>
      <c r="C6" s="37" t="s">
        <v>1138</v>
      </c>
      <c r="D6" s="37" t="s">
        <v>1092</v>
      </c>
      <c r="E6" s="37" t="s">
        <v>1139</v>
      </c>
    </row>
    <row r="7">
      <c r="A7" s="37" t="s">
        <v>1140</v>
      </c>
      <c r="B7" s="37" t="s">
        <v>1141</v>
      </c>
      <c r="C7" s="37" t="s">
        <v>14</v>
      </c>
      <c r="D7" s="37" t="s">
        <v>1142</v>
      </c>
      <c r="E7" s="37" t="s">
        <v>1143</v>
      </c>
    </row>
    <row r="8">
      <c r="A8" s="37" t="s">
        <v>1144</v>
      </c>
      <c r="B8" s="37" t="s">
        <v>1145</v>
      </c>
      <c r="C8" s="37" t="s">
        <v>14</v>
      </c>
      <c r="D8" s="37" t="s">
        <v>1146</v>
      </c>
      <c r="E8" s="37" t="s">
        <v>1147</v>
      </c>
    </row>
    <row r="9">
      <c r="A9" s="37" t="s">
        <v>1148</v>
      </c>
      <c r="B9" s="37" t="s">
        <v>1145</v>
      </c>
      <c r="C9" s="37" t="s">
        <v>14</v>
      </c>
      <c r="D9" s="37" t="s">
        <v>1149</v>
      </c>
      <c r="E9" s="37" t="s">
        <v>1150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8.0"/>
    <col customWidth="1" min="3" max="3" width="22.0"/>
    <col customWidth="1" min="4" max="4" width="14.0"/>
    <col customWidth="1" min="5" max="5" width="8.63"/>
    <col customWidth="1" min="6" max="7" width="28.0"/>
    <col customWidth="1" min="8" max="8" width="14.0"/>
    <col customWidth="1" min="9" max="9" width="16.0"/>
    <col customWidth="1" min="10" max="26" width="8.63"/>
  </cols>
  <sheetData>
    <row r="1">
      <c r="A1" s="43" t="s">
        <v>916</v>
      </c>
      <c r="B1" s="43" t="s">
        <v>917</v>
      </c>
      <c r="C1" s="43" t="s">
        <v>1019</v>
      </c>
      <c r="D1" s="43" t="s">
        <v>1151</v>
      </c>
      <c r="F1" s="43" t="s">
        <v>918</v>
      </c>
      <c r="G1" s="43" t="s">
        <v>1152</v>
      </c>
      <c r="H1" s="43" t="s">
        <v>922</v>
      </c>
      <c r="I1" s="43" t="s">
        <v>1153</v>
      </c>
    </row>
    <row r="2">
      <c r="A2" s="46" t="s">
        <v>1022</v>
      </c>
      <c r="B2" s="7" t="s">
        <v>1023</v>
      </c>
      <c r="C2" s="46" t="s">
        <v>1024</v>
      </c>
      <c r="D2" s="47">
        <v>20000.0</v>
      </c>
      <c r="F2" s="46" t="s">
        <v>10</v>
      </c>
      <c r="G2" s="7" t="s">
        <v>12</v>
      </c>
      <c r="H2" s="46" t="s">
        <v>14</v>
      </c>
      <c r="I2" s="48">
        <v>7000.0</v>
      </c>
    </row>
    <row r="3">
      <c r="A3" s="46" t="s">
        <v>1026</v>
      </c>
      <c r="B3" s="7" t="s">
        <v>1027</v>
      </c>
      <c r="C3" s="46" t="s">
        <v>1024</v>
      </c>
      <c r="D3" s="47">
        <v>130000.0</v>
      </c>
      <c r="F3" s="46" t="s">
        <v>16</v>
      </c>
      <c r="G3" s="7" t="s">
        <v>18</v>
      </c>
      <c r="H3" s="46" t="s">
        <v>14</v>
      </c>
      <c r="I3" s="48">
        <v>12000.0</v>
      </c>
    </row>
    <row r="4">
      <c r="A4" s="46" t="s">
        <v>1028</v>
      </c>
      <c r="B4" s="7" t="s">
        <v>1029</v>
      </c>
      <c r="C4" s="46" t="s">
        <v>1028</v>
      </c>
      <c r="D4" s="47">
        <v>50000.0</v>
      </c>
      <c r="F4" s="46" t="s">
        <v>20</v>
      </c>
      <c r="G4" s="7" t="s">
        <v>22</v>
      </c>
      <c r="H4" s="46" t="s">
        <v>14</v>
      </c>
      <c r="I4" s="48">
        <v>8000.0</v>
      </c>
    </row>
    <row r="5">
      <c r="A5" s="46" t="s">
        <v>1030</v>
      </c>
      <c r="B5" s="7" t="s">
        <v>1031</v>
      </c>
      <c r="C5" s="46" t="s">
        <v>1032</v>
      </c>
      <c r="D5" s="47">
        <v>8000.0</v>
      </c>
      <c r="F5" s="46" t="s">
        <v>24</v>
      </c>
      <c r="G5" s="7" t="s">
        <v>26</v>
      </c>
      <c r="H5" s="46" t="s">
        <v>14</v>
      </c>
      <c r="I5" s="48">
        <v>30000.0</v>
      </c>
    </row>
    <row r="6">
      <c r="A6" s="46" t="s">
        <v>1033</v>
      </c>
      <c r="B6" s="7" t="s">
        <v>1034</v>
      </c>
      <c r="C6" s="46" t="s">
        <v>1032</v>
      </c>
      <c r="D6" s="47">
        <v>10000.0</v>
      </c>
      <c r="F6" s="46" t="s">
        <v>28</v>
      </c>
      <c r="G6" s="7" t="s">
        <v>30</v>
      </c>
      <c r="H6" s="46" t="s">
        <v>14</v>
      </c>
      <c r="I6" s="48">
        <v>9000.0</v>
      </c>
    </row>
    <row r="7">
      <c r="A7" s="46" t="s">
        <v>1035</v>
      </c>
      <c r="B7" s="7" t="s">
        <v>1036</v>
      </c>
      <c r="C7" s="46" t="s">
        <v>1032</v>
      </c>
      <c r="D7" s="47">
        <v>25000.0</v>
      </c>
      <c r="F7" s="46" t="s">
        <v>32</v>
      </c>
      <c r="G7" s="7" t="s">
        <v>34</v>
      </c>
      <c r="H7" s="46" t="s">
        <v>14</v>
      </c>
      <c r="I7" s="48">
        <v>15500.0</v>
      </c>
    </row>
    <row r="8">
      <c r="A8" s="46" t="s">
        <v>1037</v>
      </c>
      <c r="B8" s="7" t="s">
        <v>1038</v>
      </c>
      <c r="C8" s="46" t="s">
        <v>1032</v>
      </c>
      <c r="D8" s="47">
        <v>40000.0</v>
      </c>
      <c r="F8" s="46" t="s">
        <v>36</v>
      </c>
      <c r="G8" s="7" t="s">
        <v>38</v>
      </c>
      <c r="H8" s="46" t="s">
        <v>39</v>
      </c>
      <c r="I8" s="48">
        <v>2000.0</v>
      </c>
    </row>
    <row r="9">
      <c r="A9" s="46" t="s">
        <v>930</v>
      </c>
      <c r="B9" s="7" t="s">
        <v>1039</v>
      </c>
      <c r="C9" s="46" t="s">
        <v>1040</v>
      </c>
      <c r="D9" s="47">
        <v>4000.0</v>
      </c>
      <c r="F9" s="46" t="s">
        <v>41</v>
      </c>
      <c r="G9" s="7" t="s">
        <v>43</v>
      </c>
      <c r="H9" s="46" t="s">
        <v>14</v>
      </c>
      <c r="I9" s="48">
        <v>5000.0</v>
      </c>
    </row>
    <row r="10">
      <c r="A10" s="46" t="s">
        <v>933</v>
      </c>
      <c r="B10" s="7" t="s">
        <v>1041</v>
      </c>
      <c r="C10" s="46" t="s">
        <v>1040</v>
      </c>
      <c r="D10" s="47">
        <v>5000.0</v>
      </c>
      <c r="F10" s="46" t="s">
        <v>45</v>
      </c>
      <c r="G10" s="7" t="s">
        <v>47</v>
      </c>
      <c r="H10" s="46" t="s">
        <v>14</v>
      </c>
      <c r="I10" s="48">
        <v>10000.0</v>
      </c>
    </row>
    <row r="11">
      <c r="A11" s="46" t="s">
        <v>935</v>
      </c>
      <c r="B11" s="7" t="s">
        <v>1042</v>
      </c>
      <c r="C11" s="46" t="s">
        <v>1040</v>
      </c>
      <c r="D11" s="47">
        <v>5000.0</v>
      </c>
      <c r="F11" s="46" t="s">
        <v>49</v>
      </c>
      <c r="G11" s="7" t="s">
        <v>51</v>
      </c>
      <c r="H11" s="46" t="s">
        <v>14</v>
      </c>
      <c r="I11" s="48">
        <v>9000.0</v>
      </c>
    </row>
    <row r="12">
      <c r="A12" s="46" t="s">
        <v>937</v>
      </c>
      <c r="B12" s="7" t="s">
        <v>1043</v>
      </c>
      <c r="C12" s="46" t="s">
        <v>1040</v>
      </c>
      <c r="D12" s="47">
        <v>6000.0</v>
      </c>
      <c r="F12" s="46" t="s">
        <v>52</v>
      </c>
      <c r="G12" s="7" t="s">
        <v>54</v>
      </c>
      <c r="H12" s="46" t="s">
        <v>14</v>
      </c>
      <c r="I12" s="48">
        <v>5000.0</v>
      </c>
    </row>
    <row r="13">
      <c r="A13" s="46" t="s">
        <v>938</v>
      </c>
      <c r="B13" s="7" t="s">
        <v>1044</v>
      </c>
      <c r="C13" s="46" t="s">
        <v>1040</v>
      </c>
      <c r="D13" s="47">
        <v>7000.0</v>
      </c>
      <c r="F13" s="46" t="s">
        <v>56</v>
      </c>
      <c r="G13" s="7" t="s">
        <v>58</v>
      </c>
      <c r="H13" s="46" t="s">
        <v>14</v>
      </c>
      <c r="I13" s="48">
        <v>8000.0</v>
      </c>
    </row>
    <row r="14">
      <c r="A14" s="46" t="s">
        <v>940</v>
      </c>
      <c r="B14" s="7" t="s">
        <v>1045</v>
      </c>
      <c r="C14" s="46" t="s">
        <v>1040</v>
      </c>
      <c r="D14" s="47">
        <v>8000.0</v>
      </c>
      <c r="F14" s="46" t="s">
        <v>59</v>
      </c>
      <c r="G14" s="7" t="s">
        <v>61</v>
      </c>
      <c r="H14" s="46" t="s">
        <v>14</v>
      </c>
      <c r="I14" s="48">
        <v>6000.0</v>
      </c>
    </row>
    <row r="15">
      <c r="A15" s="46" t="s">
        <v>942</v>
      </c>
      <c r="B15" s="7" t="s">
        <v>1046</v>
      </c>
      <c r="C15" s="46" t="s">
        <v>1040</v>
      </c>
      <c r="D15" s="47">
        <v>8000.0</v>
      </c>
      <c r="F15" s="46" t="s">
        <v>63</v>
      </c>
      <c r="G15" s="7" t="s">
        <v>65</v>
      </c>
      <c r="H15" s="46" t="s">
        <v>14</v>
      </c>
      <c r="I15" s="48">
        <v>5000.0</v>
      </c>
    </row>
    <row r="16">
      <c r="A16" s="46" t="s">
        <v>943</v>
      </c>
      <c r="B16" s="7" t="s">
        <v>1047</v>
      </c>
      <c r="C16" s="46" t="s">
        <v>1040</v>
      </c>
      <c r="D16" s="47">
        <v>14000.0</v>
      </c>
      <c r="F16" s="46" t="s">
        <v>66</v>
      </c>
      <c r="G16" s="7" t="s">
        <v>68</v>
      </c>
      <c r="H16" s="46" t="s">
        <v>39</v>
      </c>
      <c r="I16" s="48">
        <v>8000.0</v>
      </c>
    </row>
    <row r="17">
      <c r="A17" s="46" t="s">
        <v>945</v>
      </c>
      <c r="B17" s="7" t="s">
        <v>1048</v>
      </c>
      <c r="C17" s="46" t="s">
        <v>1040</v>
      </c>
      <c r="D17" s="47">
        <v>14000.0</v>
      </c>
      <c r="F17" s="46" t="s">
        <v>70</v>
      </c>
      <c r="G17" s="7" t="s">
        <v>72</v>
      </c>
      <c r="H17" s="46" t="s">
        <v>14</v>
      </c>
      <c r="I17" s="48">
        <v>9000.0</v>
      </c>
    </row>
    <row r="18">
      <c r="A18" s="46" t="s">
        <v>946</v>
      </c>
      <c r="B18" s="7" t="s">
        <v>1049</v>
      </c>
      <c r="C18" s="46" t="s">
        <v>1040</v>
      </c>
      <c r="D18" s="47">
        <v>20000.0</v>
      </c>
      <c r="F18" s="46" t="s">
        <v>73</v>
      </c>
      <c r="G18" s="7" t="s">
        <v>75</v>
      </c>
      <c r="H18" s="46" t="s">
        <v>14</v>
      </c>
      <c r="I18" s="48"/>
    </row>
    <row r="19">
      <c r="A19" s="46" t="s">
        <v>947</v>
      </c>
      <c r="B19" s="7" t="s">
        <v>1050</v>
      </c>
      <c r="C19" s="46" t="s">
        <v>1051</v>
      </c>
      <c r="D19" s="47">
        <v>6000.0</v>
      </c>
      <c r="F19" s="46" t="s">
        <v>76</v>
      </c>
      <c r="G19" s="7" t="s">
        <v>78</v>
      </c>
      <c r="H19" s="46" t="s">
        <v>14</v>
      </c>
      <c r="I19" s="48"/>
    </row>
    <row r="20">
      <c r="A20" s="46" t="s">
        <v>949</v>
      </c>
      <c r="B20" s="7" t="s">
        <v>1052</v>
      </c>
      <c r="C20" s="46" t="s">
        <v>1051</v>
      </c>
      <c r="D20" s="47">
        <v>9000.0</v>
      </c>
      <c r="F20" s="46" t="s">
        <v>79</v>
      </c>
      <c r="G20" s="7" t="s">
        <v>81</v>
      </c>
      <c r="H20" s="46" t="s">
        <v>39</v>
      </c>
      <c r="I20" s="48"/>
    </row>
    <row r="21" ht="15.75" customHeight="1">
      <c r="A21" s="46" t="s">
        <v>950</v>
      </c>
      <c r="B21" s="7" t="s">
        <v>1053</v>
      </c>
      <c r="C21" s="46" t="s">
        <v>1051</v>
      </c>
      <c r="D21" s="47">
        <v>8000.0</v>
      </c>
      <c r="F21" s="46" t="s">
        <v>82</v>
      </c>
      <c r="G21" s="7" t="s">
        <v>84</v>
      </c>
      <c r="H21" s="46" t="s">
        <v>39</v>
      </c>
      <c r="I21" s="48"/>
    </row>
    <row r="22" ht="15.75" customHeight="1">
      <c r="A22" s="46" t="s">
        <v>952</v>
      </c>
      <c r="B22" s="7" t="s">
        <v>1054</v>
      </c>
      <c r="C22" s="46" t="s">
        <v>1051</v>
      </c>
      <c r="D22" s="47">
        <v>12000.0</v>
      </c>
      <c r="F22" s="46" t="s">
        <v>85</v>
      </c>
      <c r="G22" s="7" t="s">
        <v>87</v>
      </c>
      <c r="H22" s="46" t="s">
        <v>14</v>
      </c>
      <c r="I22" s="48">
        <v>8000.0</v>
      </c>
    </row>
    <row r="23" ht="15.75" customHeight="1">
      <c r="A23" s="46" t="s">
        <v>954</v>
      </c>
      <c r="B23" s="7" t="s">
        <v>1055</v>
      </c>
      <c r="C23" s="46" t="s">
        <v>1051</v>
      </c>
      <c r="D23" s="47">
        <v>10000.0</v>
      </c>
      <c r="F23" s="46" t="s">
        <v>88</v>
      </c>
      <c r="G23" s="7" t="s">
        <v>90</v>
      </c>
      <c r="H23" s="46" t="s">
        <v>14</v>
      </c>
      <c r="I23" s="48"/>
    </row>
    <row r="24" ht="15.75" customHeight="1">
      <c r="A24" s="46" t="s">
        <v>956</v>
      </c>
      <c r="B24" s="7" t="s">
        <v>1056</v>
      </c>
      <c r="C24" s="46" t="s">
        <v>1051</v>
      </c>
      <c r="D24" s="47">
        <v>12000.0</v>
      </c>
      <c r="F24" s="46" t="s">
        <v>91</v>
      </c>
      <c r="G24" s="7" t="s">
        <v>93</v>
      </c>
      <c r="H24" s="46" t="s">
        <v>14</v>
      </c>
      <c r="I24" s="48"/>
    </row>
    <row r="25" ht="15.75" customHeight="1">
      <c r="A25" s="46" t="s">
        <v>959</v>
      </c>
      <c r="B25" s="7" t="s">
        <v>1057</v>
      </c>
      <c r="C25" s="46" t="s">
        <v>1051</v>
      </c>
      <c r="D25" s="47">
        <v>15000.0</v>
      </c>
      <c r="F25" s="46" t="s">
        <v>94</v>
      </c>
      <c r="G25" s="7" t="s">
        <v>96</v>
      </c>
      <c r="H25" s="46" t="s">
        <v>97</v>
      </c>
      <c r="I25" s="48"/>
    </row>
    <row r="26" ht="15.75" customHeight="1">
      <c r="A26" s="46" t="s">
        <v>961</v>
      </c>
      <c r="B26" s="7" t="s">
        <v>1058</v>
      </c>
      <c r="C26" s="46" t="s">
        <v>1051</v>
      </c>
      <c r="D26" s="47">
        <v>24000.0</v>
      </c>
      <c r="F26" s="46" t="s">
        <v>98</v>
      </c>
      <c r="G26" s="7" t="s">
        <v>100</v>
      </c>
      <c r="H26" s="46" t="s">
        <v>14</v>
      </c>
      <c r="I26" s="48"/>
    </row>
    <row r="27" ht="15.75" customHeight="1">
      <c r="A27" s="46" t="s">
        <v>1059</v>
      </c>
      <c r="B27" s="7" t="s">
        <v>1060</v>
      </c>
      <c r="C27" s="46" t="s">
        <v>1051</v>
      </c>
      <c r="D27" s="47">
        <v>28000.0</v>
      </c>
      <c r="F27" s="46" t="s">
        <v>101</v>
      </c>
      <c r="G27" s="7" t="s">
        <v>103</v>
      </c>
      <c r="H27" s="46" t="s">
        <v>39</v>
      </c>
      <c r="I27" s="48">
        <v>1500.0</v>
      </c>
    </row>
    <row r="28" ht="15.75" customHeight="1">
      <c r="A28" s="46" t="s">
        <v>963</v>
      </c>
      <c r="B28" s="7" t="s">
        <v>1061</v>
      </c>
      <c r="C28" s="46" t="s">
        <v>1062</v>
      </c>
      <c r="D28" s="47">
        <v>12000.0</v>
      </c>
      <c r="F28" s="46" t="s">
        <v>105</v>
      </c>
      <c r="G28" s="7" t="s">
        <v>107</v>
      </c>
      <c r="H28" s="46" t="s">
        <v>39</v>
      </c>
      <c r="I28" s="48">
        <v>1500.0</v>
      </c>
    </row>
    <row r="29" ht="15.75" customHeight="1">
      <c r="A29" s="46" t="s">
        <v>965</v>
      </c>
      <c r="B29" s="7" t="s">
        <v>1063</v>
      </c>
      <c r="C29" s="46" t="s">
        <v>1062</v>
      </c>
      <c r="D29" s="47">
        <v>25000.0</v>
      </c>
      <c r="F29" s="46" t="s">
        <v>108</v>
      </c>
      <c r="G29" s="7" t="s">
        <v>110</v>
      </c>
      <c r="H29" s="46" t="s">
        <v>39</v>
      </c>
      <c r="I29" s="48"/>
    </row>
    <row r="30" ht="15.75" customHeight="1">
      <c r="A30" s="46" t="s">
        <v>967</v>
      </c>
      <c r="B30" s="7" t="s">
        <v>1064</v>
      </c>
      <c r="C30" s="46" t="s">
        <v>1062</v>
      </c>
      <c r="D30" s="47">
        <v>8000.0</v>
      </c>
      <c r="F30" s="46" t="s">
        <v>111</v>
      </c>
      <c r="G30" s="7" t="s">
        <v>113</v>
      </c>
      <c r="H30" s="46" t="s">
        <v>39</v>
      </c>
      <c r="I30" s="48"/>
    </row>
    <row r="31" ht="15.75" customHeight="1">
      <c r="A31" s="46" t="s">
        <v>969</v>
      </c>
      <c r="B31" s="7" t="s">
        <v>1065</v>
      </c>
      <c r="C31" s="46" t="s">
        <v>1062</v>
      </c>
      <c r="D31" s="47">
        <v>10000.0</v>
      </c>
      <c r="F31" s="46" t="s">
        <v>115</v>
      </c>
      <c r="G31" s="7" t="s">
        <v>117</v>
      </c>
      <c r="H31" s="46" t="s">
        <v>39</v>
      </c>
      <c r="I31" s="48">
        <v>3000.0</v>
      </c>
    </row>
    <row r="32" ht="15.75" customHeight="1">
      <c r="A32" s="46" t="s">
        <v>1066</v>
      </c>
      <c r="B32" s="7" t="s">
        <v>1067</v>
      </c>
      <c r="C32" s="46" t="s">
        <v>1068</v>
      </c>
      <c r="D32" s="47">
        <v>160000.0</v>
      </c>
      <c r="F32" s="46" t="s">
        <v>119</v>
      </c>
      <c r="G32" s="7" t="s">
        <v>121</v>
      </c>
      <c r="H32" s="46" t="s">
        <v>39</v>
      </c>
      <c r="I32" s="48">
        <v>3000.0</v>
      </c>
    </row>
    <row r="33" ht="15.75" customHeight="1">
      <c r="A33" s="46" t="s">
        <v>1069</v>
      </c>
      <c r="B33" s="7" t="s">
        <v>1070</v>
      </c>
      <c r="C33" s="46" t="s">
        <v>1068</v>
      </c>
      <c r="D33" s="47">
        <v>175000.0</v>
      </c>
      <c r="F33" s="46" t="s">
        <v>122</v>
      </c>
      <c r="G33" s="7" t="s">
        <v>124</v>
      </c>
      <c r="H33" s="46" t="s">
        <v>39</v>
      </c>
      <c r="I33" s="48"/>
    </row>
    <row r="34" ht="15.75" customHeight="1">
      <c r="A34" s="46" t="s">
        <v>1071</v>
      </c>
      <c r="B34" s="7" t="s">
        <v>1072</v>
      </c>
      <c r="C34" s="46" t="s">
        <v>1068</v>
      </c>
      <c r="D34" s="47">
        <v>55000.0</v>
      </c>
      <c r="F34" s="46" t="s">
        <v>125</v>
      </c>
      <c r="G34" s="7" t="s">
        <v>127</v>
      </c>
      <c r="H34" s="46" t="s">
        <v>14</v>
      </c>
      <c r="I34" s="48"/>
    </row>
    <row r="35" ht="15.75" customHeight="1">
      <c r="A35" s="46" t="s">
        <v>972</v>
      </c>
      <c r="B35" s="7" t="s">
        <v>1073</v>
      </c>
      <c r="C35" s="46" t="s">
        <v>1074</v>
      </c>
      <c r="D35" s="47">
        <v>12000.0</v>
      </c>
      <c r="F35" s="46" t="s">
        <v>129</v>
      </c>
      <c r="G35" s="7" t="s">
        <v>131</v>
      </c>
      <c r="H35" s="46" t="s">
        <v>14</v>
      </c>
      <c r="I35" s="48"/>
    </row>
    <row r="36" ht="15.75" customHeight="1">
      <c r="A36" s="46" t="s">
        <v>974</v>
      </c>
      <c r="B36" s="7" t="s">
        <v>1075</v>
      </c>
      <c r="C36" s="46" t="s">
        <v>1074</v>
      </c>
      <c r="D36" s="47">
        <v>45000.0</v>
      </c>
      <c r="F36" s="46" t="s">
        <v>133</v>
      </c>
      <c r="G36" s="7" t="s">
        <v>135</v>
      </c>
      <c r="H36" s="46" t="s">
        <v>14</v>
      </c>
      <c r="I36" s="48"/>
    </row>
    <row r="37" ht="15.75" customHeight="1">
      <c r="A37" s="46" t="s">
        <v>976</v>
      </c>
      <c r="B37" s="7" t="s">
        <v>1076</v>
      </c>
      <c r="C37" s="46" t="s">
        <v>1074</v>
      </c>
      <c r="D37" s="47">
        <v>120000.0</v>
      </c>
      <c r="F37" s="46" t="s">
        <v>136</v>
      </c>
      <c r="G37" s="7" t="s">
        <v>138</v>
      </c>
      <c r="H37" s="46" t="s">
        <v>14</v>
      </c>
      <c r="I37" s="48"/>
    </row>
    <row r="38" ht="15.75" customHeight="1">
      <c r="A38" s="46" t="s">
        <v>700</v>
      </c>
      <c r="B38" s="7" t="s">
        <v>1077</v>
      </c>
      <c r="C38" s="46" t="s">
        <v>1074</v>
      </c>
      <c r="D38" s="47">
        <v>45000.0</v>
      </c>
      <c r="F38" s="46" t="s">
        <v>139</v>
      </c>
      <c r="G38" s="7" t="s">
        <v>141</v>
      </c>
      <c r="H38" s="46" t="s">
        <v>14</v>
      </c>
      <c r="I38" s="48"/>
    </row>
    <row r="39" ht="15.75" customHeight="1">
      <c r="A39" s="46" t="s">
        <v>697</v>
      </c>
      <c r="B39" s="7" t="s">
        <v>1078</v>
      </c>
      <c r="C39" s="46" t="s">
        <v>1074</v>
      </c>
      <c r="D39" s="47">
        <v>50000.0</v>
      </c>
      <c r="F39" s="46" t="s">
        <v>143</v>
      </c>
      <c r="G39" s="7" t="s">
        <v>145</v>
      </c>
      <c r="H39" s="46" t="s">
        <v>14</v>
      </c>
      <c r="I39" s="48"/>
    </row>
    <row r="40" ht="15.75" customHeight="1">
      <c r="A40" s="46" t="s">
        <v>1079</v>
      </c>
      <c r="B40" s="7" t="s">
        <v>1080</v>
      </c>
      <c r="C40" s="46" t="s">
        <v>1074</v>
      </c>
      <c r="D40" s="47">
        <v>32000.0</v>
      </c>
      <c r="F40" s="46" t="s">
        <v>146</v>
      </c>
      <c r="G40" s="7" t="s">
        <v>148</v>
      </c>
      <c r="H40" s="46" t="s">
        <v>14</v>
      </c>
      <c r="I40" s="48"/>
    </row>
    <row r="41" ht="15.75" customHeight="1">
      <c r="A41" s="46" t="s">
        <v>1081</v>
      </c>
      <c r="B41" s="7" t="s">
        <v>1082</v>
      </c>
      <c r="C41" s="46" t="s">
        <v>1074</v>
      </c>
      <c r="D41" s="47">
        <v>70000.0</v>
      </c>
      <c r="F41" s="46" t="s">
        <v>149</v>
      </c>
      <c r="G41" s="7" t="s">
        <v>151</v>
      </c>
      <c r="H41" s="46" t="s">
        <v>14</v>
      </c>
      <c r="I41" s="48"/>
    </row>
    <row r="42" ht="15.75" customHeight="1">
      <c r="A42" s="46" t="s">
        <v>1083</v>
      </c>
      <c r="B42" s="7" t="s">
        <v>1084</v>
      </c>
      <c r="C42" s="46" t="s">
        <v>1074</v>
      </c>
      <c r="D42" s="47">
        <v>155000.0</v>
      </c>
      <c r="F42" s="46" t="s">
        <v>152</v>
      </c>
      <c r="G42" s="7" t="s">
        <v>154</v>
      </c>
      <c r="H42" s="46" t="s">
        <v>14</v>
      </c>
      <c r="I42" s="48"/>
    </row>
    <row r="43" ht="15.75" customHeight="1">
      <c r="A43" s="46" t="s">
        <v>977</v>
      </c>
      <c r="C43" s="46" t="s">
        <v>1085</v>
      </c>
      <c r="D43" s="47"/>
      <c r="F43" s="46" t="s">
        <v>156</v>
      </c>
      <c r="G43" s="7" t="s">
        <v>158</v>
      </c>
      <c r="H43" s="46" t="s">
        <v>14</v>
      </c>
      <c r="I43" s="48">
        <v>15000.0</v>
      </c>
    </row>
    <row r="44" ht="15.75" customHeight="1">
      <c r="A44" s="46" t="s">
        <v>980</v>
      </c>
      <c r="C44" s="46" t="s">
        <v>1085</v>
      </c>
      <c r="D44" s="47"/>
      <c r="F44" s="46" t="s">
        <v>160</v>
      </c>
      <c r="G44" s="7" t="s">
        <v>162</v>
      </c>
      <c r="H44" s="46" t="s">
        <v>39</v>
      </c>
      <c r="I44" s="48">
        <v>10000.0</v>
      </c>
    </row>
    <row r="45" ht="15.75" customHeight="1">
      <c r="A45" s="46" t="s">
        <v>981</v>
      </c>
      <c r="C45" s="46" t="s">
        <v>1085</v>
      </c>
      <c r="D45" s="47"/>
      <c r="F45" s="46" t="s">
        <v>164</v>
      </c>
      <c r="G45" s="7" t="s">
        <v>166</v>
      </c>
      <c r="H45" s="46" t="s">
        <v>167</v>
      </c>
      <c r="I45" s="48">
        <v>15000.0</v>
      </c>
    </row>
    <row r="46" ht="15.75" customHeight="1">
      <c r="A46" s="46" t="s">
        <v>983</v>
      </c>
      <c r="C46" s="46" t="s">
        <v>1085</v>
      </c>
      <c r="D46" s="47"/>
      <c r="F46" s="46" t="s">
        <v>169</v>
      </c>
      <c r="G46" s="7" t="s">
        <v>171</v>
      </c>
      <c r="H46" s="46" t="s">
        <v>167</v>
      </c>
      <c r="I46" s="48"/>
    </row>
    <row r="47" ht="15.75" customHeight="1">
      <c r="A47" s="46" t="s">
        <v>1087</v>
      </c>
      <c r="C47" s="46" t="s">
        <v>1085</v>
      </c>
      <c r="D47" s="47"/>
      <c r="F47" s="46" t="s">
        <v>172</v>
      </c>
      <c r="G47" s="7" t="s">
        <v>174</v>
      </c>
      <c r="H47" s="46" t="s">
        <v>167</v>
      </c>
      <c r="I47" s="48"/>
    </row>
    <row r="48" ht="15.75" customHeight="1">
      <c r="A48" s="46" t="s">
        <v>1089</v>
      </c>
      <c r="C48" s="46" t="s">
        <v>1085</v>
      </c>
      <c r="D48" s="47"/>
      <c r="F48" s="46" t="s">
        <v>175</v>
      </c>
      <c r="G48" s="7" t="s">
        <v>177</v>
      </c>
      <c r="H48" s="46" t="s">
        <v>14</v>
      </c>
      <c r="I48" s="48"/>
    </row>
    <row r="49" ht="15.75" customHeight="1">
      <c r="A49" s="46" t="s">
        <v>984</v>
      </c>
      <c r="C49" s="46" t="s">
        <v>1085</v>
      </c>
      <c r="D49" s="47"/>
      <c r="F49" s="46" t="s">
        <v>178</v>
      </c>
      <c r="G49" s="7" t="s">
        <v>180</v>
      </c>
      <c r="H49" s="46" t="s">
        <v>14</v>
      </c>
      <c r="I49" s="48"/>
    </row>
    <row r="50" ht="15.75" customHeight="1">
      <c r="A50" s="46" t="s">
        <v>1090</v>
      </c>
      <c r="C50" s="46" t="s">
        <v>1085</v>
      </c>
      <c r="D50" s="47"/>
      <c r="F50" s="46" t="s">
        <v>181</v>
      </c>
      <c r="G50" s="7" t="s">
        <v>183</v>
      </c>
      <c r="H50" s="46" t="s">
        <v>97</v>
      </c>
      <c r="I50" s="48">
        <v>1500.0</v>
      </c>
    </row>
    <row r="51" ht="15.75" customHeight="1">
      <c r="A51" s="46" t="s">
        <v>1091</v>
      </c>
      <c r="C51" s="46" t="s">
        <v>1085</v>
      </c>
      <c r="D51" s="47"/>
      <c r="F51" s="46" t="s">
        <v>185</v>
      </c>
      <c r="G51" s="7" t="s">
        <v>187</v>
      </c>
      <c r="H51" s="46" t="s">
        <v>14</v>
      </c>
      <c r="I51" s="48"/>
    </row>
    <row r="52" ht="15.75" customHeight="1">
      <c r="A52" s="46" t="s">
        <v>1092</v>
      </c>
      <c r="C52" s="46" t="s">
        <v>1085</v>
      </c>
      <c r="D52" s="47"/>
      <c r="F52" s="46" t="s">
        <v>189</v>
      </c>
      <c r="G52" s="7" t="s">
        <v>191</v>
      </c>
      <c r="H52" s="46" t="s">
        <v>39</v>
      </c>
      <c r="I52" s="48">
        <v>20000.0</v>
      </c>
    </row>
    <row r="53" ht="15.75" customHeight="1">
      <c r="A53" s="46" t="s">
        <v>985</v>
      </c>
      <c r="C53" s="46" t="s">
        <v>1085</v>
      </c>
      <c r="D53" s="47"/>
      <c r="F53" s="46" t="s">
        <v>193</v>
      </c>
      <c r="G53" s="7" t="s">
        <v>195</v>
      </c>
      <c r="H53" s="46" t="s">
        <v>14</v>
      </c>
      <c r="I53" s="48"/>
    </row>
    <row r="54" ht="15.75" customHeight="1">
      <c r="A54" s="46" t="s">
        <v>988</v>
      </c>
      <c r="C54" s="46" t="s">
        <v>1085</v>
      </c>
      <c r="D54" s="47"/>
      <c r="F54" s="46" t="s">
        <v>196</v>
      </c>
      <c r="G54" s="7" t="s">
        <v>198</v>
      </c>
      <c r="H54" s="46" t="s">
        <v>14</v>
      </c>
      <c r="I54" s="48"/>
    </row>
    <row r="55" ht="15.75" customHeight="1">
      <c r="A55" s="46" t="s">
        <v>990</v>
      </c>
      <c r="C55" s="46" t="s">
        <v>1085</v>
      </c>
      <c r="D55" s="47"/>
      <c r="F55" s="46" t="s">
        <v>200</v>
      </c>
      <c r="G55" s="7" t="s">
        <v>202</v>
      </c>
      <c r="H55" s="46" t="s">
        <v>14</v>
      </c>
      <c r="I55" s="48"/>
    </row>
    <row r="56" ht="15.75" customHeight="1">
      <c r="A56" s="46" t="s">
        <v>991</v>
      </c>
      <c r="C56" s="46" t="s">
        <v>1093</v>
      </c>
      <c r="D56" s="47"/>
      <c r="F56" s="46" t="s">
        <v>203</v>
      </c>
      <c r="G56" s="7" t="s">
        <v>205</v>
      </c>
      <c r="H56" s="46" t="s">
        <v>14</v>
      </c>
      <c r="I56" s="48"/>
    </row>
    <row r="57" ht="15.75" customHeight="1">
      <c r="A57" s="46" t="s">
        <v>993</v>
      </c>
      <c r="C57" s="46" t="s">
        <v>1093</v>
      </c>
      <c r="D57" s="47"/>
      <c r="F57" s="46" t="s">
        <v>206</v>
      </c>
      <c r="G57" s="7" t="s">
        <v>208</v>
      </c>
      <c r="H57" s="46" t="s">
        <v>14</v>
      </c>
      <c r="I57" s="48"/>
    </row>
    <row r="58" ht="15.75" customHeight="1">
      <c r="A58" s="46" t="s">
        <v>995</v>
      </c>
      <c r="C58" s="46" t="s">
        <v>1093</v>
      </c>
      <c r="D58" s="47"/>
      <c r="F58" s="46" t="s">
        <v>209</v>
      </c>
      <c r="G58" s="7" t="s">
        <v>211</v>
      </c>
      <c r="H58" s="46" t="s">
        <v>14</v>
      </c>
      <c r="I58" s="48"/>
    </row>
    <row r="59" ht="15.75" customHeight="1">
      <c r="A59" s="46" t="s">
        <v>996</v>
      </c>
      <c r="C59" s="46" t="s">
        <v>1093</v>
      </c>
      <c r="D59" s="47"/>
      <c r="F59" s="46" t="s">
        <v>213</v>
      </c>
      <c r="G59" s="7" t="s">
        <v>215</v>
      </c>
      <c r="H59" s="46" t="s">
        <v>167</v>
      </c>
      <c r="I59" s="48"/>
    </row>
    <row r="60" ht="15.75" customHeight="1">
      <c r="A60" s="46" t="s">
        <v>997</v>
      </c>
      <c r="C60" s="46" t="s">
        <v>1093</v>
      </c>
      <c r="D60" s="47"/>
      <c r="F60" s="46" t="s">
        <v>218</v>
      </c>
      <c r="G60" s="7" t="s">
        <v>220</v>
      </c>
      <c r="H60" s="46" t="s">
        <v>14</v>
      </c>
      <c r="I60" s="48">
        <v>35000.0</v>
      </c>
    </row>
    <row r="61" ht="15.75" customHeight="1">
      <c r="A61" s="46" t="s">
        <v>998</v>
      </c>
      <c r="C61" s="46" t="s">
        <v>1093</v>
      </c>
      <c r="D61" s="47"/>
      <c r="F61" s="46" t="s">
        <v>222</v>
      </c>
      <c r="G61" s="7" t="s">
        <v>224</v>
      </c>
      <c r="H61" s="46" t="s">
        <v>14</v>
      </c>
      <c r="I61" s="48"/>
    </row>
    <row r="62" ht="15.75" customHeight="1">
      <c r="A62" s="46" t="s">
        <v>592</v>
      </c>
      <c r="C62" s="46" t="s">
        <v>1093</v>
      </c>
      <c r="D62" s="47"/>
      <c r="F62" s="46" t="s">
        <v>225</v>
      </c>
      <c r="G62" s="7" t="s">
        <v>227</v>
      </c>
      <c r="H62" s="46" t="s">
        <v>14</v>
      </c>
      <c r="I62" s="48"/>
    </row>
    <row r="63" ht="15.75" customHeight="1">
      <c r="A63" s="46" t="s">
        <v>999</v>
      </c>
      <c r="C63" s="46" t="s">
        <v>1094</v>
      </c>
      <c r="D63" s="47"/>
      <c r="F63" s="46" t="s">
        <v>228</v>
      </c>
      <c r="G63" s="7" t="s">
        <v>230</v>
      </c>
      <c r="H63" s="46" t="s">
        <v>14</v>
      </c>
      <c r="I63" s="48"/>
    </row>
    <row r="64" ht="15.75" customHeight="1">
      <c r="A64" s="46" t="s">
        <v>1000</v>
      </c>
      <c r="C64" s="46" t="s">
        <v>1094</v>
      </c>
      <c r="D64" s="47"/>
      <c r="F64" s="46" t="s">
        <v>231</v>
      </c>
      <c r="G64" s="7" t="s">
        <v>233</v>
      </c>
      <c r="H64" s="46" t="s">
        <v>14</v>
      </c>
      <c r="I64" s="48"/>
    </row>
    <row r="65" ht="15.75" customHeight="1">
      <c r="A65" s="46" t="s">
        <v>1001</v>
      </c>
      <c r="C65" s="46" t="s">
        <v>1094</v>
      </c>
      <c r="D65" s="47"/>
      <c r="F65" s="46" t="s">
        <v>234</v>
      </c>
      <c r="G65" s="7" t="s">
        <v>236</v>
      </c>
      <c r="H65" s="46" t="s">
        <v>14</v>
      </c>
      <c r="I65" s="48"/>
    </row>
    <row r="66" ht="15.75" customHeight="1">
      <c r="A66" s="46" t="s">
        <v>1002</v>
      </c>
      <c r="C66" s="46" t="s">
        <v>1040</v>
      </c>
      <c r="D66" s="47"/>
      <c r="F66" s="46" t="s">
        <v>237</v>
      </c>
      <c r="G66" s="7" t="s">
        <v>239</v>
      </c>
      <c r="H66" s="46" t="s">
        <v>14</v>
      </c>
      <c r="I66" s="48"/>
    </row>
    <row r="67" ht="15.75" customHeight="1">
      <c r="A67" s="46" t="s">
        <v>1003</v>
      </c>
      <c r="C67" s="46" t="s">
        <v>1040</v>
      </c>
      <c r="D67" s="47"/>
      <c r="F67" s="46" t="s">
        <v>240</v>
      </c>
      <c r="G67" s="7" t="s">
        <v>242</v>
      </c>
      <c r="H67" s="46" t="s">
        <v>14</v>
      </c>
      <c r="I67" s="48"/>
    </row>
    <row r="68" ht="15.75" customHeight="1">
      <c r="A68" s="46" t="s">
        <v>1004</v>
      </c>
      <c r="C68" s="46" t="s">
        <v>1051</v>
      </c>
      <c r="D68" s="47"/>
      <c r="F68" s="46" t="s">
        <v>243</v>
      </c>
      <c r="G68" s="7" t="s">
        <v>245</v>
      </c>
      <c r="H68" s="46" t="s">
        <v>97</v>
      </c>
      <c r="I68" s="48">
        <v>4000.0</v>
      </c>
    </row>
    <row r="69" ht="15.75" customHeight="1">
      <c r="A69" s="46" t="s">
        <v>1005</v>
      </c>
      <c r="C69" s="46" t="s">
        <v>1051</v>
      </c>
      <c r="D69" s="47"/>
      <c r="F69" s="46" t="s">
        <v>247</v>
      </c>
      <c r="G69" s="7" t="s">
        <v>249</v>
      </c>
      <c r="H69" s="46" t="s">
        <v>14</v>
      </c>
      <c r="I69" s="48"/>
    </row>
    <row r="70" ht="15.75" customHeight="1">
      <c r="A70" s="46" t="s">
        <v>1006</v>
      </c>
      <c r="C70" s="46" t="s">
        <v>1040</v>
      </c>
      <c r="D70" s="47"/>
      <c r="F70" s="46" t="s">
        <v>250</v>
      </c>
      <c r="G70" s="7" t="s">
        <v>252</v>
      </c>
      <c r="H70" s="46" t="s">
        <v>14</v>
      </c>
      <c r="I70" s="48"/>
    </row>
    <row r="71" ht="15.75" customHeight="1">
      <c r="A71" s="46" t="s">
        <v>1007</v>
      </c>
      <c r="C71" s="46" t="s">
        <v>1051</v>
      </c>
      <c r="D71" s="47"/>
      <c r="F71" s="46" t="s">
        <v>253</v>
      </c>
      <c r="G71" s="7" t="s">
        <v>255</v>
      </c>
      <c r="H71" s="46" t="s">
        <v>14</v>
      </c>
      <c r="I71" s="48"/>
    </row>
    <row r="72" ht="15.75" customHeight="1">
      <c r="A72" s="46" t="s">
        <v>1008</v>
      </c>
      <c r="C72" s="46" t="s">
        <v>1051</v>
      </c>
      <c r="D72" s="47"/>
      <c r="F72" s="46" t="s">
        <v>256</v>
      </c>
      <c r="G72" s="7" t="s">
        <v>258</v>
      </c>
      <c r="H72" s="46" t="s">
        <v>14</v>
      </c>
      <c r="I72" s="48"/>
    </row>
    <row r="73" ht="15.75" customHeight="1">
      <c r="A73" s="46" t="s">
        <v>1010</v>
      </c>
      <c r="C73" s="46" t="s">
        <v>1095</v>
      </c>
      <c r="D73" s="47"/>
      <c r="F73" s="46" t="s">
        <v>259</v>
      </c>
      <c r="G73" s="7" t="s">
        <v>261</v>
      </c>
      <c r="H73" s="46" t="s">
        <v>14</v>
      </c>
      <c r="I73" s="48"/>
    </row>
    <row r="74" ht="15.75" customHeight="1">
      <c r="A74" s="46" t="s">
        <v>1011</v>
      </c>
      <c r="C74" s="46" t="s">
        <v>1095</v>
      </c>
      <c r="D74" s="47"/>
      <c r="F74" s="46" t="s">
        <v>262</v>
      </c>
      <c r="G74" s="7" t="s">
        <v>264</v>
      </c>
      <c r="H74" s="46" t="s">
        <v>97</v>
      </c>
      <c r="I74" s="48"/>
    </row>
    <row r="75" ht="15.75" customHeight="1">
      <c r="A75" s="46" t="s">
        <v>1012</v>
      </c>
      <c r="C75" s="46" t="s">
        <v>1095</v>
      </c>
      <c r="D75" s="47"/>
      <c r="F75" s="46" t="s">
        <v>266</v>
      </c>
      <c r="G75" s="7" t="s">
        <v>268</v>
      </c>
      <c r="H75" s="46" t="s">
        <v>14</v>
      </c>
      <c r="I75" s="48"/>
    </row>
    <row r="76" ht="15.75" customHeight="1">
      <c r="A76" s="46" t="s">
        <v>1013</v>
      </c>
      <c r="C76" s="46" t="s">
        <v>1095</v>
      </c>
      <c r="D76" s="47"/>
      <c r="F76" s="46" t="s">
        <v>270</v>
      </c>
      <c r="G76" s="7" t="s">
        <v>272</v>
      </c>
      <c r="H76" s="46" t="s">
        <v>14</v>
      </c>
      <c r="I76" s="48"/>
    </row>
    <row r="77" ht="15.75" customHeight="1">
      <c r="A77" s="46" t="s">
        <v>1014</v>
      </c>
      <c r="C77" s="46" t="s">
        <v>1096</v>
      </c>
      <c r="D77" s="47"/>
      <c r="F77" s="46" t="s">
        <v>274</v>
      </c>
      <c r="G77" s="7" t="s">
        <v>276</v>
      </c>
      <c r="H77" s="46" t="s">
        <v>14</v>
      </c>
      <c r="I77" s="48">
        <v>10000.0</v>
      </c>
    </row>
    <row r="78" ht="15.75" customHeight="1">
      <c r="A78" s="46" t="s">
        <v>1016</v>
      </c>
      <c r="C78" s="46" t="s">
        <v>1096</v>
      </c>
      <c r="D78" s="47"/>
      <c r="F78" s="46" t="s">
        <v>277</v>
      </c>
      <c r="G78" s="7" t="s">
        <v>279</v>
      </c>
      <c r="H78" s="46" t="s">
        <v>14</v>
      </c>
      <c r="I78" s="48"/>
    </row>
    <row r="79" ht="15.75" customHeight="1">
      <c r="A79" s="46" t="s">
        <v>1017</v>
      </c>
      <c r="C79" s="46" t="s">
        <v>1096</v>
      </c>
      <c r="D79" s="47"/>
      <c r="F79" s="46" t="s">
        <v>280</v>
      </c>
      <c r="G79" s="7" t="s">
        <v>282</v>
      </c>
      <c r="H79" s="46" t="s">
        <v>14</v>
      </c>
      <c r="I79" s="48"/>
    </row>
    <row r="80" ht="15.75" customHeight="1">
      <c r="F80" s="46" t="s">
        <v>283</v>
      </c>
      <c r="G80" s="7" t="s">
        <v>285</v>
      </c>
      <c r="H80" s="46" t="s">
        <v>14</v>
      </c>
      <c r="I80" s="48"/>
    </row>
    <row r="81" ht="15.75" customHeight="1">
      <c r="F81" s="46" t="s">
        <v>286</v>
      </c>
      <c r="G81" s="7" t="s">
        <v>288</v>
      </c>
      <c r="H81" s="46" t="s">
        <v>14</v>
      </c>
      <c r="I81" s="48">
        <v>18000.0</v>
      </c>
    </row>
    <row r="82" ht="15.75" customHeight="1">
      <c r="F82" s="46" t="s">
        <v>290</v>
      </c>
      <c r="G82" s="7" t="s">
        <v>292</v>
      </c>
      <c r="H82" s="46" t="s">
        <v>14</v>
      </c>
      <c r="I82" s="48">
        <v>23000.0</v>
      </c>
    </row>
    <row r="83" ht="15.75" customHeight="1">
      <c r="F83" s="46" t="s">
        <v>294</v>
      </c>
      <c r="G83" s="7" t="s">
        <v>296</v>
      </c>
      <c r="H83" s="46" t="s">
        <v>14</v>
      </c>
      <c r="I83" s="48"/>
    </row>
    <row r="84" ht="15.75" customHeight="1">
      <c r="F84" s="46" t="s">
        <v>297</v>
      </c>
      <c r="G84" s="7" t="s">
        <v>299</v>
      </c>
      <c r="H84" s="46" t="s">
        <v>14</v>
      </c>
      <c r="I84" s="48"/>
    </row>
    <row r="85" ht="15.75" customHeight="1">
      <c r="F85" s="46" t="s">
        <v>300</v>
      </c>
      <c r="G85" s="7" t="s">
        <v>302</v>
      </c>
      <c r="H85" s="46" t="s">
        <v>14</v>
      </c>
      <c r="I85" s="48"/>
    </row>
    <row r="86" ht="15.75" customHeight="1">
      <c r="F86" s="46" t="s">
        <v>303</v>
      </c>
      <c r="G86" s="7" t="s">
        <v>305</v>
      </c>
      <c r="H86" s="46" t="s">
        <v>14</v>
      </c>
      <c r="I86" s="48"/>
    </row>
    <row r="87" ht="15.75" customHeight="1">
      <c r="F87" s="46" t="s">
        <v>306</v>
      </c>
      <c r="G87" s="7" t="s">
        <v>308</v>
      </c>
      <c r="H87" s="46" t="s">
        <v>14</v>
      </c>
      <c r="I87" s="48"/>
    </row>
    <row r="88" ht="15.75" customHeight="1">
      <c r="F88" s="46" t="s">
        <v>309</v>
      </c>
      <c r="G88" s="7" t="s">
        <v>311</v>
      </c>
      <c r="H88" s="46" t="s">
        <v>14</v>
      </c>
      <c r="I88" s="48"/>
    </row>
    <row r="89" ht="15.75" customHeight="1">
      <c r="F89" s="46" t="s">
        <v>312</v>
      </c>
      <c r="G89" s="7" t="s">
        <v>314</v>
      </c>
      <c r="H89" s="46" t="s">
        <v>14</v>
      </c>
      <c r="I89" s="48"/>
    </row>
    <row r="90" ht="15.75" customHeight="1">
      <c r="F90" s="46" t="s">
        <v>315</v>
      </c>
      <c r="G90" s="7" t="s">
        <v>317</v>
      </c>
      <c r="H90" s="46" t="s">
        <v>14</v>
      </c>
      <c r="I90" s="48"/>
    </row>
    <row r="91" ht="15.75" customHeight="1">
      <c r="F91" s="46" t="s">
        <v>318</v>
      </c>
      <c r="G91" s="7" t="s">
        <v>320</v>
      </c>
      <c r="H91" s="46" t="s">
        <v>14</v>
      </c>
      <c r="I91" s="48"/>
    </row>
    <row r="92" ht="15.75" customHeight="1">
      <c r="F92" s="46" t="s">
        <v>321</v>
      </c>
      <c r="G92" s="7" t="s">
        <v>323</v>
      </c>
      <c r="H92" s="46" t="s">
        <v>14</v>
      </c>
      <c r="I92" s="48"/>
    </row>
    <row r="93" ht="15.75" customHeight="1">
      <c r="F93" s="46" t="s">
        <v>324</v>
      </c>
      <c r="G93" s="7" t="s">
        <v>326</v>
      </c>
      <c r="H93" s="46" t="s">
        <v>39</v>
      </c>
      <c r="I93" s="48"/>
    </row>
    <row r="94" ht="15.75" customHeight="1">
      <c r="F94" s="46" t="s">
        <v>327</v>
      </c>
      <c r="G94" s="7" t="s">
        <v>329</v>
      </c>
      <c r="H94" s="46" t="s">
        <v>14</v>
      </c>
      <c r="I94" s="48"/>
    </row>
    <row r="95" ht="15.75" customHeight="1">
      <c r="F95" s="46" t="s">
        <v>330</v>
      </c>
      <c r="G95" s="7" t="s">
        <v>332</v>
      </c>
      <c r="H95" s="46" t="s">
        <v>14</v>
      </c>
      <c r="I95" s="48"/>
    </row>
    <row r="96" ht="15.75" customHeight="1">
      <c r="F96" s="46" t="s">
        <v>333</v>
      </c>
      <c r="G96" s="7" t="s">
        <v>335</v>
      </c>
      <c r="H96" s="46" t="s">
        <v>14</v>
      </c>
      <c r="I96" s="48"/>
    </row>
    <row r="97" ht="15.75" customHeight="1">
      <c r="F97" s="46" t="s">
        <v>336</v>
      </c>
      <c r="G97" s="7" t="s">
        <v>338</v>
      </c>
      <c r="H97" s="46" t="s">
        <v>14</v>
      </c>
      <c r="I97" s="48"/>
    </row>
    <row r="98" ht="15.75" customHeight="1">
      <c r="F98" s="46" t="s">
        <v>339</v>
      </c>
      <c r="G98" s="7" t="s">
        <v>341</v>
      </c>
      <c r="H98" s="46" t="s">
        <v>14</v>
      </c>
      <c r="I98" s="48"/>
    </row>
    <row r="99" ht="15.75" customHeight="1">
      <c r="F99" s="46" t="s">
        <v>342</v>
      </c>
      <c r="G99" s="7" t="s">
        <v>344</v>
      </c>
      <c r="H99" s="46" t="s">
        <v>97</v>
      </c>
      <c r="I99" s="48"/>
    </row>
    <row r="100" ht="15.75" customHeight="1">
      <c r="F100" s="46" t="s">
        <v>346</v>
      </c>
      <c r="G100" s="7" t="s">
        <v>348</v>
      </c>
      <c r="H100" s="46" t="s">
        <v>97</v>
      </c>
      <c r="I100" s="48"/>
    </row>
    <row r="101" ht="15.75" customHeight="1">
      <c r="F101" s="46" t="s">
        <v>349</v>
      </c>
      <c r="G101" s="7" t="s">
        <v>351</v>
      </c>
      <c r="H101" s="46" t="s">
        <v>97</v>
      </c>
      <c r="I101" s="48"/>
    </row>
    <row r="102" ht="15.75" customHeight="1">
      <c r="F102" s="46" t="s">
        <v>353</v>
      </c>
      <c r="G102" s="7" t="s">
        <v>355</v>
      </c>
      <c r="H102" s="46" t="s">
        <v>97</v>
      </c>
      <c r="I102" s="48">
        <v>1000.0</v>
      </c>
    </row>
    <row r="103" ht="15.75" customHeight="1">
      <c r="F103" s="46" t="s">
        <v>357</v>
      </c>
      <c r="G103" s="7" t="s">
        <v>359</v>
      </c>
      <c r="H103" s="46" t="s">
        <v>97</v>
      </c>
      <c r="I103" s="48"/>
    </row>
    <row r="104" ht="15.75" customHeight="1">
      <c r="F104" s="46" t="s">
        <v>360</v>
      </c>
      <c r="G104" s="7" t="s">
        <v>362</v>
      </c>
      <c r="H104" s="46" t="s">
        <v>14</v>
      </c>
      <c r="I104" s="48"/>
    </row>
    <row r="105" ht="15.75" customHeight="1">
      <c r="F105" s="46" t="s">
        <v>364</v>
      </c>
      <c r="G105" s="7" t="s">
        <v>366</v>
      </c>
      <c r="H105" s="46" t="s">
        <v>39</v>
      </c>
      <c r="I105" s="48"/>
    </row>
    <row r="106" ht="15.75" customHeight="1">
      <c r="F106" s="46" t="s">
        <v>367</v>
      </c>
      <c r="G106" s="7" t="s">
        <v>369</v>
      </c>
      <c r="H106" s="46" t="s">
        <v>370</v>
      </c>
      <c r="I106" s="48"/>
    </row>
    <row r="107" ht="15.75" customHeight="1">
      <c r="F107" s="46" t="s">
        <v>371</v>
      </c>
      <c r="G107" s="7" t="s">
        <v>373</v>
      </c>
      <c r="H107" s="46" t="s">
        <v>370</v>
      </c>
      <c r="I107" s="48"/>
    </row>
    <row r="108" ht="15.75" customHeight="1">
      <c r="F108" s="46" t="s">
        <v>374</v>
      </c>
      <c r="G108" s="7" t="s">
        <v>376</v>
      </c>
      <c r="H108" s="46" t="s">
        <v>14</v>
      </c>
      <c r="I108" s="48"/>
    </row>
    <row r="109" ht="15.75" customHeight="1">
      <c r="F109" s="46" t="s">
        <v>377</v>
      </c>
      <c r="G109" s="7" t="s">
        <v>379</v>
      </c>
      <c r="H109" s="46" t="s">
        <v>14</v>
      </c>
      <c r="I109" s="48">
        <v>70000.0</v>
      </c>
    </row>
    <row r="110" ht="15.75" customHeight="1">
      <c r="F110" s="46" t="s">
        <v>381</v>
      </c>
      <c r="G110" s="7" t="s">
        <v>383</v>
      </c>
      <c r="H110" s="46" t="s">
        <v>39</v>
      </c>
      <c r="I110" s="48">
        <v>23000.0</v>
      </c>
    </row>
    <row r="111" ht="15.75" customHeight="1">
      <c r="F111" s="46" t="s">
        <v>385</v>
      </c>
      <c r="G111" s="7" t="s">
        <v>387</v>
      </c>
      <c r="H111" s="46" t="s">
        <v>14</v>
      </c>
      <c r="I111" s="48">
        <v>33333.33</v>
      </c>
    </row>
    <row r="112" ht="15.75" customHeight="1">
      <c r="F112" s="46" t="s">
        <v>389</v>
      </c>
      <c r="G112" s="7" t="s">
        <v>391</v>
      </c>
      <c r="H112" s="46" t="s">
        <v>14</v>
      </c>
      <c r="I112" s="48">
        <v>40000.0</v>
      </c>
    </row>
    <row r="113" ht="15.75" customHeight="1">
      <c r="F113" s="46" t="s">
        <v>393</v>
      </c>
      <c r="G113" s="7" t="s">
        <v>395</v>
      </c>
      <c r="H113" s="46" t="s">
        <v>167</v>
      </c>
      <c r="I113" s="48">
        <v>16000.0</v>
      </c>
    </row>
    <row r="114" ht="15.75" customHeight="1">
      <c r="F114" s="46" t="s">
        <v>397</v>
      </c>
      <c r="G114" s="7" t="s">
        <v>399</v>
      </c>
      <c r="H114" s="46" t="s">
        <v>167</v>
      </c>
      <c r="I114" s="48"/>
    </row>
    <row r="115" ht="15.75" customHeight="1">
      <c r="F115" s="46" t="s">
        <v>400</v>
      </c>
      <c r="G115" s="7" t="s">
        <v>402</v>
      </c>
      <c r="H115" s="46" t="s">
        <v>14</v>
      </c>
      <c r="I115" s="48">
        <v>66666.67</v>
      </c>
    </row>
    <row r="116" ht="15.75" customHeight="1">
      <c r="F116" s="46" t="s">
        <v>404</v>
      </c>
      <c r="G116" s="7" t="s">
        <v>406</v>
      </c>
      <c r="H116" s="46" t="s">
        <v>39</v>
      </c>
      <c r="I116" s="48">
        <v>7000.0</v>
      </c>
    </row>
    <row r="117" ht="15.75" customHeight="1">
      <c r="F117" s="46" t="s">
        <v>408</v>
      </c>
      <c r="G117" s="7" t="s">
        <v>410</v>
      </c>
      <c r="H117" s="46" t="s">
        <v>14</v>
      </c>
      <c r="I117" s="48">
        <v>30000.0</v>
      </c>
    </row>
    <row r="118" ht="15.75" customHeight="1">
      <c r="F118" s="46" t="s">
        <v>412</v>
      </c>
      <c r="G118" s="7" t="s">
        <v>414</v>
      </c>
      <c r="H118" s="46" t="s">
        <v>14</v>
      </c>
      <c r="I118" s="48">
        <v>32000.0</v>
      </c>
    </row>
    <row r="119" ht="15.75" customHeight="1">
      <c r="F119" s="46" t="s">
        <v>416</v>
      </c>
      <c r="G119" s="7" t="s">
        <v>418</v>
      </c>
      <c r="H119" s="46" t="s">
        <v>14</v>
      </c>
      <c r="I119" s="48"/>
    </row>
    <row r="120" ht="15.75" customHeight="1">
      <c r="F120" s="46" t="s">
        <v>419</v>
      </c>
      <c r="G120" s="7" t="s">
        <v>421</v>
      </c>
      <c r="H120" s="46" t="s">
        <v>167</v>
      </c>
      <c r="I120" s="48"/>
    </row>
    <row r="121" ht="15.75" customHeight="1">
      <c r="F121" s="46" t="s">
        <v>423</v>
      </c>
      <c r="G121" s="7" t="s">
        <v>425</v>
      </c>
      <c r="H121" s="46" t="s">
        <v>167</v>
      </c>
      <c r="I121" s="48"/>
    </row>
    <row r="122" ht="15.75" customHeight="1">
      <c r="F122" s="46" t="s">
        <v>426</v>
      </c>
      <c r="G122" s="7" t="s">
        <v>428</v>
      </c>
      <c r="H122" s="46" t="s">
        <v>167</v>
      </c>
      <c r="I122" s="48"/>
    </row>
    <row r="123" ht="15.75" customHeight="1">
      <c r="F123" s="46" t="s">
        <v>430</v>
      </c>
      <c r="G123" s="7" t="s">
        <v>432</v>
      </c>
      <c r="H123" s="46" t="s">
        <v>167</v>
      </c>
      <c r="I123" s="48"/>
    </row>
    <row r="124" ht="15.75" customHeight="1">
      <c r="F124" s="46" t="s">
        <v>433</v>
      </c>
      <c r="G124" s="7" t="s">
        <v>435</v>
      </c>
      <c r="H124" s="46" t="s">
        <v>167</v>
      </c>
      <c r="I124" s="48"/>
    </row>
    <row r="125" ht="15.75" customHeight="1">
      <c r="F125" s="46" t="s">
        <v>437</v>
      </c>
      <c r="G125" s="7" t="s">
        <v>439</v>
      </c>
      <c r="H125" s="46" t="s">
        <v>440</v>
      </c>
      <c r="I125" s="48"/>
    </row>
    <row r="126" ht="15.75" customHeight="1">
      <c r="F126" s="46" t="s">
        <v>442</v>
      </c>
      <c r="G126" s="7" t="s">
        <v>444</v>
      </c>
      <c r="H126" s="46" t="s">
        <v>14</v>
      </c>
      <c r="I126" s="48"/>
    </row>
    <row r="127" ht="15.75" customHeight="1">
      <c r="F127" s="46" t="s">
        <v>445</v>
      </c>
      <c r="G127" s="7" t="s">
        <v>447</v>
      </c>
      <c r="H127" s="46" t="s">
        <v>14</v>
      </c>
      <c r="I127" s="48"/>
    </row>
    <row r="128" ht="15.75" customHeight="1">
      <c r="F128" s="46" t="s">
        <v>448</v>
      </c>
      <c r="G128" s="7" t="s">
        <v>450</v>
      </c>
      <c r="H128" s="46" t="s">
        <v>14</v>
      </c>
      <c r="I128" s="48"/>
    </row>
    <row r="129" ht="15.75" customHeight="1">
      <c r="F129" s="46" t="s">
        <v>452</v>
      </c>
      <c r="G129" s="7" t="s">
        <v>454</v>
      </c>
      <c r="H129" s="46" t="s">
        <v>14</v>
      </c>
      <c r="I129" s="48"/>
    </row>
    <row r="130" ht="15.75" customHeight="1">
      <c r="F130" s="46" t="s">
        <v>455</v>
      </c>
      <c r="G130" s="7" t="s">
        <v>457</v>
      </c>
      <c r="H130" s="46" t="s">
        <v>167</v>
      </c>
      <c r="I130" s="48"/>
    </row>
    <row r="131" ht="15.75" customHeight="1">
      <c r="F131" s="46" t="s">
        <v>458</v>
      </c>
      <c r="G131" s="7" t="s">
        <v>460</v>
      </c>
      <c r="H131" s="46" t="s">
        <v>167</v>
      </c>
      <c r="I131" s="48"/>
    </row>
    <row r="132" ht="15.75" customHeight="1">
      <c r="F132" s="46" t="s">
        <v>461</v>
      </c>
      <c r="G132" s="7" t="s">
        <v>463</v>
      </c>
      <c r="H132" s="46" t="s">
        <v>167</v>
      </c>
      <c r="I132" s="48"/>
    </row>
    <row r="133" ht="15.75" customHeight="1">
      <c r="F133" s="46" t="s">
        <v>464</v>
      </c>
      <c r="G133" s="7" t="s">
        <v>466</v>
      </c>
      <c r="H133" s="46" t="s">
        <v>167</v>
      </c>
      <c r="I133" s="48"/>
    </row>
    <row r="134" ht="15.75" customHeight="1">
      <c r="F134" s="46" t="s">
        <v>467</v>
      </c>
      <c r="G134" s="7" t="s">
        <v>469</v>
      </c>
      <c r="H134" s="46" t="s">
        <v>167</v>
      </c>
      <c r="I134" s="48"/>
    </row>
    <row r="135" ht="15.75" customHeight="1">
      <c r="F135" s="46" t="s">
        <v>470</v>
      </c>
      <c r="G135" s="7" t="s">
        <v>472</v>
      </c>
      <c r="H135" s="46" t="s">
        <v>167</v>
      </c>
      <c r="I135" s="48"/>
    </row>
    <row r="136" ht="15.75" customHeight="1">
      <c r="F136" s="46" t="s">
        <v>473</v>
      </c>
      <c r="G136" s="7" t="s">
        <v>475</v>
      </c>
      <c r="H136" s="46" t="s">
        <v>14</v>
      </c>
      <c r="I136" s="48"/>
    </row>
    <row r="137" ht="15.75" customHeight="1">
      <c r="F137" s="46" t="s">
        <v>476</v>
      </c>
      <c r="G137" s="7" t="s">
        <v>478</v>
      </c>
      <c r="H137" s="46" t="s">
        <v>14</v>
      </c>
      <c r="I137" s="48"/>
    </row>
    <row r="138" ht="15.75" customHeight="1">
      <c r="F138" s="46" t="s">
        <v>479</v>
      </c>
      <c r="G138" s="7" t="s">
        <v>481</v>
      </c>
      <c r="H138" s="46" t="s">
        <v>39</v>
      </c>
      <c r="I138" s="48">
        <v>6000.0</v>
      </c>
    </row>
    <row r="139" ht="15.75" customHeight="1">
      <c r="F139" s="46" t="s">
        <v>483</v>
      </c>
      <c r="G139" s="7" t="s">
        <v>485</v>
      </c>
      <c r="H139" s="46" t="s">
        <v>14</v>
      </c>
      <c r="I139" s="48"/>
    </row>
    <row r="140" ht="15.75" customHeight="1">
      <c r="F140" s="46" t="s">
        <v>486</v>
      </c>
      <c r="G140" s="7" t="s">
        <v>488</v>
      </c>
      <c r="H140" s="46" t="s">
        <v>14</v>
      </c>
      <c r="I140" s="48">
        <v>1000000.0</v>
      </c>
    </row>
    <row r="141" ht="15.75" customHeight="1">
      <c r="F141" s="46" t="s">
        <v>490</v>
      </c>
      <c r="G141" s="7" t="s">
        <v>492</v>
      </c>
      <c r="H141" s="46" t="s">
        <v>14</v>
      </c>
      <c r="I141" s="48">
        <v>400000.0</v>
      </c>
    </row>
    <row r="142" ht="15.75" customHeight="1">
      <c r="F142" s="46" t="s">
        <v>494</v>
      </c>
      <c r="G142" s="7" t="s">
        <v>496</v>
      </c>
      <c r="H142" s="46" t="s">
        <v>14</v>
      </c>
      <c r="I142" s="48">
        <v>200000.0</v>
      </c>
    </row>
    <row r="143" ht="15.75" customHeight="1">
      <c r="F143" s="46" t="s">
        <v>498</v>
      </c>
      <c r="G143" s="7" t="s">
        <v>500</v>
      </c>
      <c r="H143" s="46" t="s">
        <v>14</v>
      </c>
      <c r="I143" s="48">
        <v>266666.67</v>
      </c>
    </row>
    <row r="144" ht="15.75" customHeight="1">
      <c r="F144" s="46" t="s">
        <v>502</v>
      </c>
      <c r="G144" s="7" t="s">
        <v>504</v>
      </c>
      <c r="H144" s="46" t="s">
        <v>14</v>
      </c>
      <c r="I144" s="48">
        <v>266666.67</v>
      </c>
    </row>
    <row r="145" ht="15.75" customHeight="1">
      <c r="F145" s="46" t="s">
        <v>506</v>
      </c>
      <c r="G145" s="7" t="s">
        <v>508</v>
      </c>
      <c r="H145" s="46" t="s">
        <v>14</v>
      </c>
      <c r="I145" s="48">
        <v>400000.0</v>
      </c>
    </row>
    <row r="146" ht="15.75" customHeight="1">
      <c r="F146" s="46" t="s">
        <v>510</v>
      </c>
      <c r="G146" s="7" t="s">
        <v>512</v>
      </c>
      <c r="H146" s="46" t="s">
        <v>14</v>
      </c>
      <c r="I146" s="48">
        <v>400000.0</v>
      </c>
    </row>
    <row r="147" ht="15.75" customHeight="1">
      <c r="F147" s="46" t="s">
        <v>513</v>
      </c>
      <c r="G147" s="7" t="s">
        <v>515</v>
      </c>
      <c r="H147" s="46" t="s">
        <v>14</v>
      </c>
      <c r="I147" s="48"/>
    </row>
    <row r="148" ht="15.75" customHeight="1">
      <c r="F148" s="46" t="s">
        <v>517</v>
      </c>
      <c r="G148" s="7" t="s">
        <v>519</v>
      </c>
      <c r="H148" s="46" t="s">
        <v>14</v>
      </c>
      <c r="I148" s="48"/>
    </row>
    <row r="149" ht="15.75" customHeight="1">
      <c r="F149" s="46" t="s">
        <v>520</v>
      </c>
      <c r="G149" s="7" t="s">
        <v>522</v>
      </c>
      <c r="H149" s="46" t="s">
        <v>14</v>
      </c>
      <c r="I149" s="48"/>
    </row>
    <row r="150" ht="15.75" customHeight="1">
      <c r="F150" s="46" t="s">
        <v>523</v>
      </c>
      <c r="G150" s="7" t="s">
        <v>525</v>
      </c>
      <c r="H150" s="46" t="s">
        <v>14</v>
      </c>
      <c r="I150" s="48"/>
    </row>
    <row r="151" ht="15.75" customHeight="1">
      <c r="F151" s="46" t="s">
        <v>526</v>
      </c>
      <c r="G151" s="7" t="s">
        <v>528</v>
      </c>
      <c r="H151" s="46" t="s">
        <v>14</v>
      </c>
      <c r="I151" s="48"/>
    </row>
    <row r="152" ht="15.75" customHeight="1">
      <c r="F152" s="46" t="s">
        <v>529</v>
      </c>
      <c r="G152" s="7" t="s">
        <v>531</v>
      </c>
      <c r="H152" s="46" t="s">
        <v>14</v>
      </c>
      <c r="I152" s="48"/>
    </row>
    <row r="153" ht="15.75" customHeight="1">
      <c r="F153" s="46" t="s">
        <v>532</v>
      </c>
      <c r="G153" s="7" t="s">
        <v>534</v>
      </c>
      <c r="H153" s="46" t="s">
        <v>14</v>
      </c>
      <c r="I153" s="48"/>
    </row>
    <row r="154" ht="15.75" customHeight="1">
      <c r="F154" s="46" t="s">
        <v>535</v>
      </c>
      <c r="G154" s="7" t="s">
        <v>537</v>
      </c>
      <c r="H154" s="46" t="s">
        <v>370</v>
      </c>
      <c r="I154" s="48"/>
    </row>
    <row r="155" ht="15.75" customHeight="1">
      <c r="F155" s="46" t="s">
        <v>538</v>
      </c>
      <c r="G155" s="7" t="s">
        <v>540</v>
      </c>
      <c r="H155" s="46" t="s">
        <v>370</v>
      </c>
      <c r="I155" s="48"/>
    </row>
    <row r="156" ht="15.75" customHeight="1">
      <c r="F156" s="46" t="s">
        <v>541</v>
      </c>
      <c r="G156" s="7" t="s">
        <v>543</v>
      </c>
      <c r="H156" s="46" t="s">
        <v>370</v>
      </c>
      <c r="I156" s="48"/>
    </row>
    <row r="157" ht="15.75" customHeight="1">
      <c r="F157" s="46" t="s">
        <v>544</v>
      </c>
      <c r="G157" s="7" t="s">
        <v>546</v>
      </c>
      <c r="H157" s="46" t="s">
        <v>14</v>
      </c>
      <c r="I157" s="48"/>
    </row>
    <row r="158" ht="15.75" customHeight="1">
      <c r="F158" s="46" t="s">
        <v>547</v>
      </c>
      <c r="G158" s="7" t="s">
        <v>549</v>
      </c>
      <c r="H158" s="46" t="s">
        <v>14</v>
      </c>
      <c r="I158" s="48"/>
    </row>
    <row r="159" ht="15.75" customHeight="1">
      <c r="F159" s="46" t="s">
        <v>550</v>
      </c>
      <c r="G159" s="7" t="s">
        <v>552</v>
      </c>
      <c r="H159" s="46" t="s">
        <v>14</v>
      </c>
      <c r="I159" s="48"/>
    </row>
    <row r="160" ht="15.75" customHeight="1">
      <c r="F160" s="46" t="s">
        <v>553</v>
      </c>
      <c r="G160" s="7" t="s">
        <v>555</v>
      </c>
      <c r="H160" s="46" t="s">
        <v>14</v>
      </c>
      <c r="I160" s="48"/>
    </row>
    <row r="161" ht="15.75" customHeight="1">
      <c r="F161" s="46" t="s">
        <v>556</v>
      </c>
      <c r="G161" s="7" t="s">
        <v>558</v>
      </c>
      <c r="H161" s="46" t="s">
        <v>14</v>
      </c>
      <c r="I161" s="48"/>
    </row>
    <row r="162" ht="15.75" customHeight="1">
      <c r="F162" s="46" t="s">
        <v>559</v>
      </c>
      <c r="G162" s="7" t="s">
        <v>561</v>
      </c>
      <c r="H162" s="46" t="s">
        <v>14</v>
      </c>
      <c r="I162" s="48"/>
    </row>
    <row r="163" ht="15.75" customHeight="1">
      <c r="F163" s="46" t="s">
        <v>562</v>
      </c>
      <c r="G163" s="7" t="s">
        <v>564</v>
      </c>
      <c r="H163" s="46" t="s">
        <v>14</v>
      </c>
      <c r="I163" s="48"/>
    </row>
    <row r="164" ht="15.75" customHeight="1">
      <c r="F164" s="46" t="s">
        <v>566</v>
      </c>
      <c r="G164" s="7" t="s">
        <v>568</v>
      </c>
      <c r="H164" s="46" t="s">
        <v>14</v>
      </c>
      <c r="I164" s="48"/>
    </row>
    <row r="165" ht="15.75" customHeight="1">
      <c r="F165" s="46" t="s">
        <v>569</v>
      </c>
      <c r="G165" s="7" t="s">
        <v>571</v>
      </c>
      <c r="H165" s="46" t="s">
        <v>14</v>
      </c>
      <c r="I165" s="48"/>
    </row>
    <row r="166" ht="15.75" customHeight="1">
      <c r="F166" s="46" t="s">
        <v>572</v>
      </c>
      <c r="G166" s="7" t="s">
        <v>574</v>
      </c>
      <c r="H166" s="46" t="s">
        <v>14</v>
      </c>
      <c r="I166" s="48"/>
    </row>
    <row r="167" ht="15.75" customHeight="1">
      <c r="F167" s="46" t="s">
        <v>576</v>
      </c>
      <c r="G167" s="7" t="s">
        <v>578</v>
      </c>
      <c r="H167" s="46" t="s">
        <v>14</v>
      </c>
      <c r="I167" s="48"/>
    </row>
    <row r="168" ht="15.75" customHeight="1">
      <c r="F168" s="46" t="s">
        <v>579</v>
      </c>
      <c r="G168" s="7" t="s">
        <v>581</v>
      </c>
      <c r="H168" s="46" t="s">
        <v>14</v>
      </c>
      <c r="I168" s="48"/>
    </row>
    <row r="169" ht="15.75" customHeight="1">
      <c r="F169" s="46" t="s">
        <v>582</v>
      </c>
      <c r="G169" s="7" t="s">
        <v>584</v>
      </c>
      <c r="H169" s="46" t="s">
        <v>14</v>
      </c>
      <c r="I169" s="48"/>
    </row>
    <row r="170" ht="15.75" customHeight="1">
      <c r="F170" s="46" t="s">
        <v>585</v>
      </c>
      <c r="G170" s="7" t="s">
        <v>587</v>
      </c>
      <c r="H170" s="46" t="s">
        <v>14</v>
      </c>
      <c r="I170" s="48"/>
    </row>
    <row r="171" ht="15.75" customHeight="1">
      <c r="F171" s="46" t="s">
        <v>588</v>
      </c>
      <c r="G171" s="7" t="s">
        <v>590</v>
      </c>
      <c r="H171" s="46" t="s">
        <v>14</v>
      </c>
      <c r="I171" s="48"/>
    </row>
    <row r="172" ht="15.75" customHeight="1">
      <c r="F172" s="46" t="s">
        <v>592</v>
      </c>
      <c r="G172" s="7" t="s">
        <v>594</v>
      </c>
      <c r="H172" s="46" t="s">
        <v>14</v>
      </c>
      <c r="I172" s="48"/>
    </row>
    <row r="173" ht="15.75" customHeight="1">
      <c r="F173" s="46" t="s">
        <v>595</v>
      </c>
      <c r="G173" s="7" t="s">
        <v>597</v>
      </c>
      <c r="H173" s="46" t="s">
        <v>14</v>
      </c>
      <c r="I173" s="48"/>
    </row>
    <row r="174" ht="15.75" customHeight="1">
      <c r="F174" s="46" t="s">
        <v>598</v>
      </c>
      <c r="G174" s="7" t="s">
        <v>600</v>
      </c>
      <c r="H174" s="46" t="s">
        <v>14</v>
      </c>
      <c r="I174" s="48">
        <v>250000.0</v>
      </c>
    </row>
    <row r="175" ht="15.75" customHeight="1">
      <c r="F175" s="46" t="s">
        <v>602</v>
      </c>
      <c r="G175" s="7" t="s">
        <v>604</v>
      </c>
      <c r="H175" s="46" t="s">
        <v>605</v>
      </c>
      <c r="I175" s="48">
        <v>420.0</v>
      </c>
    </row>
    <row r="176" ht="15.75" customHeight="1">
      <c r="F176" s="46" t="s">
        <v>607</v>
      </c>
      <c r="G176" s="7" t="s">
        <v>609</v>
      </c>
      <c r="H176" s="46" t="s">
        <v>605</v>
      </c>
      <c r="I176" s="48">
        <v>585.0</v>
      </c>
    </row>
    <row r="177" ht="15.75" customHeight="1">
      <c r="F177" s="46" t="s">
        <v>611</v>
      </c>
      <c r="G177" s="7" t="s">
        <v>613</v>
      </c>
      <c r="H177" s="46" t="s">
        <v>605</v>
      </c>
      <c r="I177" s="48">
        <v>2000.0</v>
      </c>
    </row>
    <row r="178" ht="15.75" customHeight="1">
      <c r="F178" s="46" t="s">
        <v>615</v>
      </c>
      <c r="G178" s="7" t="s">
        <v>617</v>
      </c>
      <c r="H178" s="46" t="s">
        <v>605</v>
      </c>
      <c r="I178" s="48">
        <v>1325.0</v>
      </c>
    </row>
    <row r="179" ht="15.75" customHeight="1">
      <c r="F179" s="46" t="s">
        <v>619</v>
      </c>
      <c r="G179" s="7" t="s">
        <v>621</v>
      </c>
      <c r="H179" s="46" t="s">
        <v>14</v>
      </c>
      <c r="I179" s="48"/>
    </row>
    <row r="180" ht="15.75" customHeight="1">
      <c r="F180" s="46" t="s">
        <v>622</v>
      </c>
      <c r="G180" s="7" t="s">
        <v>624</v>
      </c>
      <c r="H180" s="46" t="s">
        <v>14</v>
      </c>
      <c r="I180" s="48"/>
    </row>
    <row r="181" ht="15.75" customHeight="1">
      <c r="F181" s="46" t="s">
        <v>625</v>
      </c>
      <c r="G181" s="7" t="s">
        <v>627</v>
      </c>
      <c r="H181" s="46" t="s">
        <v>14</v>
      </c>
      <c r="I181" s="48"/>
    </row>
    <row r="182" ht="15.75" customHeight="1">
      <c r="F182" s="46" t="s">
        <v>628</v>
      </c>
      <c r="G182" s="7" t="s">
        <v>630</v>
      </c>
      <c r="H182" s="46" t="s">
        <v>605</v>
      </c>
      <c r="I182" s="48">
        <v>4450.0</v>
      </c>
    </row>
    <row r="183" ht="15.75" customHeight="1">
      <c r="F183" s="46" t="s">
        <v>632</v>
      </c>
      <c r="G183" s="7" t="s">
        <v>634</v>
      </c>
      <c r="H183" s="46" t="s">
        <v>605</v>
      </c>
      <c r="I183" s="48">
        <v>3000.0</v>
      </c>
    </row>
    <row r="184" ht="15.75" customHeight="1">
      <c r="F184" s="46" t="s">
        <v>636</v>
      </c>
      <c r="G184" s="7" t="s">
        <v>638</v>
      </c>
      <c r="H184" s="46" t="s">
        <v>14</v>
      </c>
      <c r="I184" s="48"/>
    </row>
    <row r="185" ht="15.75" customHeight="1">
      <c r="F185" s="46" t="s">
        <v>639</v>
      </c>
      <c r="G185" s="7" t="s">
        <v>641</v>
      </c>
      <c r="H185" s="46" t="s">
        <v>167</v>
      </c>
      <c r="I185" s="48"/>
    </row>
    <row r="186" ht="15.75" customHeight="1">
      <c r="F186" s="46" t="s">
        <v>642</v>
      </c>
      <c r="G186" s="7" t="s">
        <v>644</v>
      </c>
      <c r="H186" s="46" t="s">
        <v>167</v>
      </c>
      <c r="I186" s="48"/>
    </row>
    <row r="187" ht="15.75" customHeight="1">
      <c r="F187" s="46" t="s">
        <v>645</v>
      </c>
      <c r="G187" s="7" t="s">
        <v>647</v>
      </c>
      <c r="H187" s="46" t="s">
        <v>167</v>
      </c>
      <c r="I187" s="48"/>
    </row>
    <row r="188" ht="15.75" customHeight="1">
      <c r="F188" s="46" t="s">
        <v>648</v>
      </c>
      <c r="G188" s="7" t="s">
        <v>650</v>
      </c>
      <c r="H188" s="46" t="s">
        <v>167</v>
      </c>
      <c r="I188" s="48"/>
    </row>
    <row r="189" ht="15.75" customHeight="1">
      <c r="F189" s="46" t="s">
        <v>651</v>
      </c>
      <c r="G189" s="7" t="s">
        <v>653</v>
      </c>
      <c r="H189" s="46" t="s">
        <v>654</v>
      </c>
      <c r="I189" s="48">
        <v>20000.0</v>
      </c>
    </row>
    <row r="190" ht="15.75" customHeight="1">
      <c r="F190" s="46" t="s">
        <v>656</v>
      </c>
      <c r="G190" s="7" t="s">
        <v>658</v>
      </c>
      <c r="H190" s="46" t="s">
        <v>654</v>
      </c>
      <c r="I190" s="48">
        <v>20000.0</v>
      </c>
    </row>
    <row r="191" ht="15.75" customHeight="1">
      <c r="F191" s="46" t="s">
        <v>659</v>
      </c>
      <c r="G191" s="7" t="s">
        <v>661</v>
      </c>
      <c r="H191" s="46" t="s">
        <v>654</v>
      </c>
      <c r="I191" s="48">
        <v>15000.0</v>
      </c>
    </row>
    <row r="192" ht="15.75" customHeight="1">
      <c r="F192" s="46" t="s">
        <v>663</v>
      </c>
      <c r="G192" s="7" t="s">
        <v>665</v>
      </c>
      <c r="H192" s="46" t="s">
        <v>97</v>
      </c>
      <c r="I192" s="48"/>
    </row>
    <row r="193" ht="15.75" customHeight="1">
      <c r="F193" s="46" t="s">
        <v>666</v>
      </c>
      <c r="G193" s="7" t="s">
        <v>668</v>
      </c>
      <c r="H193" s="46" t="s">
        <v>654</v>
      </c>
      <c r="I193" s="48"/>
    </row>
    <row r="194" ht="15.75" customHeight="1">
      <c r="F194" s="46" t="s">
        <v>669</v>
      </c>
      <c r="G194" s="7" t="s">
        <v>671</v>
      </c>
      <c r="H194" s="46" t="s">
        <v>654</v>
      </c>
      <c r="I194" s="48"/>
    </row>
    <row r="195" ht="15.75" customHeight="1">
      <c r="F195" s="46" t="s">
        <v>672</v>
      </c>
      <c r="G195" s="7" t="s">
        <v>674</v>
      </c>
      <c r="H195" s="46" t="s">
        <v>654</v>
      </c>
      <c r="I195" s="48"/>
    </row>
    <row r="196" ht="15.75" customHeight="1">
      <c r="F196" s="46" t="s">
        <v>675</v>
      </c>
      <c r="G196" s="7" t="s">
        <v>677</v>
      </c>
      <c r="H196" s="46" t="s">
        <v>654</v>
      </c>
      <c r="I196" s="48"/>
    </row>
    <row r="197" ht="15.75" customHeight="1">
      <c r="F197" s="46" t="s">
        <v>678</v>
      </c>
      <c r="G197" s="7" t="s">
        <v>680</v>
      </c>
      <c r="H197" s="46" t="s">
        <v>167</v>
      </c>
      <c r="I197" s="48">
        <v>15000.0</v>
      </c>
    </row>
    <row r="198" ht="15.75" customHeight="1">
      <c r="F198" s="46" t="s">
        <v>681</v>
      </c>
      <c r="G198" s="7" t="s">
        <v>683</v>
      </c>
      <c r="H198" s="46" t="s">
        <v>654</v>
      </c>
      <c r="I198" s="48">
        <v>20000.0</v>
      </c>
    </row>
    <row r="199" ht="15.75" customHeight="1">
      <c r="F199" s="46" t="s">
        <v>685</v>
      </c>
      <c r="G199" s="7" t="s">
        <v>687</v>
      </c>
      <c r="H199" s="46" t="s">
        <v>14</v>
      </c>
      <c r="I199" s="48">
        <v>4000.0</v>
      </c>
    </row>
    <row r="200" ht="15.75" customHeight="1">
      <c r="F200" s="46" t="s">
        <v>689</v>
      </c>
      <c r="G200" s="7" t="s">
        <v>691</v>
      </c>
      <c r="H200" s="46" t="s">
        <v>167</v>
      </c>
      <c r="I200" s="48">
        <v>52000.0</v>
      </c>
    </row>
    <row r="201" ht="15.75" customHeight="1">
      <c r="F201" s="46" t="s">
        <v>693</v>
      </c>
      <c r="G201" s="7" t="s">
        <v>695</v>
      </c>
      <c r="H201" s="46" t="s">
        <v>167</v>
      </c>
      <c r="I201" s="48">
        <v>50000.0</v>
      </c>
    </row>
    <row r="202" ht="15.75" customHeight="1">
      <c r="F202" s="46" t="s">
        <v>697</v>
      </c>
      <c r="G202" s="7" t="s">
        <v>699</v>
      </c>
      <c r="H202" s="46" t="s">
        <v>654</v>
      </c>
      <c r="I202" s="48">
        <v>40000.0</v>
      </c>
    </row>
    <row r="203" ht="15.75" customHeight="1">
      <c r="F203" s="46" t="s">
        <v>700</v>
      </c>
      <c r="G203" s="7" t="s">
        <v>702</v>
      </c>
      <c r="H203" s="46" t="s">
        <v>654</v>
      </c>
      <c r="I203" s="48">
        <v>35000.0</v>
      </c>
    </row>
    <row r="204" ht="15.75" customHeight="1">
      <c r="F204" s="46" t="s">
        <v>703</v>
      </c>
      <c r="G204" s="7" t="s">
        <v>705</v>
      </c>
      <c r="H204" s="46" t="s">
        <v>167</v>
      </c>
      <c r="I204" s="48"/>
    </row>
    <row r="205" ht="15.75" customHeight="1">
      <c r="F205" s="46" t="s">
        <v>707</v>
      </c>
      <c r="G205" s="7" t="s">
        <v>709</v>
      </c>
      <c r="H205" s="46" t="s">
        <v>167</v>
      </c>
      <c r="I205" s="48"/>
    </row>
    <row r="206" ht="15.75" customHeight="1">
      <c r="F206" s="46" t="s">
        <v>710</v>
      </c>
      <c r="G206" s="7" t="s">
        <v>712</v>
      </c>
      <c r="H206" s="46" t="s">
        <v>167</v>
      </c>
      <c r="I206" s="48"/>
    </row>
    <row r="207" ht="15.75" customHeight="1">
      <c r="F207" s="46" t="s">
        <v>714</v>
      </c>
      <c r="G207" s="7" t="s">
        <v>716</v>
      </c>
      <c r="H207" s="46" t="s">
        <v>167</v>
      </c>
      <c r="I207" s="48"/>
    </row>
    <row r="208" ht="15.75" customHeight="1">
      <c r="F208" s="46" t="s">
        <v>717</v>
      </c>
      <c r="G208" s="7" t="s">
        <v>719</v>
      </c>
      <c r="H208" s="46" t="s">
        <v>654</v>
      </c>
      <c r="I208" s="48"/>
    </row>
    <row r="209" ht="15.75" customHeight="1">
      <c r="F209" s="46" t="s">
        <v>720</v>
      </c>
      <c r="G209" s="7" t="s">
        <v>722</v>
      </c>
      <c r="H209" s="46" t="s">
        <v>654</v>
      </c>
      <c r="I209" s="48"/>
    </row>
    <row r="210" ht="15.75" customHeight="1">
      <c r="F210" s="46" t="s">
        <v>723</v>
      </c>
      <c r="G210" s="7" t="s">
        <v>725</v>
      </c>
      <c r="H210" s="46" t="s">
        <v>14</v>
      </c>
      <c r="I210" s="48"/>
    </row>
    <row r="211" ht="15.75" customHeight="1">
      <c r="F211" s="46" t="s">
        <v>727</v>
      </c>
      <c r="G211" s="7" t="s">
        <v>729</v>
      </c>
      <c r="H211" s="46" t="s">
        <v>14</v>
      </c>
      <c r="I211" s="48">
        <v>10000.0</v>
      </c>
    </row>
    <row r="212" ht="15.75" customHeight="1">
      <c r="F212" s="46" t="s">
        <v>730</v>
      </c>
      <c r="G212" s="7" t="s">
        <v>732</v>
      </c>
      <c r="H212" s="46" t="s">
        <v>14</v>
      </c>
      <c r="I212" s="48">
        <v>75000.0</v>
      </c>
    </row>
    <row r="213" ht="15.75" customHeight="1">
      <c r="F213" s="46" t="s">
        <v>734</v>
      </c>
      <c r="G213" s="7" t="s">
        <v>736</v>
      </c>
      <c r="H213" s="46" t="s">
        <v>14</v>
      </c>
      <c r="I213" s="48"/>
    </row>
    <row r="214" ht="15.75" customHeight="1">
      <c r="F214" s="46" t="s">
        <v>737</v>
      </c>
      <c r="G214" s="7" t="s">
        <v>739</v>
      </c>
      <c r="H214" s="46" t="s">
        <v>14</v>
      </c>
      <c r="I214" s="48">
        <v>50000.0</v>
      </c>
    </row>
    <row r="215" ht="15.75" customHeight="1">
      <c r="F215" s="46" t="s">
        <v>741</v>
      </c>
      <c r="G215" s="7" t="s">
        <v>743</v>
      </c>
      <c r="H215" s="46" t="s">
        <v>14</v>
      </c>
      <c r="I215" s="48">
        <v>50000.0</v>
      </c>
    </row>
    <row r="216" ht="15.75" customHeight="1">
      <c r="F216" s="46" t="s">
        <v>744</v>
      </c>
      <c r="G216" s="7" t="s">
        <v>746</v>
      </c>
      <c r="H216" s="46" t="s">
        <v>39</v>
      </c>
      <c r="I216" s="48"/>
    </row>
    <row r="217" ht="15.75" customHeight="1">
      <c r="F217" s="46" t="s">
        <v>747</v>
      </c>
      <c r="G217" s="7" t="s">
        <v>749</v>
      </c>
      <c r="H217" s="46" t="s">
        <v>39</v>
      </c>
      <c r="I217" s="48"/>
    </row>
    <row r="218" ht="15.75" customHeight="1">
      <c r="F218" s="46" t="s">
        <v>750</v>
      </c>
      <c r="G218" s="7" t="s">
        <v>752</v>
      </c>
      <c r="H218" s="46" t="s">
        <v>97</v>
      </c>
      <c r="I218" s="48"/>
    </row>
    <row r="219" ht="15.75" customHeight="1">
      <c r="F219" s="46" t="s">
        <v>753</v>
      </c>
      <c r="G219" s="7" t="s">
        <v>755</v>
      </c>
      <c r="H219" s="46" t="s">
        <v>97</v>
      </c>
      <c r="I219" s="48"/>
    </row>
    <row r="220" ht="15.75" customHeight="1">
      <c r="F220" s="46" t="s">
        <v>756</v>
      </c>
      <c r="G220" s="7" t="s">
        <v>758</v>
      </c>
      <c r="H220" s="46" t="s">
        <v>14</v>
      </c>
      <c r="I220" s="48"/>
    </row>
    <row r="221" ht="15.75" customHeight="1">
      <c r="F221" s="46" t="s">
        <v>760</v>
      </c>
      <c r="G221" s="7" t="s">
        <v>762</v>
      </c>
      <c r="H221" s="46" t="s">
        <v>14</v>
      </c>
      <c r="I221" s="48"/>
    </row>
    <row r="222" ht="15.75" customHeight="1">
      <c r="F222" s="46" t="s">
        <v>764</v>
      </c>
      <c r="G222" s="7" t="s">
        <v>766</v>
      </c>
      <c r="H222" s="46" t="s">
        <v>39</v>
      </c>
      <c r="I222" s="48"/>
    </row>
    <row r="223" ht="15.75" customHeight="1">
      <c r="F223" s="46" t="s">
        <v>768</v>
      </c>
      <c r="G223" s="7" t="s">
        <v>770</v>
      </c>
      <c r="H223" s="46" t="s">
        <v>39</v>
      </c>
      <c r="I223" s="48"/>
    </row>
    <row r="224" ht="15.75" customHeight="1">
      <c r="F224" s="46" t="s">
        <v>771</v>
      </c>
      <c r="G224" s="7" t="s">
        <v>773</v>
      </c>
      <c r="H224" s="46" t="s">
        <v>39</v>
      </c>
      <c r="I224" s="48"/>
    </row>
    <row r="225" ht="15.75" customHeight="1">
      <c r="F225" s="46" t="s">
        <v>774</v>
      </c>
      <c r="G225" s="7" t="s">
        <v>776</v>
      </c>
      <c r="H225" s="46" t="s">
        <v>39</v>
      </c>
      <c r="I225" s="48"/>
    </row>
    <row r="226" ht="15.75" customHeight="1">
      <c r="F226" s="46" t="s">
        <v>777</v>
      </c>
      <c r="G226" s="7" t="s">
        <v>779</v>
      </c>
      <c r="H226" s="46" t="s">
        <v>39</v>
      </c>
      <c r="I226" s="48"/>
    </row>
    <row r="227" ht="15.75" customHeight="1">
      <c r="F227" s="46" t="s">
        <v>780</v>
      </c>
      <c r="G227" s="7" t="s">
        <v>782</v>
      </c>
      <c r="H227" s="46" t="s">
        <v>39</v>
      </c>
      <c r="I227" s="48"/>
    </row>
    <row r="228" ht="15.75" customHeight="1">
      <c r="F228" s="46" t="s">
        <v>783</v>
      </c>
      <c r="G228" s="7" t="s">
        <v>785</v>
      </c>
      <c r="H228" s="46" t="s">
        <v>39</v>
      </c>
      <c r="I228" s="48"/>
    </row>
    <row r="229" ht="15.75" customHeight="1">
      <c r="F229" s="46" t="s">
        <v>786</v>
      </c>
      <c r="G229" s="7" t="s">
        <v>788</v>
      </c>
      <c r="H229" s="46" t="s">
        <v>39</v>
      </c>
      <c r="I229" s="48"/>
    </row>
    <row r="230" ht="15.75" customHeight="1">
      <c r="F230" s="46" t="s">
        <v>789</v>
      </c>
      <c r="G230" s="7" t="s">
        <v>791</v>
      </c>
      <c r="H230" s="46" t="s">
        <v>39</v>
      </c>
      <c r="I230" s="48"/>
    </row>
    <row r="231" ht="15.75" customHeight="1">
      <c r="F231" s="46" t="s">
        <v>792</v>
      </c>
      <c r="G231" s="7" t="s">
        <v>794</v>
      </c>
      <c r="H231" s="46" t="s">
        <v>39</v>
      </c>
      <c r="I231" s="48"/>
    </row>
    <row r="232" ht="15.75" customHeight="1">
      <c r="F232" s="46" t="s">
        <v>795</v>
      </c>
      <c r="G232" s="7" t="s">
        <v>797</v>
      </c>
      <c r="H232" s="46" t="s">
        <v>39</v>
      </c>
      <c r="I232" s="48"/>
    </row>
    <row r="233" ht="15.75" customHeight="1">
      <c r="F233" s="46" t="s">
        <v>798</v>
      </c>
      <c r="G233" s="7" t="s">
        <v>800</v>
      </c>
      <c r="H233" s="46" t="s">
        <v>39</v>
      </c>
      <c r="I233" s="48"/>
    </row>
    <row r="234" ht="15.75" customHeight="1">
      <c r="F234" s="46" t="s">
        <v>801</v>
      </c>
      <c r="G234" s="7" t="s">
        <v>803</v>
      </c>
      <c r="H234" s="46" t="s">
        <v>39</v>
      </c>
      <c r="I234" s="48"/>
    </row>
    <row r="235" ht="15.75" customHeight="1">
      <c r="F235" s="46" t="s">
        <v>804</v>
      </c>
      <c r="G235" s="7" t="s">
        <v>806</v>
      </c>
      <c r="H235" s="46" t="s">
        <v>39</v>
      </c>
      <c r="I235" s="48"/>
    </row>
    <row r="236" ht="15.75" customHeight="1">
      <c r="F236" s="46" t="s">
        <v>807</v>
      </c>
      <c r="G236" s="7" t="s">
        <v>809</v>
      </c>
      <c r="H236" s="46" t="s">
        <v>39</v>
      </c>
      <c r="I236" s="48"/>
    </row>
    <row r="237" ht="15.75" customHeight="1">
      <c r="F237" s="46" t="s">
        <v>810</v>
      </c>
      <c r="G237" s="7" t="s">
        <v>812</v>
      </c>
      <c r="H237" s="46" t="s">
        <v>39</v>
      </c>
      <c r="I237" s="48"/>
    </row>
    <row r="238" ht="15.75" customHeight="1">
      <c r="F238" s="46" t="s">
        <v>813</v>
      </c>
      <c r="G238" s="7" t="s">
        <v>815</v>
      </c>
      <c r="H238" s="46" t="s">
        <v>39</v>
      </c>
      <c r="I238" s="48"/>
    </row>
    <row r="239" ht="15.75" customHeight="1">
      <c r="F239" s="46" t="s">
        <v>816</v>
      </c>
      <c r="G239" s="7" t="s">
        <v>818</v>
      </c>
      <c r="H239" s="46" t="s">
        <v>97</v>
      </c>
      <c r="I239" s="48"/>
    </row>
    <row r="240" ht="15.75" customHeight="1">
      <c r="F240" s="46" t="s">
        <v>820</v>
      </c>
      <c r="G240" s="7" t="s">
        <v>822</v>
      </c>
      <c r="H240" s="46" t="s">
        <v>824</v>
      </c>
      <c r="I240" s="48">
        <v>15000.0</v>
      </c>
    </row>
    <row r="241" ht="15.75" customHeight="1">
      <c r="F241" s="46" t="s">
        <v>826</v>
      </c>
      <c r="G241" s="7" t="s">
        <v>828</v>
      </c>
      <c r="H241" s="46" t="s">
        <v>39</v>
      </c>
      <c r="I241" s="48">
        <v>14000.0</v>
      </c>
    </row>
    <row r="242" ht="15.75" customHeight="1">
      <c r="F242" s="46" t="s">
        <v>830</v>
      </c>
      <c r="G242" s="7" t="s">
        <v>832</v>
      </c>
      <c r="H242" s="46" t="s">
        <v>39</v>
      </c>
      <c r="I242" s="48">
        <v>15000.0</v>
      </c>
    </row>
    <row r="243" ht="15.75" customHeight="1">
      <c r="F243" s="46" t="s">
        <v>834</v>
      </c>
      <c r="G243" s="7" t="s">
        <v>836</v>
      </c>
      <c r="H243" s="46" t="s">
        <v>654</v>
      </c>
      <c r="I243" s="48">
        <v>2000.0</v>
      </c>
    </row>
    <row r="244" ht="15.75" customHeight="1">
      <c r="F244" s="46" t="s">
        <v>838</v>
      </c>
      <c r="G244" s="7" t="s">
        <v>840</v>
      </c>
      <c r="H244" s="46" t="s">
        <v>167</v>
      </c>
      <c r="I244" s="48"/>
    </row>
    <row r="245" ht="15.75" customHeight="1">
      <c r="F245" s="46" t="s">
        <v>841</v>
      </c>
      <c r="G245" s="7" t="s">
        <v>843</v>
      </c>
      <c r="H245" s="46" t="s">
        <v>167</v>
      </c>
      <c r="I245" s="48"/>
    </row>
    <row r="246" ht="15.75" customHeight="1">
      <c r="F246" s="46" t="s">
        <v>844</v>
      </c>
      <c r="G246" s="7" t="s">
        <v>846</v>
      </c>
      <c r="H246" s="46" t="s">
        <v>167</v>
      </c>
      <c r="I246" s="48"/>
    </row>
    <row r="247" ht="15.75" customHeight="1">
      <c r="F247" s="46" t="s">
        <v>847</v>
      </c>
      <c r="G247" s="7" t="s">
        <v>849</v>
      </c>
      <c r="H247" s="46" t="s">
        <v>39</v>
      </c>
      <c r="I247" s="48"/>
    </row>
    <row r="248" ht="15.75" customHeight="1">
      <c r="F248" s="46" t="s">
        <v>850</v>
      </c>
      <c r="G248" s="7" t="s">
        <v>852</v>
      </c>
      <c r="H248" s="46" t="s">
        <v>97</v>
      </c>
      <c r="I248" s="48"/>
    </row>
    <row r="249" ht="15.75" customHeight="1">
      <c r="F249" s="46" t="s">
        <v>853</v>
      </c>
      <c r="G249" s="7" t="s">
        <v>855</v>
      </c>
      <c r="H249" s="46" t="s">
        <v>39</v>
      </c>
      <c r="I249" s="48"/>
    </row>
    <row r="250" ht="15.75" customHeight="1">
      <c r="F250" s="46" t="s">
        <v>856</v>
      </c>
      <c r="G250" s="7" t="s">
        <v>858</v>
      </c>
      <c r="H250" s="46" t="s">
        <v>39</v>
      </c>
      <c r="I250" s="48"/>
    </row>
    <row r="251" ht="15.75" customHeight="1">
      <c r="F251" s="46" t="s">
        <v>859</v>
      </c>
      <c r="G251" s="7" t="s">
        <v>861</v>
      </c>
      <c r="H251" s="46" t="s">
        <v>14</v>
      </c>
      <c r="I251" s="48"/>
    </row>
    <row r="252" ht="15.75" customHeight="1">
      <c r="F252" s="46" t="s">
        <v>863</v>
      </c>
      <c r="G252" s="7" t="s">
        <v>865</v>
      </c>
      <c r="H252" s="46" t="s">
        <v>39</v>
      </c>
      <c r="I252" s="48"/>
    </row>
    <row r="253" ht="15.75" customHeight="1">
      <c r="F253" s="46" t="s">
        <v>866</v>
      </c>
      <c r="G253" s="7" t="s">
        <v>868</v>
      </c>
      <c r="H253" s="46" t="s">
        <v>97</v>
      </c>
      <c r="I253" s="48"/>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