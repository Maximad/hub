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0dcc5aec3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دفعة" sheetId="1" r:id="Raa797cf9f2004d27"/>
    <x:sheet xmlns:r="http://schemas.openxmlformats.org/officeDocument/2006/relationships" name="المنتجات" sheetId="2" r:id="R1f8b6463e04f43e0"/>
    <x:sheet xmlns:r="http://schemas.openxmlformats.org/officeDocument/2006/relationships" name="مواد المخزون" sheetId="3" r:id="R28912a719fc340d3"/>
    <x:sheet xmlns:r="http://schemas.openxmlformats.org/officeDocument/2006/relationships" name="الوصفات" sheetId="4" r:id="R80d53f4eab634cdb"/>
    <x:sheet xmlns:r="http://schemas.openxmlformats.org/officeDocument/2006/relationships" name="الفئات والأقسام" sheetId="5" r:id="Rcce4f00fccb84d53"/>
    <x:sheet xmlns:r="http://schemas.openxmlformats.org/officeDocument/2006/relationships" name="خيارات المنتجات" sheetId="6" r:id="R3b05b4a86b2a4d9f"/>
    <x:sheet xmlns:r="http://schemas.openxmlformats.org/officeDocument/2006/relationships" name="قائمة المراجعة" sheetId="7" r:id="R90801df02a38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"/>
    <x:numFmt numFmtId="202" formatCode="#,##0.00"/>
    <x:numFmt numFmtId="203" formatCode="0.000"/>
    <x:numFmt numFmtId="204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6B6B"/>
      <x:name val="Carlito"/>
    </x:font>
    <x:font>
      <x:b/>
      <x:sz val="11"/>
      <x:color rgb="FF0B4D46"/>
      <x:name val="Carlito"/>
    </x:font>
    <x:font>
      <x:b/>
      <x:sz val="18"/>
      <x:color rgb="FFC88A2B"/>
      <x:name val="Carlito"/>
    </x:font>
    <x:font>
      <x:sz val="10"/>
      <x:color rgb="FF262626"/>
      <x:name val="Carlito"/>
    </x:font>
    <x:font>
      <x:b/>
      <x:sz val="10"/>
      <x:color rgb="FF0B4D46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D46"/>
      </x:patternFill>
    </x:fill>
    <x:fill>
      <x:patternFill patternType="solid">
        <x:fgColor rgb="FFF6F1E8"/>
      </x:patternFill>
    </x:fill>
    <x:fill>
      <x:patternFill patternType="solid">
        <x:fgColor rgb="FFDCEFEA"/>
      </x:patternFill>
    </x:fill>
    <x:fill>
      <x:patternFill patternType="solid">
        <x:fgColor rgb="FFFFFFFF"/>
      </x:patternFill>
    </x:fill>
    <x:fill>
      <x:patternFill patternType="solid">
        <x:fgColor rgb="FF0F5F57"/>
      </x:patternFill>
    </x:fill>
  </x:fills>
  <x:borders count="12">
    <x:border/>
    <x:border/>
    <x:border>
      <x:left style="thin">
        <x:color rgb="FFD8D1C5"/>
      </x:left>
      <x:right style="thin">
        <x:color rgb="FFD8D1C5"/>
      </x:right>
      <x:top style="thin">
        <x:color rgb="FFD8D1C5"/>
      </x:top>
      <x:bottom style="thin">
        <x:color rgb="FFD8D1C5"/>
      </x:bottom>
    </x:border>
    <x:border>
      <x:left style="thin">
        <x:color rgb="FFD8D1C5"/>
      </x:left>
      <x:right style="thin">
        <x:color rgb="FFD8D1C5"/>
      </x:right>
      <x:top style="thin">
        <x:color rgb="FFD8D1C5"/>
      </x:top>
      <x:bottom style="thin">
        <x:color rgb="FFD8D1C5"/>
      </x:bottom>
    </x:border>
    <x:border>
      <x:bottom style="thin">
        <x:color rgb="FFE7E1D8"/>
      </x:bottom>
    </x:border>
    <x:border>
      <x:bottom style="thin">
        <x:color rgb="FFE7E1D8"/>
      </x:bottom>
    </x:border>
    <x:border>
      <x:left style="thin">
        <x:color rgb="FFD8D1C5"/>
      </x:left>
      <x:top style="thin">
        <x:color rgb="FFD8D1C5"/>
      </x:top>
      <x:bottom style="thin">
        <x:color rgb="FFD8D1C5"/>
      </x:bottom>
    </x:border>
    <x:border>
      <x:top style="thin">
        <x:color rgb="FFD8D1C5"/>
      </x:top>
      <x:bottom style="thin">
        <x:color rgb="FFD8D1C5"/>
      </x:bottom>
    </x:border>
    <x:border>
      <x:right style="thin">
        <x:color rgb="FFD8D1C5"/>
      </x:right>
      <x:top style="thin">
        <x:color rgb="FFD8D1C5"/>
      </x:top>
      <x:bottom style="thin">
        <x:color rgb="FFD8D1C5"/>
      </x:bottom>
    </x:border>
    <x:border>
      <x:left style="thin">
        <x:color rgb="FFD8D1C5"/>
      </x:left>
      <x:top style="thin">
        <x:color rgb="FFD8D1C5"/>
      </x:top>
      <x:bottom style="thin">
        <x:color rgb="FFD8D1C5"/>
      </x:bottom>
    </x:border>
    <x:border>
      <x:top style="thin">
        <x:color rgb="FFD8D1C5"/>
      </x:top>
      <x:bottom style="thin">
        <x:color rgb="FFD8D1C5"/>
      </x:bottom>
    </x:border>
    <x:border>
      <x:right style="thin">
        <x:color rgb="FFD8D1C5"/>
      </x:right>
      <x:top style="thin">
        <x:color rgb="FFD8D1C5"/>
      </x:top>
      <x:bottom style="thin">
        <x:color rgb="FFD8D1C5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5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7" xfId="0" applyNumberFormat="1" applyFont="1" applyFill="1" applyBorder="1" applyAlignment="1">
      <x:alignment horizontal="center" vertical="center" wrapText="1"/>
    </x:xf>
    <x:xf numFmtId="0" fontId="7" fillId="6" borderId="8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7" fillId="6" borderId="10" xfId="0" applyNumberFormat="1" applyFont="1" applyFill="1" applyBorder="1" applyAlignment="1">
      <x:alignment horizontal="center" vertical="center" wrapText="1"/>
    </x:xf>
    <x:xf numFmtId="0" fontId="7" fillId="6" borderId="11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5" fillId="0" borderId="4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3" fontId="5" fillId="0" borderId="4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3" fontId="5" fillId="0" borderId="5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 wrapText="1"/>
    </x:xf>
    <x:xf numFmtId="204" fontId="5" fillId="0" borderId="4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204" fontId="5" fillId="0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horizontal="center" wrapText="1"/>
    </x:xf>
    <x:xf numFmtId="0" fontId="7" fillId="6" borderId="7" xfId="0" applyNumberFormat="1" applyFont="1" applyFill="1" applyBorder="1" applyAlignment="1">
      <x:alignment horizontal="center" wrapText="1"/>
    </x:xf>
    <x:xf numFmtId="0" fontId="7" fillId="6" borderId="8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horizontal="center" wrapText="1"/>
    </x:xf>
    <x:xf numFmtId="0" fontId="7" fillId="6" borderId="10" xfId="0" applyNumberFormat="1" applyFont="1" applyFill="1" applyBorder="1" applyAlignment="1">
      <x:alignment horizontal="center" wrapText="1"/>
    </x:xf>
    <x:xf numFmtId="0" fontId="7" fillId="6" borderId="1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3">
    <x:dxf>
      <x:font>
        <x:b/>
        <x:color rgb="FF7A4E00"/>
      </x:font>
      <x:fill>
        <x:patternFill patternType="solid">
          <x:bgColor rgb="FFF6E7C8"/>
        </x:patternFill>
      </x:fill>
    </x:dxf>
    <x:dxf>
      <x:font>
        <x:b/>
        <x:color rgb="FF0B4D46"/>
      </x:font>
      <x:fill>
        <x:patternFill patternType="solid">
          <x:bgColor rgb="FFDCEFEA"/>
        </x:patternFill>
      </x:fill>
    </x:dxf>
    <x:dxf>
      <x:font>
        <x:color rgb="FF6B6B6B"/>
      </x:font>
      <x:fill>
        <x:patternFill patternType="solid">
          <x:bgColor rgb="FFEEF1F3"/>
        </x:patternFill>
      </x:fill>
    </x:dxf>
    <x:dxf>
      <x:fill>
        <x:patternFill patternType="solid">
          <x:bgColor rgb="FFF6E7C8"/>
        </x:patternFill>
      </x:fill>
    </x:dxf>
    <x:dxf>
      <x:font>
        <x:b/>
        <x:color rgb="FF7A4E00"/>
      </x:font>
      <x:fill>
        <x:patternFill patternType="solid">
          <x:bgColor rgb="FFF6E7C8"/>
        </x:patternFill>
      </x:fill>
    </x:dxf>
    <x:dxf>
      <x:font>
        <x:color rgb="FF6B6B6B"/>
      </x:font>
      <x:fill>
        <x:patternFill patternType="solid">
          <x:bgColor rgb="FFEEF1F3"/>
        </x:patternFill>
      </x:fill>
    </x:dxf>
    <x:dxf>
      <x:font>
        <x:b/>
        <x:color rgb="FF1E6B2C"/>
      </x:font>
      <x:fill>
        <x:patternFill patternType="solid">
          <x:bgColor rgb="FFDFF2E1"/>
        </x:patternFill>
      </x:fill>
    </x:dxf>
    <x:dxf>
      <x:font>
        <x:b/>
        <x:color rgb="FF8A1C24"/>
      </x:font>
      <x:fill>
        <x:patternFill patternType="solid">
          <x:bgColor rgb="FFF8D7DA"/>
        </x:patternFill>
      </x:fill>
    </x:dxf>
    <x:dxf>
      <x:fill>
        <x:patternFill patternType="solid">
          <x:bgColor rgb="FFF6E7C8"/>
        </x:patternFill>
      </x:fill>
    </x:dxf>
    <x:dxf>
      <x:font>
        <x:b/>
        <x:color rgb="FF7A4E00"/>
      </x:font>
      <x:fill>
        <x:patternFill patternType="solid">
          <x:bgColor rgb="FFF6E7C8"/>
        </x:patternFill>
      </x:fill>
    </x:dxf>
    <x:dxf>
      <x:font>
        <x:b/>
        <x:color rgb="FF7A4E00"/>
      </x:font>
      <x:fill>
        <x:patternFill patternType="solid">
          <x:bgColor rgb="FFF6E7C8"/>
        </x:patternFill>
      </x:fill>
    </x:dxf>
    <x:dxf>
      <x:font>
        <x:b/>
        <x:color rgb="FF1E6B2C"/>
      </x:font>
      <x:fill>
        <x:patternFill patternType="solid">
          <x:bgColor rgb="FFDFF2E1"/>
        </x:patternFill>
      </x:fill>
    </x:dxf>
    <x:dxf>
      <x:font>
        <x:color rgb="FF8A1C24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c6726d1e54a54" /><Relationship Type="http://schemas.openxmlformats.org/officeDocument/2006/relationships/theme" Target="/xl/theme/theme1.xml" Id="Rfd0757e28681418e" /><Relationship Type="http://schemas.openxmlformats.org/officeDocument/2006/relationships/sharedStrings" Target="/xl/sharedStrings.xml" Id="R3610b56965e94f50" /><Relationship Type="http://schemas.openxmlformats.org/officeDocument/2006/relationships/worksheet" Target="/xl/worksheets/sheet1.xml" Id="Raa797cf9f2004d27" /><Relationship Type="http://schemas.openxmlformats.org/officeDocument/2006/relationships/worksheet" Target="/xl/worksheets/sheet2.xml" Id="R1f8b6463e04f43e0" /><Relationship Type="http://schemas.openxmlformats.org/officeDocument/2006/relationships/worksheet" Target="/xl/worksheets/sheet3.xml" Id="R28912a719fc340d3" /><Relationship Type="http://schemas.openxmlformats.org/officeDocument/2006/relationships/worksheet" Target="/xl/worksheets/sheet4.xml" Id="R80d53f4eab634cdb" /><Relationship Type="http://schemas.openxmlformats.org/officeDocument/2006/relationships/worksheet" Target="/xl/worksheets/sheet5.xml" Id="Rcce4f00fccb84d53" /><Relationship Type="http://schemas.openxmlformats.org/officeDocument/2006/relationships/worksheet" Target="/xl/worksheets/sheet6.xml" Id="R3b05b4a86b2a4d9f" /><Relationship Type="http://schemas.openxmlformats.org/officeDocument/2006/relationships/worksheet" Target="/xl/worksheets/sheet7.xml" Id="R90801df02a384ec1" /></Relationships>
</file>

<file path=xl/tables/table1.xml><?xml version="1.0" encoding="utf-8"?>
<x:table xmlns:x="http://schemas.openxmlformats.org/spreadsheetml/2006/main" id="1" name="ProductsBatchTable" displayName="ProductsBatchTable" ref="A1:Z118" headerRowCount="1">
  <x:tableColumns count="26">
    <x:tableColumn id="1" name="إجراء الاستيراد"/>
    <x:tableColumn id="2" name="حالة المراجعة"/>
    <x:tableColumn id="3" name="مفتاح المنتج"/>
    <x:tableColumn id="4" name="الاسم العربي"/>
    <x:tableColumn id="5" name="Name EN"/>
    <x:tableColumn id="6" name="DB ID الحالي"/>
    <x:tableColumn id="7" name="المطابقة بواسطة"/>
    <x:tableColumn id="8" name="الفئة"/>
    <x:tableColumn id="9" name="نوع التشغيل"/>
    <x:tableColumn id="10" name="نوع العنصر"/>
    <x:tableColumn id="11" name="النوع الفرعي"/>
    <x:tableColumn id="12" name="السعر ل.س"/>
    <x:tableColumn id="13" name="متاح"/>
    <x:tableColumn id="14" name="ظاهر POS"/>
    <x:tableColumn id="15" name="قابل POS"/>
    <x:tableColumn id="16" name="ظاهر QR"/>
    <x:tableColumn id="17" name="قابل QR"/>
    <x:tableColumn id="18" name="يحتاج تحضير"/>
    <x:tableColumn id="19" name="محطة التحضير"/>
    <x:tableColumn id="20" name="كحولي"/>
    <x:tableColumn id="21" name="يتطلب تأكيد"/>
    <x:tableColumn id="22" name="تيك أواي"/>
    <x:tableColumn id="23" name="الترتيب"/>
    <x:tableColumn id="24" name="الوصف العربي"/>
    <x:tableColumn id="25" name="مسؤول المراجعة"/>
    <x:tableColumn id="26" name="ملاحظات"/>
  </x:tableColumns>
  <x:tableStyleInfo name="TableStyleMedium2" showRowStripes="1"/>
</x:table>
</file>

<file path=xl/tables/table2.xml><?xml version="1.0" encoding="utf-8"?>
<x:table xmlns:x="http://schemas.openxmlformats.org/spreadsheetml/2006/main" id="2" name="InventoryBatchTable" displayName="InventoryBatchTable" ref="A1:M264" headerRowCount="1">
  <x:tableColumns count="13">
    <x:tableColumn id="1" name="إجراء الاستيراد"/>
    <x:tableColumn id="2" name="حالة المراجعة"/>
    <x:tableColumn id="3" name="Code"/>
    <x:tableColumn id="4" name="مادة مخزون"/>
    <x:tableColumn id="5" name="Name EN"/>
    <x:tableColumn id="6" name="نوع المادة"/>
    <x:tableColumn id="7" name="وحدة القياس"/>
    <x:tableColumn id="8" name="الكمية الحالية"/>
    <x:tableColumn id="9" name="حد التنبيه"/>
    <x:tableColumn id="10" name="الكلفة التقديرية للوحدة"/>
    <x:tableColumn id="11" name="المورد المفضل"/>
    <x:tableColumn id="12" name="نشط"/>
    <x:tableColumn id="13" name="ملاحظات"/>
  </x:tableColumns>
  <x:tableStyleInfo name="TableStyleMedium2" showRowStripes="1"/>
</x:table>
</file>

<file path=xl/tables/table3.xml><?xml version="1.0" encoding="utf-8"?>
<x:table xmlns:x="http://schemas.openxmlformats.org/spreadsheetml/2006/main" id="3" name="RecipesBatchTable" displayName="RecipesBatchTable" ref="A1:P209" headerRowCount="1">
  <x:tableColumns count="16">
    <x:tableColumn id="1" name="إجراء الاستيراد"/>
    <x:tableColumn id="2" name="حالة المراجعة"/>
    <x:tableColumn id="3" name="مفتاح المنتج"/>
    <x:tableColumn id="4" name="اسم المنتج"/>
    <x:tableColumn id="5" name="كود مادة المخزون"/>
    <x:tableColumn id="6" name="مادة المخزون"/>
    <x:tableColumn id="7" name="الكمية المدخلة"/>
    <x:tableColumn id="8" name="وحدة الإدخال"/>
    <x:tableColumn id="9" name="وحدة المخزون"/>
    <x:tableColumn id="10" name="الكمية الموحّدة"/>
    <x:tableColumn id="11" name="نسبة الهدر %"/>
    <x:tableColumn id="12" name="نشط"/>
    <x:tableColumn id="13" name="كلفة وحدة المخزون"/>
    <x:tableColumn id="14" name="كلفة السطر"/>
    <x:tableColumn id="15" name="ملاحظات"/>
    <x:tableColumn id="16" name="التحقق"/>
  </x:tableColumns>
  <x:tableStyleInfo name="TableStyleMedium2" showRowStripes="1"/>
</x:table>
</file>

<file path=xl/tables/table4.xml><?xml version="1.0" encoding="utf-8"?>
<x:table xmlns:x="http://schemas.openxmlformats.org/spreadsheetml/2006/main" id="4" name="CategoriesBatchTable" displayName="CategoriesBatchTable" ref="A1:I14" headerRowCount="1">
  <x:tableColumns count="9">
    <x:tableColumn id="1" name="إجراء الاستيراد"/>
    <x:tableColumn id="2" name="حالة المراجعة"/>
    <x:tableColumn id="3" name="اسم الفئة"/>
    <x:tableColumn id="4" name="Name EN"/>
    <x:tableColumn id="5" name="اسم قسم القائمة"/>
    <x:tableColumn id="6" name="نشط"/>
    <x:tableColumn id="7" name="ظاهر QR"/>
    <x:tableColumn id="8" name="الترتيب"/>
    <x:tableColumn id="9" name="ملاحظات"/>
  </x:tableColumns>
  <x:tableStyleInfo name="TableStyleMedium2" showRowStripes="1"/>
</x:table>
</file>

<file path=xl/tables/table5.xml><?xml version="1.0" encoding="utf-8"?>
<x:table xmlns:x="http://schemas.openxmlformats.org/spreadsheetml/2006/main" id="5" name="OptionsBatchTable" displayName="OptionsBatchTable" ref="A1:O41" headerRowCount="1">
  <x:tableColumns count="15">
    <x:tableColumn id="1" name="إجراء الاستيراد"/>
    <x:tableColumn id="2" name="حالة المراجعة"/>
    <x:tableColumn id="3" name="كود المجموعة"/>
    <x:tableColumn id="4" name="اسم المجموعة"/>
    <x:tableColumn id="5" name="نوع الاختيار"/>
    <x:tableColumn id="6" name="إلزامي"/>
    <x:tableColumn id="7" name="الحد الأدنى"/>
    <x:tableColumn id="8" name="الحد الأقصى"/>
    <x:tableColumn id="9" name="كود الخيار"/>
    <x:tableColumn id="10" name="اسم الخيار"/>
    <x:tableColumn id="11" name="فرق السعر"/>
    <x:tableColumn id="12" name="افتراضي"/>
    <x:tableColumn id="13" name="نشط"/>
    <x:tableColumn id="14" name="مفاتيح المنتجات"/>
    <x:tableColumn id="15" name="ملاحظ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86775a33f84d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21f1178e2b44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d112270bf24b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4ee12eee414d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6f2b267c6249a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5" hidden="0" customWidth="1"/>
    <x:col min="4" max="4" width="3" hidden="0" customWidth="1"/>
    <x:col min="5" max="5" width="24" hidden="0" customWidth="1"/>
    <x:col min="6" max="6" width="45" hidden="0" customWidth="1"/>
    <x:col min="7" max="7" width="3" hidden="0" customWidth="1"/>
    <x:col min="8" max="8" width="3" hidden="0" customWidth="1"/>
  </x:cols>
  <x:sheetData>
    <x:row r="1" ht="24" customHeight="1">
      <x:c r="A1" s="66" t="str">
        <x:v>دفعة تأسيس بيانات هَب السويداء</x:v>
      </x:c>
      <x:c r="B1" s="66"/>
      <x:c r="C1" s="66"/>
      <x:c r="D1" s="66"/>
      <x:c r="E1" s="66"/>
      <x:c r="F1" s="66"/>
      <x:c r="G1" s="66"/>
      <x:c r="H1" s="66"/>
    </x:row>
    <x:row r="2" ht="24" customHeight="1">
      <x:c r="A2" s="66"/>
      <x:c r="B2" s="66"/>
      <x:c r="C2" s="66"/>
      <x:c r="D2" s="66"/>
      <x:c r="E2" s="66"/>
      <x:c r="F2" s="66"/>
      <x:c r="G2" s="66"/>
      <x:c r="H2" s="66"/>
    </x:row>
    <x:row r="3" ht="24" customHeight="1">
      <x:c r="A3" s="67" t="str">
        <x:v>ملف واحد آمن لإضافة المنتجات والمواد والوصفات والخيارات دون تكرار الموجود في قاعدة البيانات</x:v>
      </x:c>
      <x:c r="B3" s="67"/>
      <x:c r="C3" s="67"/>
      <x:c r="D3" s="67"/>
      <x:c r="E3" s="67"/>
      <x:c r="F3" s="67"/>
      <x:c r="G3" s="67"/>
      <x:c r="H3" s="67"/>
    </x:row>
    <x:row r="4" ht="24" customHeight="1">
      <x:c r="A4" s="68"/>
      <x:c r="B4" s="68"/>
      <x:c r="C4" s="68"/>
      <x:c r="D4" s="68"/>
      <x:c r="E4" s="68"/>
      <x:c r="F4" s="68"/>
      <x:c r="G4" s="68"/>
      <x:c r="H4" s="68"/>
    </x:row>
    <x:row r="5" ht="24" customHeight="1">
      <x:c r="A5" s="22" t="str">
        <x:v>إجمالي المنتجات</x:v>
      </x:c>
      <x:c r="B5" s="22" t="str">
        <x:v>منتجات موجودة</x:v>
      </x:c>
      <x:c r="C5" s="22" t="str">
        <x:v>منتجات جديدة غير نشطة</x:v>
      </x:c>
      <x:c r="D5" s="22" t="str">
        <x:v>مواد مخزون موجودة</x:v>
      </x:c>
      <x:c r="E5" s="22" t="str">
        <x:v>مواد مخزون جديدة</x:v>
      </x:c>
      <x:c r="F5" s="22" t="str">
        <x:v>أسطر وصفات مبدئية</x:v>
      </x:c>
      <x:c r="G5" s="22" t="str">
        <x:v>خيارات مقترحة</x:v>
      </x:c>
      <x:c r="H5" s="22" t="str">
        <x:v>فئات جديدة مخفية</x:v>
      </x:c>
    </x:row>
    <x:row r="6" ht="24" customHeight="1">
      <x:c r="A6" s="69" t="n">
        <x:f>COUNTA('المنتجات'!C2:C500)</x:f>
        <x:v>117</x:v>
      </x:c>
      <x:c r="B6" s="69" t="n">
        <x:f>COUNTIF('المنتجات'!A2:A500,"MATCH_ONLY")+COUNTIF('المنتجات'!A2:A500,"UPDATE_KEY_ONLY")</x:f>
        <x:v>54</x:v>
      </x:c>
      <x:c r="C6" s="69" t="n">
        <x:f>COUNTIF('المنتجات'!A2:A500,"CREATE_INACTIVE")</x:f>
        <x:v>63</x:v>
      </x:c>
      <x:c r="D6" s="69" t="n">
        <x:f>COUNTIF('مواد المخزون'!A2:A500,"MATCH_ONLY")</x:f>
        <x:v>252</x:v>
      </x:c>
      <x:c r="E6" s="69" t="n">
        <x:f>COUNTIF('مواد المخزون'!A2:A500,"CREATE_INACTIVE")</x:f>
        <x:v>11</x:v>
      </x:c>
      <x:c r="F6" s="69" t="n">
        <x:f>COUNTA('الوصفات'!C2:C500)</x:f>
        <x:v>208</x:v>
      </x:c>
      <x:c r="G6" s="69" t="n">
        <x:f>COUNTIF('خيارات المنتجات'!A2:A500,"CREATE_INACTIVE")</x:f>
        <x:v>12</x:v>
      </x:c>
      <x:c r="H6" s="69" t="n">
        <x:f>COUNTIF('الفئات والأقسام'!A2:A100,"CREATE_HIDDEN")</x:f>
        <x:v>3</x:v>
      </x:c>
    </x:row>
    <x:row r="7" ht="24" customHeight="1">
      <x:c r="A7" s="68"/>
      <x:c r="B7" s="68"/>
      <x:c r="C7" s="68"/>
      <x:c r="D7" s="68"/>
      <x:c r="E7" s="68"/>
      <x:c r="F7" s="68"/>
      <x:c r="G7" s="68"/>
      <x:c r="H7" s="68"/>
    </x:row>
    <x:row r="8" ht="24" customHeight="1">
      <x:c r="A8" s="70" t="str">
        <x:v>قواعد الاستيراد الآمن</x:v>
      </x:c>
      <x:c r="B8" s="70"/>
      <x:c r="C8" s="70"/>
      <x:c r="D8" s="70"/>
      <x:c r="E8" s="70" t="str">
        <x:v>ما يحتاج مراجعة الفريق</x:v>
      </x:c>
      <x:c r="F8" s="70"/>
      <x:c r="G8" s="70"/>
      <x:c r="H8" s="70"/>
    </x:row>
    <x:row r="9" ht="24" customHeight="1">
      <x:c r="A9" s="58" t="str">
        <x:v>1</x:v>
      </x:c>
      <x:c r="B9" s="46" t="str">
        <x:v>الفئات والأقسام</x:v>
      </x:c>
      <x:c r="C9" s="46" t="str">
        <x:v>أنشئ فقط الصفوف CREATE_HIDDEN. الأقسام الجديدة تبقى مخفية.</x:v>
      </x:c>
      <x:c r="D9" s="68"/>
      <x:c r="E9" s="62" t="str">
        <x:v>المنتجات الجديدة</x:v>
      </x:c>
      <x:c r="F9" s="46" t="str">
        <x:v>الاسم، الوصف، السعر، التوفر، الصور، والقسم النهائي.</x:v>
      </x:c>
      <x:c r="G9" s="68"/>
      <x:c r="H9" s="68"/>
    </x:row>
    <x:row r="10" ht="24" customHeight="1">
      <x:c r="A10" s="58" t="str">
        <x:v>2</x:v>
      </x:c>
      <x:c r="B10" s="46" t="str">
        <x:v>مواد المخزون</x:v>
      </x:c>
      <x:c r="C10" s="46" t="str">
        <x:v>MATCH_ONLY للموجود. CREATE_INACTIVE ينشئ كوداً جديداً فقط. لا تغيّر الكميات الحالية للموجود.</x:v>
      </x:c>
      <x:c r="D10" s="68"/>
      <x:c r="E10" s="62" t="str">
        <x:v>مواد المخزون الجديدة</x:v>
      </x:c>
      <x:c r="F10" s="46" t="str">
        <x:v>الوحدة، المورد، الكلفة، والاسم المحلي النهائي.</x:v>
      </x:c>
      <x:c r="G10" s="68"/>
      <x:c r="H10" s="68"/>
    </x:row>
    <x:row r="11" ht="24" customHeight="1">
      <x:c r="A11" s="58" t="str">
        <x:v>3</x:v>
      </x:c>
      <x:c r="B11" s="46" t="str">
        <x:v>المنتجات</x:v>
      </x:c>
      <x:c r="C11" s="46" t="str">
        <x:v>MATCH_ONLY لا يغيّر شيئاً. UPDATE_KEY_ONLY يضيف المفتاح إلى منتج موجود بالاسم الدقيق. CREATE_INACTIVE ينشئ منتجاً مخفياً وغير متاح.</x:v>
      </x:c>
      <x:c r="D11" s="68"/>
      <x:c r="E11" s="62" t="str">
        <x:v>الوصفات</x:v>
      </x:c>
      <x:c r="F11" s="46" t="str">
        <x:v>الكمية الفعلية لكل حصة، نسبة الهدر، ثم تفعيل السطر.</x:v>
      </x:c>
      <x:c r="G11" s="68"/>
      <x:c r="H11" s="68"/>
    </x:row>
    <x:row r="12" ht="24" customHeight="1">
      <x:c r="A12" s="58" t="str">
        <x:v>4</x:v>
      </x:c>
      <x:c r="B12" s="46" t="str">
        <x:v>خيارات المنتجات</x:v>
      </x:c>
      <x:c r="C12" s="46" t="str">
        <x:v>MATCH_ONLY للمجموعات الحالية. المقترحات الجديدة تنشأ غير نشطة.</x:v>
      </x:c>
      <x:c r="D12" s="68"/>
      <x:c r="E12" s="62" t="str">
        <x:v>الخيارات</x:v>
      </x:c>
      <x:c r="F12" s="46" t="str">
        <x:v>فرق السعر وحدود الاختيار والمنتجات المرتبطة.</x:v>
      </x:c>
      <x:c r="G12" s="68"/>
      <x:c r="H12" s="68"/>
    </x:row>
    <x:row r="13" ht="24" customHeight="1">
      <x:c r="A13" s="58" t="str">
        <x:v>5</x:v>
      </x:c>
      <x:c r="B13" s="46" t="str">
        <x:v>الوصفات</x:v>
      </x:c>
      <x:c r="C13" s="46" t="str">
        <x:v>UPSERT_INACTIVE يربط المنتج بالمادة ويترك سطر الوصفة غير نشط إلى أن يراجعه الفريق.</x:v>
      </x:c>
      <x:c r="D13" s="68"/>
      <x:c r="E13" s="63" t="str">
        <x:v>أطباق اليوم</x:v>
      </x:c>
      <x:c r="F13" s="47" t="str">
        <x:v>موجودة كمنتجات غير نشطة بلا وصفات حتى اختيار الأطباق الفعلية.</x:v>
      </x:c>
      <x:c r="G13" s="68"/>
      <x:c r="H13" s="68"/>
    </x:row>
    <x:row r="14" ht="24" customHeight="1">
      <x:c r="A14" s="58" t="str">
        <x:v>6</x:v>
      </x:c>
      <x:c r="B14" s="46" t="str">
        <x:v>منع التكرار</x:v>
      </x:c>
      <x:c r="C14" s="46" t="str">
        <x:v>مادة المخزون تُطابق بالكود. المنتج يُطابق بالمفتاح ثم بالاسم العربي فقط في UPDATE_KEY_ONLY.</x:v>
      </x:c>
      <x:c r="D14" s="68"/>
      <x:c r="E14" s="68"/>
      <x:c r="F14" s="68"/>
      <x:c r="G14" s="68"/>
      <x:c r="H14" s="68"/>
    </x:row>
    <x:row r="15" ht="24" customHeight="1">
      <x:c r="A15" s="59" t="str">
        <x:v>7</x:v>
      </x:c>
      <x:c r="B15" s="47" t="str">
        <x:v>الأسعار الفارغة</x:v>
      </x:c>
      <x:c r="C15" s="47" t="str">
        <x:v>لا تستبدل سعر منتج موجود. المنتج الجديد يُنشأ بسعر 0 فقط لأنه غير متاح حتى المراجعة.</x:v>
      </x:c>
      <x:c r="D15" s="68"/>
      <x:c r="E15" s="68"/>
      <x:c r="F15" s="68"/>
      <x:c r="G15" s="68"/>
      <x:c r="H15" s="68"/>
    </x:row>
  </x:sheetData>
  <x:mergeCells>
    <x:mergeCell ref="A1:H2"/>
    <x:mergeCell ref="A3:H3"/>
    <x:mergeCell ref="A8:H8"/>
    <x:mergeCell ref="E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6" hidden="0" customWidth="1"/>
    <x:col min="4" max="4" width="24" hidden="0" customWidth="1"/>
    <x:col min="5" max="5" width="24" hidden="0" customWidth="1"/>
    <x:col min="6" max="6" width="10" hidden="0" customWidth="1"/>
    <x:col min="7" max="7" width="14" hidden="0" customWidth="1"/>
    <x:col min="8" max="8" width="22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8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11" hidden="0" customWidth="1"/>
    <x:col min="19" max="19" width="12" hidden="0" customWidth="1"/>
    <x:col min="20" max="20" width="8" hidden="0" customWidth="1"/>
    <x:col min="21" max="21" width="12" hidden="0" customWidth="1"/>
    <x:col min="22" max="22" width="9" hidden="0" customWidth="1"/>
    <x:col min="23" max="23" width="9" hidden="0" customWidth="1"/>
    <x:col min="24" max="24" width="36" hidden="0" customWidth="1"/>
    <x:col min="25" max="25" width="18" hidden="0" customWidth="1"/>
    <x:col min="26" max="26" width="38" hidden="0" customWidth="1"/>
  </x:cols>
  <x:sheetData>
    <x:row r="1" ht="36" customHeight="1">
      <x:c r="A1" s="81" t="str">
        <x:v>إجراء الاستيراد</x:v>
      </x:c>
      <x:c r="B1" s="82" t="str">
        <x:v>حالة المراجعة</x:v>
      </x:c>
      <x:c r="C1" s="82" t="str">
        <x:v>مفتاح المنتج</x:v>
      </x:c>
      <x:c r="D1" s="82" t="str">
        <x:v>الاسم العربي</x:v>
      </x:c>
      <x:c r="E1" s="82" t="str">
        <x:v>Name EN</x:v>
      </x:c>
      <x:c r="F1" s="82" t="str">
        <x:v>DB ID الحالي</x:v>
      </x:c>
      <x:c r="G1" s="82" t="str">
        <x:v>المطابقة بواسطة</x:v>
      </x:c>
      <x:c r="H1" s="82" t="str">
        <x:v>الفئة</x:v>
      </x:c>
      <x:c r="I1" s="82" t="str">
        <x:v>نوع التشغيل</x:v>
      </x:c>
      <x:c r="J1" s="82" t="str">
        <x:v>نوع العنصر</x:v>
      </x:c>
      <x:c r="K1" s="82" t="str">
        <x:v>النوع الفرعي</x:v>
      </x:c>
      <x:c r="L1" s="82" t="str">
        <x:v>السعر ل.س</x:v>
      </x:c>
      <x:c r="M1" s="82" t="str">
        <x:v>متاح</x:v>
      </x:c>
      <x:c r="N1" s="82" t="str">
        <x:v>ظاهر POS</x:v>
      </x:c>
      <x:c r="O1" s="82" t="str">
        <x:v>قابل POS</x:v>
      </x:c>
      <x:c r="P1" s="82" t="str">
        <x:v>ظاهر QR</x:v>
      </x:c>
      <x:c r="Q1" s="82" t="str">
        <x:v>قابل QR</x:v>
      </x:c>
      <x:c r="R1" s="82" t="str">
        <x:v>يحتاج تحضير</x:v>
      </x:c>
      <x:c r="S1" s="82" t="str">
        <x:v>محطة التحضير</x:v>
      </x:c>
      <x:c r="T1" s="82" t="str">
        <x:v>كحولي</x:v>
      </x:c>
      <x:c r="U1" s="82" t="str">
        <x:v>يتطلب تأكيد</x:v>
      </x:c>
      <x:c r="V1" s="82" t="str">
        <x:v>تيك أواي</x:v>
      </x:c>
      <x:c r="W1" s="82" t="str">
        <x:v>الترتيب</x:v>
      </x:c>
      <x:c r="X1" s="82" t="str">
        <x:v>الوصف العربي</x:v>
      </x:c>
      <x:c r="Y1" s="82" t="str">
        <x:v>مسؤول المراجعة</x:v>
      </x:c>
      <x:c r="Z1" s="83" t="str">
        <x:v>ملاحظات</x:v>
      </x:c>
    </x:row>
    <x:row r="2">
      <x:c r="A2" s="46" t="str">
        <x:v>UPDATE_KEY_ONLY</x:v>
      </x:c>
      <x:c r="B2" s="46" t="str">
        <x:v>موجود في النظام</x:v>
      </x:c>
      <x:c r="C2" s="46" t="str">
        <x:v>masharib_iced_tea</x:v>
      </x:c>
      <x:c r="D2" s="46" t="str">
        <x:v>آيس تي مشاريب</x:v>
      </x:c>
      <x:c r="E2" s="46" t="str">
        <x:v>Masharib Iced Tea</x:v>
      </x:c>
      <x:c r="F2" s="96" t="n">
        <x:v>106</x:v>
      </x:c>
      <x:c r="G2" s="46" t="str">
        <x:v>name_ar</x:v>
      </x:c>
      <x:c r="H2" s="46" t="str">
        <x:v>مشروبات باردة</x:v>
      </x:c>
      <x:c r="I2" s="46" t="str">
        <x:v>drink</x:v>
      </x:c>
      <x:c r="J2" s="46" t="str">
        <x:v>beverage</x:v>
      </x:c>
      <x:c r="K2" s="46" t="str">
        <x:v>local</x:v>
      </x:c>
      <x:c r="L2" s="92"/>
      <x:c r="M2" s="46" t="str">
        <x:v>نعم</x:v>
      </x:c>
      <x:c r="N2" s="46" t="str">
        <x:v>نعم</x:v>
      </x:c>
      <x:c r="O2" s="46" t="str">
        <x:v>نعم</x:v>
      </x:c>
      <x:c r="P2" s="46" t="str">
        <x:v>نعم</x:v>
      </x:c>
      <x:c r="Q2" s="46" t="str">
        <x:v>نعم</x:v>
      </x:c>
      <x:c r="R2" s="46" t="str">
        <x:v>نعم</x:v>
      </x:c>
      <x:c r="S2" s="46" t="str">
        <x:v>bar</x:v>
      </x:c>
      <x:c r="T2" s="46" t="str">
        <x:v>لا</x:v>
      </x:c>
      <x:c r="U2" s="46" t="str">
        <x:v>لا</x:v>
      </x:c>
      <x:c r="V2" s="46" t="str">
        <x:v>لا</x:v>
      </x:c>
      <x:c r="W2" s="96" t="n">
        <x:v>1</x:v>
      </x:c>
      <x:c r="X2" s="46" t="str"/>
      <x:c r="Y2" s="46" t="str"/>
      <x:c r="Z2" s="46" t="str">
        <x:v>إضافة المفتاح فقط دون تغيير بيانات المنتج.</x:v>
      </x:c>
    </x:row>
    <x:row r="3">
      <x:c r="A3" s="46" t="str">
        <x:v>MATCH_ONLY</x:v>
      </x:c>
      <x:c r="B3" s="46" t="str">
        <x:v>موجود في النظام</x:v>
      </x:c>
      <x:c r="C3" s="46" t="str">
        <x:v>iced_matcha_latte</x:v>
      </x:c>
      <x:c r="D3" s="46" t="str">
        <x:v>آيس ماتشا لاتيه</x:v>
      </x:c>
      <x:c r="E3" s="46" t="str"/>
      <x:c r="F3" s="96" t="n">
        <x:v>75</x:v>
      </x:c>
      <x:c r="G3" s="46" t="str">
        <x:v>key</x:v>
      </x:c>
      <x:c r="H3" s="46" t="str">
        <x:v>مشروبات باردة</x:v>
      </x:c>
      <x:c r="I3" s="46" t="str">
        <x:v>drink</x:v>
      </x:c>
      <x:c r="J3" s="46" t="str">
        <x:v>beverage</x:v>
      </x:c>
      <x:c r="K3" s="46" t="str">
        <x:v>tea</x:v>
      </x:c>
      <x:c r="L3" s="92" t="n">
        <x:v>24000</x:v>
      </x:c>
      <x:c r="M3" s="46" t="str">
        <x:v>نعم</x:v>
      </x:c>
      <x:c r="N3" s="46" t="str">
        <x:v>نعم</x:v>
      </x:c>
      <x:c r="O3" s="46" t="str">
        <x:v>نعم</x:v>
      </x:c>
      <x:c r="P3" s="46" t="str">
        <x:v>نعم</x:v>
      </x:c>
      <x:c r="Q3" s="46" t="str">
        <x:v>نعم</x:v>
      </x:c>
      <x:c r="R3" s="46" t="str">
        <x:v>نعم</x:v>
      </x:c>
      <x:c r="S3" s="46" t="str">
        <x:v>bar</x:v>
      </x:c>
      <x:c r="T3" s="46" t="str">
        <x:v>لا</x:v>
      </x:c>
      <x:c r="U3" s="46" t="str">
        <x:v>لا</x:v>
      </x:c>
      <x:c r="V3" s="46" t="str">
        <x:v>لا</x:v>
      </x:c>
      <x:c r="W3" s="96" t="n">
        <x:v>2</x:v>
      </x:c>
      <x:c r="X3" s="46" t="str"/>
      <x:c r="Y3" s="46" t="str"/>
      <x:c r="Z3" s="46" t="str">
        <x:v>مطابقة فقط؛ لا تغييرات.</x:v>
      </x:c>
    </x:row>
    <x:row r="4">
      <x:c r="A4" s="46" t="str">
        <x:v>UPDATE_KEY_ONLY</x:v>
      </x:c>
      <x:c r="B4" s="46" t="str">
        <x:v>موجود في النظام</x:v>
      </x:c>
      <x:c r="C4" s="46" t="str">
        <x:v>black_barrel_special</x:v>
      </x:c>
      <x:c r="D4" s="46" t="str">
        <x:v>البرميل الأسود</x:v>
      </x:c>
      <x:c r="E4" s="46" t="str">
        <x:v>Black Barrel Special</x:v>
      </x:c>
      <x:c r="F4" s="96" t="n">
        <x:v>95</x:v>
      </x:c>
      <x:c r="G4" s="46" t="str">
        <x:v>name_ar</x:v>
      </x:c>
      <x:c r="H4" s="46" t="str">
        <x:v>البرميل الأسود</x:v>
      </x:c>
      <x:c r="I4" s="46" t="str">
        <x:v>food</x:v>
      </x:c>
      <x:c r="J4" s="46" t="str">
        <x:v>food</x:v>
      </x:c>
      <x:c r="K4" s="46" t="str">
        <x:v>snack</x:v>
      </x:c>
      <x:c r="L4" s="92"/>
      <x:c r="M4" s="46" t="str">
        <x:v>نعم</x:v>
      </x:c>
      <x:c r="N4" s="46" t="str">
        <x:v>نعم</x:v>
      </x:c>
      <x:c r="O4" s="46" t="str">
        <x:v>نعم</x:v>
      </x:c>
      <x:c r="P4" s="46" t="str">
        <x:v>نعم</x:v>
      </x:c>
      <x:c r="Q4" s="46" t="str">
        <x:v>نعم</x:v>
      </x:c>
      <x:c r="R4" s="46" t="str">
        <x:v>نعم</x:v>
      </x:c>
      <x:c r="S4" s="46" t="str">
        <x:v>kitchen</x:v>
      </x:c>
      <x:c r="T4" s="46" t="str">
        <x:v>لا</x:v>
      </x:c>
      <x:c r="U4" s="46" t="str">
        <x:v>لا</x:v>
      </x:c>
      <x:c r="V4" s="46" t="str">
        <x:v>نعم</x:v>
      </x:c>
      <x:c r="W4" s="96" t="n">
        <x:v>3</x:v>
      </x:c>
      <x:c r="X4" s="46" t="str"/>
      <x:c r="Y4" s="46" t="str"/>
      <x:c r="Z4" s="46" t="str">
        <x:v>إضافة المفتاح فقط دون تغيير بيانات المنتج.</x:v>
      </x:c>
    </x:row>
    <x:row r="5">
      <x:c r="A5" s="46" t="str">
        <x:v>MATCH_ONLY</x:v>
      </x:c>
      <x:c r="B5" s="46" t="str">
        <x:v>موجود في النظام</x:v>
      </x:c>
      <x:c r="C5" s="46" t="str">
        <x:v>strong_beer</x:v>
      </x:c>
      <x:c r="D5" s="46" t="str">
        <x:v>بيرة ثقيلة</x:v>
      </x:c>
      <x:c r="E5" s="46" t="str"/>
      <x:c r="F5" s="96" t="n">
        <x:v>88</x:v>
      </x:c>
      <x:c r="G5" s="46" t="str">
        <x:v>key</x:v>
      </x:c>
      <x:c r="H5" s="46" t="str">
        <x:v>مشروبات كحولية</x:v>
      </x:c>
      <x:c r="I5" s="46" t="str">
        <x:v>drink</x:v>
      </x:c>
      <x:c r="J5" s="46" t="str">
        <x:v>beverage</x:v>
      </x:c>
      <x:c r="K5" s="46" t="str">
        <x:v>beer</x:v>
      </x:c>
      <x:c r="L5" s="92" t="n">
        <x:v>50000</x:v>
      </x:c>
      <x:c r="M5" s="46" t="str">
        <x:v>نعم</x:v>
      </x:c>
      <x:c r="N5" s="46" t="str">
        <x:v>نعم</x:v>
      </x:c>
      <x:c r="O5" s="46" t="str">
        <x:v>نعم</x:v>
      </x:c>
      <x:c r="P5" s="46" t="str">
        <x:v>لا</x:v>
      </x:c>
      <x:c r="Q5" s="46" t="str">
        <x:v>لا</x:v>
      </x:c>
      <x:c r="R5" s="46" t="str">
        <x:v>لا</x:v>
      </x:c>
      <x:c r="S5" s="46" t="str">
        <x:v>bar</x:v>
      </x:c>
      <x:c r="T5" s="46" t="str">
        <x:v>نعم</x:v>
      </x:c>
      <x:c r="U5" s="46" t="str">
        <x:v>نعم</x:v>
      </x:c>
      <x:c r="V5" s="46" t="str">
        <x:v>لا</x:v>
      </x:c>
      <x:c r="W5" s="96" t="n">
        <x:v>4</x:v>
      </x:c>
      <x:c r="X5" s="46" t="str"/>
      <x:c r="Y5" s="46" t="str"/>
      <x:c r="Z5" s="46" t="str">
        <x:v>مطابقة فقط؛ لا تغييرات.</x:v>
      </x:c>
    </x:row>
    <x:row r="6">
      <x:c r="A6" s="46" t="str">
        <x:v>MATCH_ONLY</x:v>
      </x:c>
      <x:c r="B6" s="46" t="str">
        <x:v>موجود في النظام</x:v>
      </x:c>
      <x:c r="C6" s="46" t="str">
        <x:v>light_beer</x:v>
      </x:c>
      <x:c r="D6" s="46" t="str">
        <x:v>بيرة خفيفة</x:v>
      </x:c>
      <x:c r="E6" s="46" t="str"/>
      <x:c r="F6" s="96" t="n">
        <x:v>87</x:v>
      </x:c>
      <x:c r="G6" s="46" t="str">
        <x:v>key</x:v>
      </x:c>
      <x:c r="H6" s="46" t="str">
        <x:v>مناسبات فقط</x:v>
      </x:c>
      <x:c r="I6" s="46" t="str">
        <x:v>drink</x:v>
      </x:c>
      <x:c r="J6" s="46" t="str">
        <x:v>beverage</x:v>
      </x:c>
      <x:c r="K6" s="46" t="str">
        <x:v>beer</x:v>
      </x:c>
      <x:c r="L6" s="92" t="n">
        <x:v>45000</x:v>
      </x:c>
      <x:c r="M6" s="46" t="str">
        <x:v>نعم</x:v>
      </x:c>
      <x:c r="N6" s="46" t="str">
        <x:v>نعم</x:v>
      </x:c>
      <x:c r="O6" s="46" t="str">
        <x:v>نعم</x:v>
      </x:c>
      <x:c r="P6" s="46" t="str">
        <x:v>لا</x:v>
      </x:c>
      <x:c r="Q6" s="46" t="str">
        <x:v>لا</x:v>
      </x:c>
      <x:c r="R6" s="46" t="str">
        <x:v>لا</x:v>
      </x:c>
      <x:c r="S6" s="46" t="str">
        <x:v>bar</x:v>
      </x:c>
      <x:c r="T6" s="46" t="str">
        <x:v>نعم</x:v>
      </x:c>
      <x:c r="U6" s="46" t="str">
        <x:v>نعم</x:v>
      </x:c>
      <x:c r="V6" s="46" t="str">
        <x:v>لا</x:v>
      </x:c>
      <x:c r="W6" s="96" t="n">
        <x:v>5</x:v>
      </x:c>
      <x:c r="X6" s="46" t="str"/>
      <x:c r="Y6" s="46" t="str"/>
      <x:c r="Z6" s="46" t="str">
        <x:v>مطابقة فقط؛ لا تغييرات.</x:v>
      </x:c>
    </x:row>
    <x:row r="7">
      <x:c r="A7" s="46" t="str">
        <x:v>MATCH_ONLY</x:v>
      </x:c>
      <x:c r="B7" s="46" t="str">
        <x:v>موجود في النظام</x:v>
      </x:c>
      <x:c r="C7" s="46" t="str">
        <x:v>karma_jallab</x:v>
      </x:c>
      <x:c r="D7" s="46" t="str">
        <x:v>جلاب الكرمة</x:v>
      </x:c>
      <x:c r="E7" s="46" t="str"/>
      <x:c r="F7" s="96" t="n">
        <x:v>74</x:v>
      </x:c>
      <x:c r="G7" s="46" t="str">
        <x:v>key</x:v>
      </x:c>
      <x:c r="H7" s="46" t="str">
        <x:v>مشروبات باردة</x:v>
      </x:c>
      <x:c r="I7" s="46" t="str">
        <x:v>drink</x:v>
      </x:c>
      <x:c r="J7" s="46" t="str">
        <x:v>beverage</x:v>
      </x:c>
      <x:c r="K7" s="46" t="str">
        <x:v>local</x:v>
      </x:c>
      <x:c r="L7" s="92" t="n">
        <x:v>15000</x:v>
      </x:c>
      <x:c r="M7" s="46" t="str">
        <x:v>نعم</x:v>
      </x:c>
      <x:c r="N7" s="46" t="str">
        <x:v>نعم</x:v>
      </x:c>
      <x:c r="O7" s="46" t="str">
        <x:v>نعم</x:v>
      </x:c>
      <x:c r="P7" s="46" t="str">
        <x:v>نعم</x:v>
      </x:c>
      <x:c r="Q7" s="46" t="str">
        <x:v>نعم</x:v>
      </x:c>
      <x:c r="R7" s="46" t="str">
        <x:v>نعم</x:v>
      </x:c>
      <x:c r="S7" s="46" t="str">
        <x:v>bar</x:v>
      </x:c>
      <x:c r="T7" s="46" t="str">
        <x:v>لا</x:v>
      </x:c>
      <x:c r="U7" s="46" t="str">
        <x:v>لا</x:v>
      </x:c>
      <x:c r="V7" s="46" t="str">
        <x:v>لا</x:v>
      </x:c>
      <x:c r="W7" s="96" t="n">
        <x:v>6</x:v>
      </x:c>
      <x:c r="X7" s="46" t="str"/>
      <x:c r="Y7" s="46" t="str"/>
      <x:c r="Z7" s="46" t="str">
        <x:v>مطابقة فقط؛ لا تغييرات.</x:v>
      </x:c>
    </x:row>
    <x:row r="8">
      <x:c r="A8" s="46" t="str">
        <x:v>UPDATE_KEY_ONLY</x:v>
      </x:c>
      <x:c r="B8" s="46" t="str">
        <x:v>موجود في النظام</x:v>
      </x:c>
      <x:c r="C8" s="46" t="str">
        <x:v>crunchy_halloumi_dog</x:v>
      </x:c>
      <x:c r="D8" s="46" t="str">
        <x:v>حلّوم مقرمش</x:v>
      </x:c>
      <x:c r="E8" s="46" t="str">
        <x:v>Crunchy Halloumi Dog</x:v>
      </x:c>
      <x:c r="F8" s="96" t="n">
        <x:v>97</x:v>
      </x:c>
      <x:c r="G8" s="46" t="str">
        <x:v>name_ar</x:v>
      </x:c>
      <x:c r="H8" s="46" t="str">
        <x:v>البرميل الأسود</x:v>
      </x:c>
      <x:c r="I8" s="46" t="str">
        <x:v>food</x:v>
      </x:c>
      <x:c r="J8" s="46" t="str">
        <x:v>food</x:v>
      </x:c>
      <x:c r="K8" s="46" t="str">
        <x:v>snack</x:v>
      </x:c>
      <x:c r="L8" s="92"/>
      <x:c r="M8" s="46" t="str">
        <x:v>نعم</x:v>
      </x:c>
      <x:c r="N8" s="46" t="str">
        <x:v>نعم</x:v>
      </x:c>
      <x:c r="O8" s="46" t="str">
        <x:v>نعم</x:v>
      </x:c>
      <x:c r="P8" s="46" t="str">
        <x:v>نعم</x:v>
      </x:c>
      <x:c r="Q8" s="46" t="str">
        <x:v>نعم</x:v>
      </x:c>
      <x:c r="R8" s="46" t="str">
        <x:v>نعم</x:v>
      </x:c>
      <x:c r="S8" s="46" t="str">
        <x:v>kitchen</x:v>
      </x:c>
      <x:c r="T8" s="46" t="str">
        <x:v>لا</x:v>
      </x:c>
      <x:c r="U8" s="46" t="str">
        <x:v>لا</x:v>
      </x:c>
      <x:c r="V8" s="46" t="str">
        <x:v>نعم</x:v>
      </x:c>
      <x:c r="W8" s="96" t="n">
        <x:v>7</x:v>
      </x:c>
      <x:c r="X8" s="46" t="str"/>
      <x:c r="Y8" s="46" t="str"/>
      <x:c r="Z8" s="46" t="str">
        <x:v>إضافة المفتاح فقط دون تغيير بيانات المنتج.</x:v>
      </x:c>
    </x:row>
    <x:row r="9">
      <x:c r="A9" s="46" t="str">
        <x:v>UPDATE_KEY_ONLY</x:v>
      </x:c>
      <x:c r="B9" s="46" t="str">
        <x:v>موجود في النظام</x:v>
      </x:c>
      <x:c r="C9" s="46" t="str">
        <x:v>grilled_cheese_bun</x:v>
      </x:c>
      <x:c r="D9" s="46" t="str">
        <x:v>خبزة جبنة مشوية</x:v>
      </x:c>
      <x:c r="E9" s="46" t="str">
        <x:v>Grilled Cheese Bun</x:v>
      </x:c>
      <x:c r="F9" s="96" t="n">
        <x:v>98</x:v>
      </x:c>
      <x:c r="G9" s="46" t="str">
        <x:v>name_ar</x:v>
      </x:c>
      <x:c r="H9" s="46" t="str">
        <x:v>البرميل الأسود</x:v>
      </x:c>
      <x:c r="I9" s="46" t="str">
        <x:v>food</x:v>
      </x:c>
      <x:c r="J9" s="46" t="str">
        <x:v>food</x:v>
      </x:c>
      <x:c r="K9" s="46" t="str">
        <x:v>snack</x:v>
      </x:c>
      <x:c r="L9" s="92"/>
      <x:c r="M9" s="46" t="str">
        <x:v>نعم</x:v>
      </x:c>
      <x:c r="N9" s="46" t="str">
        <x:v>نعم</x:v>
      </x:c>
      <x:c r="O9" s="46" t="str">
        <x:v>نعم</x:v>
      </x:c>
      <x:c r="P9" s="46" t="str">
        <x:v>نعم</x:v>
      </x:c>
      <x:c r="Q9" s="46" t="str">
        <x:v>نعم</x:v>
      </x:c>
      <x:c r="R9" s="46" t="str">
        <x:v>نعم</x:v>
      </x:c>
      <x:c r="S9" s="46" t="str">
        <x:v>kitchen</x:v>
      </x:c>
      <x:c r="T9" s="46" t="str">
        <x:v>لا</x:v>
      </x:c>
      <x:c r="U9" s="46" t="str">
        <x:v>لا</x:v>
      </x:c>
      <x:c r="V9" s="46" t="str">
        <x:v>نعم</x:v>
      </x:c>
      <x:c r="W9" s="96" t="n">
        <x:v>8</x:v>
      </x:c>
      <x:c r="X9" s="46" t="str"/>
      <x:c r="Y9" s="46" t="str"/>
      <x:c r="Z9" s="46" t="str">
        <x:v>إضافة المفتاح فقط دون تغيير بيانات المنتج.</x:v>
      </x:c>
    </x:row>
    <x:row r="10">
      <x:c r="A10" s="46" t="str">
        <x:v>MATCH_ONLY</x:v>
      </x:c>
      <x:c r="B10" s="46" t="str">
        <x:v>موجود في النظام</x:v>
      </x:c>
      <x:c r="C10" s="46" t="str">
        <x:v>dibs_lemon</x:v>
      </x:c>
      <x:c r="D10" s="46" t="str">
        <x:v>دبس وليمون</x:v>
      </x:c>
      <x:c r="E10" s="46" t="str"/>
      <x:c r="F10" s="96" t="n">
        <x:v>73</x:v>
      </x:c>
      <x:c r="G10" s="46" t="str">
        <x:v>key</x:v>
      </x:c>
      <x:c r="H10" s="46" t="str">
        <x:v>مشروبات باردة</x:v>
      </x:c>
      <x:c r="I10" s="46" t="str">
        <x:v>drink</x:v>
      </x:c>
      <x:c r="J10" s="46" t="str">
        <x:v>beverage</x:v>
      </x:c>
      <x:c r="K10" s="46" t="str">
        <x:v>local</x:v>
      </x:c>
      <x:c r="L10" s="92" t="n">
        <x:v>12000</x:v>
      </x:c>
      <x:c r="M10" s="46" t="str">
        <x:v>نعم</x:v>
      </x:c>
      <x:c r="N10" s="46" t="str">
        <x:v>نعم</x:v>
      </x:c>
      <x:c r="O10" s="46" t="str">
        <x:v>نعم</x:v>
      </x:c>
      <x:c r="P10" s="46" t="str">
        <x:v>نعم</x:v>
      </x:c>
      <x:c r="Q10" s="46" t="str">
        <x:v>نعم</x:v>
      </x:c>
      <x:c r="R10" s="46" t="str">
        <x:v>نعم</x:v>
      </x:c>
      <x:c r="S10" s="46" t="str">
        <x:v>bar</x:v>
      </x:c>
      <x:c r="T10" s="46" t="str">
        <x:v>لا</x:v>
      </x:c>
      <x:c r="U10" s="46" t="str">
        <x:v>لا</x:v>
      </x:c>
      <x:c r="V10" s="46" t="str">
        <x:v>لا</x:v>
      </x:c>
      <x:c r="W10" s="96" t="n">
        <x:v>9</x:v>
      </x:c>
      <x:c r="X10" s="46" t="str"/>
      <x:c r="Y10" s="46" t="str"/>
      <x:c r="Z10" s="46" t="str">
        <x:v>مطابقة فقط؛ لا تغييرات.</x:v>
      </x:c>
    </x:row>
    <x:row r="11">
      <x:c r="A11" s="46" t="str">
        <x:v>UPDATE_KEY_ONLY</x:v>
      </x:c>
      <x:c r="B11" s="46" t="str">
        <x:v>موجود في النظام</x:v>
      </x:c>
      <x:c r="C11" s="46" t="str">
        <x:v>double_barrel_hotdog</x:v>
      </x:c>
      <x:c r="D11" s="46" t="str">
        <x:v>دبل برميل</x:v>
      </x:c>
      <x:c r="E11" s="46" t="str">
        <x:v>Double Barrel</x:v>
      </x:c>
      <x:c r="F11" s="96" t="n">
        <x:v>96</x:v>
      </x:c>
      <x:c r="G11" s="46" t="str">
        <x:v>name_ar</x:v>
      </x:c>
      <x:c r="H11" s="46" t="str">
        <x:v>البرميل الأسود</x:v>
      </x:c>
      <x:c r="I11" s="46" t="str">
        <x:v>food</x:v>
      </x:c>
      <x:c r="J11" s="46" t="str">
        <x:v>food</x:v>
      </x:c>
      <x:c r="K11" s="46" t="str">
        <x:v>snack</x:v>
      </x:c>
      <x:c r="L11" s="92"/>
      <x:c r="M11" s="46" t="str">
        <x:v>نعم</x:v>
      </x:c>
      <x:c r="N11" s="46" t="str">
        <x:v>نعم</x:v>
      </x:c>
      <x:c r="O11" s="46" t="str">
        <x:v>نعم</x:v>
      </x:c>
      <x:c r="P11" s="46" t="str">
        <x:v>نعم</x:v>
      </x:c>
      <x:c r="Q11" s="46" t="str">
        <x:v>نعم</x:v>
      </x:c>
      <x:c r="R11" s="46" t="str">
        <x:v>نعم</x:v>
      </x:c>
      <x:c r="S11" s="46" t="str">
        <x:v>kitchen</x:v>
      </x:c>
      <x:c r="T11" s="46" t="str">
        <x:v>لا</x:v>
      </x:c>
      <x:c r="U11" s="46" t="str">
        <x:v>لا</x:v>
      </x:c>
      <x:c r="V11" s="46" t="str">
        <x:v>نعم</x:v>
      </x:c>
      <x:c r="W11" s="96" t="n">
        <x:v>10</x:v>
      </x:c>
      <x:c r="X11" s="46" t="str"/>
      <x:c r="Y11" s="46" t="str"/>
      <x:c r="Z11" s="46" t="str">
        <x:v>إضافة المفتاح فقط دون تغيير بيانات المنتج.</x:v>
      </x:c>
    </x:row>
    <x:row r="12">
      <x:c r="A12" s="46" t="str">
        <x:v>UPDATE_KEY_ONLY</x:v>
      </x:c>
      <x:c r="B12" s="46" t="str">
        <x:v>موجود في النظام</x:v>
      </x:c>
      <x:c r="C12" s="46" t="str">
        <x:v>grilled_corn</x:v>
      </x:c>
      <x:c r="D12" s="46" t="str">
        <x:v>ذرة مشوية</x:v>
      </x:c>
      <x:c r="E12" s="46" t="str">
        <x:v>Corn on the Cob</x:v>
      </x:c>
      <x:c r="F12" s="96" t="n">
        <x:v>100</x:v>
      </x:c>
      <x:c r="G12" s="46" t="str">
        <x:v>name_ar</x:v>
      </x:c>
      <x:c r="H12" s="46" t="str">
        <x:v>البرميل الأسود</x:v>
      </x:c>
      <x:c r="I12" s="46" t="str">
        <x:v>food</x:v>
      </x:c>
      <x:c r="J12" s="46" t="str">
        <x:v>food</x:v>
      </x:c>
      <x:c r="K12" s="46" t="str">
        <x:v>snack</x:v>
      </x:c>
      <x:c r="L12" s="92"/>
      <x:c r="M12" s="46" t="str">
        <x:v>نعم</x:v>
      </x:c>
      <x:c r="N12" s="46" t="str">
        <x:v>نعم</x:v>
      </x:c>
      <x:c r="O12" s="46" t="str">
        <x:v>نعم</x:v>
      </x:c>
      <x:c r="P12" s="46" t="str">
        <x:v>نعم</x:v>
      </x:c>
      <x:c r="Q12" s="46" t="str">
        <x:v>نعم</x:v>
      </x:c>
      <x:c r="R12" s="46" t="str">
        <x:v>نعم</x:v>
      </x:c>
      <x:c r="S12" s="46" t="str">
        <x:v>kitchen</x:v>
      </x:c>
      <x:c r="T12" s="46" t="str">
        <x:v>لا</x:v>
      </x:c>
      <x:c r="U12" s="46" t="str">
        <x:v>لا</x:v>
      </x:c>
      <x:c r="V12" s="46" t="str">
        <x:v>نعم</x:v>
      </x:c>
      <x:c r="W12" s="96" t="n">
        <x:v>11</x:v>
      </x:c>
      <x:c r="X12" s="46" t="str"/>
      <x:c r="Y12" s="46" t="str"/>
      <x:c r="Z12" s="46" t="str">
        <x:v>إضافة المفتاح فقط دون تغيير بيانات المنتج.</x:v>
      </x:c>
    </x:row>
    <x:row r="13">
      <x:c r="A13" s="46" t="str">
        <x:v>MATCH_ONLY</x:v>
      </x:c>
      <x:c r="B13" s="46" t="str">
        <x:v>موجود في النظام</x:v>
      </x:c>
      <x:c r="C13" s="46" t="str">
        <x:v>basalt_zhourat</x:v>
      </x:c>
      <x:c r="D13" s="46" t="str">
        <x:v>زهرات البازلت</x:v>
      </x:c>
      <x:c r="E13" s="46" t="str"/>
      <x:c r="F13" s="96" t="n">
        <x:v>79</x:v>
      </x:c>
      <x:c r="G13" s="46" t="str">
        <x:v>key</x:v>
      </x:c>
      <x:c r="H13" s="46" t="str">
        <x:v>مشروبات توقيع</x:v>
      </x:c>
      <x:c r="I13" s="46" t="str">
        <x:v>drink</x:v>
      </x:c>
      <x:c r="J13" s="46" t="str">
        <x:v>beverage</x:v>
      </x:c>
      <x:c r="K13" s="46" t="str">
        <x:v>tea</x:v>
      </x:c>
      <x:c r="L13" s="92" t="n">
        <x:v>8000</x:v>
      </x:c>
      <x:c r="M13" s="46" t="str">
        <x:v>نعم</x:v>
      </x:c>
      <x:c r="N13" s="46" t="str">
        <x:v>نعم</x:v>
      </x:c>
      <x:c r="O13" s="46" t="str">
        <x:v>نعم</x:v>
      </x:c>
      <x:c r="P13" s="46" t="str">
        <x:v>نعم</x:v>
      </x:c>
      <x:c r="Q13" s="46" t="str">
        <x:v>نعم</x:v>
      </x:c>
      <x:c r="R13" s="46" t="str">
        <x:v>نعم</x:v>
      </x:c>
      <x:c r="S13" s="46" t="str">
        <x:v>bar</x:v>
      </x:c>
      <x:c r="T13" s="46" t="str">
        <x:v>لا</x:v>
      </x:c>
      <x:c r="U13" s="46" t="str">
        <x:v>لا</x:v>
      </x:c>
      <x:c r="V13" s="46" t="str">
        <x:v>لا</x:v>
      </x:c>
      <x:c r="W13" s="96" t="n">
        <x:v>12</x:v>
      </x:c>
      <x:c r="X13" s="46" t="str"/>
      <x:c r="Y13" s="46" t="str"/>
      <x:c r="Z13" s="46" t="str">
        <x:v>مطابقة فقط؛ لا تغييرات.</x:v>
      </x:c>
    </x:row>
    <x:row r="14">
      <x:c r="A14" s="46" t="str">
        <x:v>MATCH_ONLY</x:v>
      </x:c>
      <x:c r="B14" s="46" t="str">
        <x:v>موجود في النظام</x:v>
      </x:c>
      <x:c r="C14" s="46" t="str">
        <x:v>zhourat</x:v>
      </x:c>
      <x:c r="D14" s="46" t="str">
        <x:v>زهورات</x:v>
      </x:c>
      <x:c r="E14" s="46" t="str"/>
      <x:c r="F14" s="96" t="n">
        <x:v>63</x:v>
      </x:c>
      <x:c r="G14" s="46" t="str">
        <x:v>key</x:v>
      </x:c>
      <x:c r="H14" s="46" t="str">
        <x:v>مشروبات ساخنة</x:v>
      </x:c>
      <x:c r="I14" s="46" t="str">
        <x:v>drink</x:v>
      </x:c>
      <x:c r="J14" s="46" t="str">
        <x:v>beverage</x:v>
      </x:c>
      <x:c r="K14" s="46" t="str">
        <x:v>tea</x:v>
      </x:c>
      <x:c r="L14" s="92" t="n">
        <x:v>8000</x:v>
      </x:c>
      <x:c r="M14" s="46" t="str">
        <x:v>نعم</x:v>
      </x:c>
      <x:c r="N14" s="46" t="str">
        <x:v>نعم</x:v>
      </x:c>
      <x:c r="O14" s="46" t="str">
        <x:v>نعم</x:v>
      </x:c>
      <x:c r="P14" s="46" t="str">
        <x:v>نعم</x:v>
      </x:c>
      <x:c r="Q14" s="46" t="str">
        <x:v>نعم</x:v>
      </x:c>
      <x:c r="R14" s="46" t="str">
        <x:v>نعم</x:v>
      </x:c>
      <x:c r="S14" s="46" t="str">
        <x:v>bar</x:v>
      </x:c>
      <x:c r="T14" s="46" t="str">
        <x:v>لا</x:v>
      </x:c>
      <x:c r="U14" s="46" t="str">
        <x:v>لا</x:v>
      </x:c>
      <x:c r="V14" s="46" t="str">
        <x:v>لا</x:v>
      </x:c>
      <x:c r="W14" s="96" t="n">
        <x:v>13</x:v>
      </x:c>
      <x:c r="X14" s="46" t="str"/>
      <x:c r="Y14" s="46" t="str"/>
      <x:c r="Z14" s="46" t="str">
        <x:v>مطابقة فقط؛ لا تغييرات.</x:v>
      </x:c>
    </x:row>
    <x:row r="15">
      <x:c r="A15" s="46" t="str">
        <x:v>UPDATE_KEY_ONLY</x:v>
      </x:c>
      <x:c r="B15" s="46" t="str">
        <x:v>موجود في النظام</x:v>
      </x:c>
      <x:c r="C15" s="46" t="str">
        <x:v>spicy_hotdog</x:v>
      </x:c>
      <x:c r="D15" s="46" t="str">
        <x:v>سبايسي</x:v>
      </x:c>
      <x:c r="E15" s="46" t="str">
        <x:v>Spicy Hot Dog</x:v>
      </x:c>
      <x:c r="F15" s="96" t="n">
        <x:v>93</x:v>
      </x:c>
      <x:c r="G15" s="46" t="str">
        <x:v>name_ar</x:v>
      </x:c>
      <x:c r="H15" s="46" t="str">
        <x:v>البرميل الأسود</x:v>
      </x:c>
      <x:c r="I15" s="46" t="str">
        <x:v>food</x:v>
      </x:c>
      <x:c r="J15" s="46" t="str">
        <x:v>food</x:v>
      </x:c>
      <x:c r="K15" s="46" t="str">
        <x:v>snack</x:v>
      </x:c>
      <x:c r="L15" s="92"/>
      <x:c r="M15" s="46" t="str">
        <x:v>نعم</x:v>
      </x:c>
      <x:c r="N15" s="46" t="str">
        <x:v>نعم</x:v>
      </x:c>
      <x:c r="O15" s="46" t="str">
        <x:v>نعم</x:v>
      </x:c>
      <x:c r="P15" s="46" t="str">
        <x:v>نعم</x:v>
      </x:c>
      <x:c r="Q15" s="46" t="str">
        <x:v>نعم</x:v>
      </x:c>
      <x:c r="R15" s="46" t="str">
        <x:v>نعم</x:v>
      </x:c>
      <x:c r="S15" s="46" t="str">
        <x:v>kitchen</x:v>
      </x:c>
      <x:c r="T15" s="46" t="str">
        <x:v>لا</x:v>
      </x:c>
      <x:c r="U15" s="46" t="str">
        <x:v>لا</x:v>
      </x:c>
      <x:c r="V15" s="46" t="str">
        <x:v>نعم</x:v>
      </x:c>
      <x:c r="W15" s="96" t="n">
        <x:v>14</x:v>
      </x:c>
      <x:c r="X15" s="46" t="str"/>
      <x:c r="Y15" s="46" t="str"/>
      <x:c r="Z15" s="46" t="str">
        <x:v>إضافة المفتاح فقط دون تغيير بيانات المنتج.</x:v>
      </x:c>
    </x:row>
    <x:row r="16">
      <x:c r="A16" s="46" t="str">
        <x:v>MATCH_ONLY</x:v>
      </x:c>
      <x:c r="B16" s="46" t="str">
        <x:v>موجود في النظام</x:v>
      </x:c>
      <x:c r="C16" s="46" t="str">
        <x:v>apple_sage_tea</x:v>
      </x:c>
      <x:c r="D16" s="46" t="str">
        <x:v>شاي تفاح وميرمية</x:v>
      </x:c>
      <x:c r="E16" s="46" t="str"/>
      <x:c r="F16" s="96" t="n">
        <x:v>80</x:v>
      </x:c>
      <x:c r="G16" s="46" t="str">
        <x:v>key</x:v>
      </x:c>
      <x:c r="H16" s="46" t="str">
        <x:v>مشروبات توقيع</x:v>
      </x:c>
      <x:c r="I16" s="46" t="str">
        <x:v>drink</x:v>
      </x:c>
      <x:c r="J16" s="46" t="str">
        <x:v>beverage</x:v>
      </x:c>
      <x:c r="K16" s="46" t="str">
        <x:v>tea</x:v>
      </x:c>
      <x:c r="L16" s="92" t="n">
        <x:v>10000</x:v>
      </x:c>
      <x:c r="M16" s="46" t="str">
        <x:v>نعم</x:v>
      </x:c>
      <x:c r="N16" s="46" t="str">
        <x:v>نعم</x:v>
      </x:c>
      <x:c r="O16" s="46" t="str">
        <x:v>نعم</x:v>
      </x:c>
      <x:c r="P16" s="46" t="str">
        <x:v>نعم</x:v>
      </x:c>
      <x:c r="Q16" s="46" t="str">
        <x:v>نعم</x:v>
      </x:c>
      <x:c r="R16" s="46" t="str">
        <x:v>نعم</x:v>
      </x:c>
      <x:c r="S16" s="46" t="str">
        <x:v>bar</x:v>
      </x:c>
      <x:c r="T16" s="46" t="str">
        <x:v>لا</x:v>
      </x:c>
      <x:c r="U16" s="46" t="str">
        <x:v>لا</x:v>
      </x:c>
      <x:c r="V16" s="46" t="str">
        <x:v>لا</x:v>
      </x:c>
      <x:c r="W16" s="96" t="n">
        <x:v>15</x:v>
      </x:c>
      <x:c r="X16" s="46" t="str"/>
      <x:c r="Y16" s="46" t="str"/>
      <x:c r="Z16" s="46" t="str">
        <x:v>مطابقة فقط؛ لا تغييرات.</x:v>
      </x:c>
    </x:row>
    <x:row r="17">
      <x:c r="A17" s="46" t="str">
        <x:v>MATCH_ONLY</x:v>
      </x:c>
      <x:c r="B17" s="46" t="str">
        <x:v>موجود في النظام</x:v>
      </x:c>
      <x:c r="C17" s="46" t="str">
        <x:v>regular_tea</x:v>
      </x:c>
      <x:c r="D17" s="46" t="str">
        <x:v>شاي عادي</x:v>
      </x:c>
      <x:c r="E17" s="46" t="str"/>
      <x:c r="F17" s="96" t="n">
        <x:v>58</x:v>
      </x:c>
      <x:c r="G17" s="46" t="str">
        <x:v>key</x:v>
      </x:c>
      <x:c r="H17" s="46" t="str">
        <x:v>مشروبات ساخنة</x:v>
      </x:c>
      <x:c r="I17" s="46" t="str">
        <x:v>drink</x:v>
      </x:c>
      <x:c r="J17" s="46" t="str">
        <x:v>beverage</x:v>
      </x:c>
      <x:c r="K17" s="46" t="str">
        <x:v>tea</x:v>
      </x:c>
      <x:c r="L17" s="92" t="n">
        <x:v>4000</x:v>
      </x:c>
      <x:c r="M17" s="46" t="str">
        <x:v>نعم</x:v>
      </x:c>
      <x:c r="N17" s="46" t="str">
        <x:v>نعم</x:v>
      </x:c>
      <x:c r="O17" s="46" t="str">
        <x:v>نعم</x:v>
      </x:c>
      <x:c r="P17" s="46" t="str">
        <x:v>نعم</x:v>
      </x:c>
      <x:c r="Q17" s="46" t="str">
        <x:v>نعم</x:v>
      </x:c>
      <x:c r="R17" s="46" t="str">
        <x:v>نعم</x:v>
      </x:c>
      <x:c r="S17" s="46" t="str">
        <x:v>bar</x:v>
      </x:c>
      <x:c r="T17" s="46" t="str">
        <x:v>لا</x:v>
      </x:c>
      <x:c r="U17" s="46" t="str">
        <x:v>لا</x:v>
      </x:c>
      <x:c r="V17" s="46" t="str">
        <x:v>لا</x:v>
      </x:c>
      <x:c r="W17" s="96" t="n">
        <x:v>16</x:v>
      </x:c>
      <x:c r="X17" s="46" t="str"/>
      <x:c r="Y17" s="46" t="str"/>
      <x:c r="Z17" s="46" t="str">
        <x:v>مطابقة فقط؛ لا تغييرات.</x:v>
      </x:c>
    </x:row>
    <x:row r="18">
      <x:c r="A18" s="46" t="str">
        <x:v>MATCH_ONLY</x:v>
      </x:c>
      <x:c r="B18" s="46" t="str">
        <x:v>موجود في النظام</x:v>
      </x:c>
      <x:c r="C18" s="46" t="str">
        <x:v>fruit_flavored_tea</x:v>
      </x:c>
      <x:c r="D18" s="46" t="str">
        <x:v>شاي فواكه / منكه</x:v>
      </x:c>
      <x:c r="E18" s="46" t="str"/>
      <x:c r="F18" s="96" t="n">
        <x:v>62</x:v>
      </x:c>
      <x:c r="G18" s="46" t="str">
        <x:v>key</x:v>
      </x:c>
      <x:c r="H18" s="46" t="str">
        <x:v>مشروبات ساخنة</x:v>
      </x:c>
      <x:c r="I18" s="46" t="str">
        <x:v>drink</x:v>
      </x:c>
      <x:c r="J18" s="46" t="str">
        <x:v>beverage</x:v>
      </x:c>
      <x:c r="K18" s="46" t="str">
        <x:v>tea</x:v>
      </x:c>
      <x:c r="L18" s="92" t="n">
        <x:v>7000</x:v>
      </x:c>
      <x:c r="M18" s="46" t="str">
        <x:v>نعم</x:v>
      </x:c>
      <x:c r="N18" s="46" t="str">
        <x:v>نعم</x:v>
      </x:c>
      <x:c r="O18" s="46" t="str">
        <x:v>نعم</x:v>
      </x:c>
      <x:c r="P18" s="46" t="str">
        <x:v>نعم</x:v>
      </x:c>
      <x:c r="Q18" s="46" t="str">
        <x:v>نعم</x:v>
      </x:c>
      <x:c r="R18" s="46" t="str">
        <x:v>نعم</x:v>
      </x:c>
      <x:c r="S18" s="46" t="str">
        <x:v>bar</x:v>
      </x:c>
      <x:c r="T18" s="46" t="str">
        <x:v>لا</x:v>
      </x:c>
      <x:c r="U18" s="46" t="str">
        <x:v>لا</x:v>
      </x:c>
      <x:c r="V18" s="46" t="str">
        <x:v>لا</x:v>
      </x:c>
      <x:c r="W18" s="96" t="n">
        <x:v>17</x:v>
      </x:c>
      <x:c r="X18" s="46" t="str"/>
      <x:c r="Y18" s="46" t="str"/>
      <x:c r="Z18" s="46" t="str">
        <x:v>مطابقة فقط؛ لا تغييرات.</x:v>
      </x:c>
    </x:row>
    <x:row r="19">
      <x:c r="A19" s="46" t="str">
        <x:v>MATCH_ONLY</x:v>
      </x:c>
      <x:c r="B19" s="46" t="str">
        <x:v>موجود في النظام</x:v>
      </x:c>
      <x:c r="C19" s="46" t="str">
        <x:v>cold_yogurt_drink</x:v>
      </x:c>
      <x:c r="D19" s="46" t="str">
        <x:v>شنينة / لبن بارد</x:v>
      </x:c>
      <x:c r="E19" s="46" t="str"/>
      <x:c r="F19" s="96" t="n">
        <x:v>72</x:v>
      </x:c>
      <x:c r="G19" s="46" t="str">
        <x:v>key</x:v>
      </x:c>
      <x:c r="H19" s="46" t="str">
        <x:v>مشروبات باردة</x:v>
      </x:c>
      <x:c r="I19" s="46" t="str">
        <x:v>drink</x:v>
      </x:c>
      <x:c r="J19" s="46" t="str">
        <x:v>beverage</x:v>
      </x:c>
      <x:c r="K19" s="46" t="str">
        <x:v>local</x:v>
      </x:c>
      <x:c r="L19" s="92" t="n">
        <x:v>10000</x:v>
      </x:c>
      <x:c r="M19" s="46" t="str">
        <x:v>نعم</x:v>
      </x:c>
      <x:c r="N19" s="46" t="str">
        <x:v>نعم</x:v>
      </x:c>
      <x:c r="O19" s="46" t="str">
        <x:v>نعم</x:v>
      </x:c>
      <x:c r="P19" s="46" t="str">
        <x:v>نعم</x:v>
      </x:c>
      <x:c r="Q19" s="46" t="str">
        <x:v>نعم</x:v>
      </x:c>
      <x:c r="R19" s="46" t="str">
        <x:v>نعم</x:v>
      </x:c>
      <x:c r="S19" s="46" t="str">
        <x:v>bar</x:v>
      </x:c>
      <x:c r="T19" s="46" t="str">
        <x:v>لا</x:v>
      </x:c>
      <x:c r="U19" s="46" t="str">
        <x:v>لا</x:v>
      </x:c>
      <x:c r="V19" s="46" t="str">
        <x:v>لا</x:v>
      </x:c>
      <x:c r="W19" s="96" t="n">
        <x:v>18</x:v>
      </x:c>
      <x:c r="X19" s="46" t="str"/>
      <x:c r="Y19" s="46" t="str"/>
      <x:c r="Z19" s="46" t="str">
        <x:v>مطابقة فقط؛ لا تغييرات.</x:v>
      </x:c>
    </x:row>
    <x:row r="20">
      <x:c r="A20" s="46" t="str">
        <x:v>UPDATE_KEY_ONLY</x:v>
      </x:c>
      <x:c r="B20" s="46" t="str">
        <x:v>موجود في النظام</x:v>
      </x:c>
      <x:c r="C20" s="46" t="str">
        <x:v>chips_with_dip</x:v>
      </x:c>
      <x:c r="D20" s="46" t="str">
        <x:v>شيبس مع صوص</x:v>
      </x:c>
      <x:c r="E20" s="46" t="str">
        <x:v>Chips + Dip</x:v>
      </x:c>
      <x:c r="F20" s="96" t="n">
        <x:v>99</x:v>
      </x:c>
      <x:c r="G20" s="46" t="str">
        <x:v>name_ar</x:v>
      </x:c>
      <x:c r="H20" s="46" t="str">
        <x:v>البرميل الأسود</x:v>
      </x:c>
      <x:c r="I20" s="46" t="str">
        <x:v>food</x:v>
      </x:c>
      <x:c r="J20" s="46" t="str">
        <x:v>food</x:v>
      </x:c>
      <x:c r="K20" s="46" t="str">
        <x:v>snack</x:v>
      </x:c>
      <x:c r="L20" s="92"/>
      <x:c r="M20" s="46" t="str">
        <x:v>نعم</x:v>
      </x:c>
      <x:c r="N20" s="46" t="str">
        <x:v>نعم</x:v>
      </x:c>
      <x:c r="O20" s="46" t="str">
        <x:v>نعم</x:v>
      </x:c>
      <x:c r="P20" s="46" t="str">
        <x:v>نعم</x:v>
      </x:c>
      <x:c r="Q20" s="46" t="str">
        <x:v>نعم</x:v>
      </x:c>
      <x:c r="R20" s="46" t="str">
        <x:v>نعم</x:v>
      </x:c>
      <x:c r="S20" s="46" t="str">
        <x:v>kitchen</x:v>
      </x:c>
      <x:c r="T20" s="46" t="str">
        <x:v>لا</x:v>
      </x:c>
      <x:c r="U20" s="46" t="str">
        <x:v>لا</x:v>
      </x:c>
      <x:c r="V20" s="46" t="str">
        <x:v>نعم</x:v>
      </x:c>
      <x:c r="W20" s="96" t="n">
        <x:v>19</x:v>
      </x:c>
      <x:c r="X20" s="46" t="str"/>
      <x:c r="Y20" s="46" t="str"/>
      <x:c r="Z20" s="46" t="str">
        <x:v>إضافة المفتاح فقط دون تغيير بيانات المنتج.</x:v>
      </x:c>
    </x:row>
    <x:row r="21">
      <x:c r="A21" s="46" t="str">
        <x:v>MATCH_ONLY</x:v>
      </x:c>
      <x:c r="B21" s="46" t="str">
        <x:v>موجود في النظام</x:v>
      </x:c>
      <x:c r="C21" s="46" t="str">
        <x:v>quiche_five_mezza_tray</x:v>
      </x:c>
      <x:c r="D21" s="46" t="str">
        <x:v>صينية كيش + طبق 5 مازات</x:v>
      </x:c>
      <x:c r="E21" s="46" t="str"/>
      <x:c r="F21" s="96" t="n">
        <x:v>81</x:v>
      </x:c>
      <x:c r="G21" s="46" t="str">
        <x:v>key</x:v>
      </x:c>
      <x:c r="H21" s="46" t="str">
        <x:v>صواني وطلبات طاولة</x:v>
      </x:c>
      <x:c r="I21" s="46" t="str">
        <x:v>food</x:v>
      </x:c>
      <x:c r="J21" s="46" t="str">
        <x:v>food</x:v>
      </x:c>
      <x:c r="K21" s="46" t="str">
        <x:v>hub_food</x:v>
      </x:c>
      <x:c r="L21" s="92" t="n">
        <x:v>160000</x:v>
      </x:c>
      <x:c r="M21" s="46" t="str">
        <x:v>نعم</x:v>
      </x:c>
      <x:c r="N21" s="46" t="str">
        <x:v>نعم</x:v>
      </x:c>
      <x:c r="O21" s="46" t="str">
        <x:v>نعم</x:v>
      </x:c>
      <x:c r="P21" s="46" t="str">
        <x:v>نعم</x:v>
      </x:c>
      <x:c r="Q21" s="46" t="str">
        <x:v>نعم</x:v>
      </x:c>
      <x:c r="R21" s="46" t="str">
        <x:v>نعم</x:v>
      </x:c>
      <x:c r="S21" s="46" t="str">
        <x:v>kitchen</x:v>
      </x:c>
      <x:c r="T21" s="46" t="str">
        <x:v>لا</x:v>
      </x:c>
      <x:c r="U21" s="46" t="str">
        <x:v>لا</x:v>
      </x:c>
      <x:c r="V21" s="46" t="str">
        <x:v>لا</x:v>
      </x:c>
      <x:c r="W21" s="96" t="n">
        <x:v>20</x:v>
      </x:c>
      <x:c r="X21" s="46" t="str"/>
      <x:c r="Y21" s="46" t="str"/>
      <x:c r="Z21" s="46" t="str">
        <x:v>مطابقة فقط؛ لا تغييرات.</x:v>
      </x:c>
    </x:row>
    <x:row r="22">
      <x:c r="A22" s="46" t="str">
        <x:v>MATCH_ONLY</x:v>
      </x:c>
      <x:c r="B22" s="46" t="str">
        <x:v>موجود في النظام</x:v>
      </x:c>
      <x:c r="C22" s="46" t="str">
        <x:v>quiche_seven_mezza_tray</x:v>
      </x:c>
      <x:c r="D22" s="46" t="str">
        <x:v>صينية كيش + طبق 7 مازات</x:v>
      </x:c>
      <x:c r="E22" s="46" t="str"/>
      <x:c r="F22" s="96" t="n">
        <x:v>82</x:v>
      </x:c>
      <x:c r="G22" s="46" t="str">
        <x:v>key</x:v>
      </x:c>
      <x:c r="H22" s="46" t="str">
        <x:v>صواني وطلبات طاولة</x:v>
      </x:c>
      <x:c r="I22" s="46" t="str">
        <x:v>food</x:v>
      </x:c>
      <x:c r="J22" s="46" t="str">
        <x:v>food</x:v>
      </x:c>
      <x:c r="K22" s="46" t="str">
        <x:v>hub_food</x:v>
      </x:c>
      <x:c r="L22" s="92" t="n">
        <x:v>175000</x:v>
      </x:c>
      <x:c r="M22" s="46" t="str">
        <x:v>نعم</x:v>
      </x:c>
      <x:c r="N22" s="46" t="str">
        <x:v>نعم</x:v>
      </x:c>
      <x:c r="O22" s="46" t="str">
        <x:v>نعم</x:v>
      </x:c>
      <x:c r="P22" s="46" t="str">
        <x:v>نعم</x:v>
      </x:c>
      <x:c r="Q22" s="46" t="str">
        <x:v>نعم</x:v>
      </x:c>
      <x:c r="R22" s="46" t="str">
        <x:v>نعم</x:v>
      </x:c>
      <x:c r="S22" s="46" t="str">
        <x:v>kitchen</x:v>
      </x:c>
      <x:c r="T22" s="46" t="str">
        <x:v>لا</x:v>
      </x:c>
      <x:c r="U22" s="46" t="str">
        <x:v>لا</x:v>
      </x:c>
      <x:c r="V22" s="46" t="str">
        <x:v>لا</x:v>
      </x:c>
      <x:c r="W22" s="96" t="n">
        <x:v>21</x:v>
      </x:c>
      <x:c r="X22" s="46" t="str"/>
      <x:c r="Y22" s="46" t="str"/>
      <x:c r="Z22" s="46" t="str">
        <x:v>مطابقة فقط؛ لا تغييرات.</x:v>
      </x:c>
    </x:row>
    <x:row r="23">
      <x:c r="A23" s="46" t="str">
        <x:v>MATCH_ONLY</x:v>
      </x:c>
      <x:c r="B23" s="46" t="str">
        <x:v>موجود في النظام</x:v>
      </x:c>
      <x:c r="C23" s="46" t="str">
        <x:v>whole_quiche_tray</x:v>
      </x:c>
      <x:c r="D23" s="46" t="str">
        <x:v>صينية كيش كاملة</x:v>
      </x:c>
      <x:c r="E23" s="46" t="str"/>
      <x:c r="F23" s="96" t="n">
        <x:v>52</x:v>
      </x:c>
      <x:c r="G23" s="46" t="str">
        <x:v>key</x:v>
      </x:c>
      <x:c r="H23" s="46" t="str">
        <x:v>الكيش</x:v>
      </x:c>
      <x:c r="I23" s="46" t="str">
        <x:v>food</x:v>
      </x:c>
      <x:c r="J23" s="46" t="str">
        <x:v>food</x:v>
      </x:c>
      <x:c r="K23" s="46" t="str">
        <x:v>hub_food</x:v>
      </x:c>
      <x:c r="L23" s="92" t="n">
        <x:v>130000</x:v>
      </x:c>
      <x:c r="M23" s="46" t="str">
        <x:v>نعم</x:v>
      </x:c>
      <x:c r="N23" s="46" t="str">
        <x:v>نعم</x:v>
      </x:c>
      <x:c r="O23" s="46" t="str">
        <x:v>نعم</x:v>
      </x:c>
      <x:c r="P23" s="46" t="str">
        <x:v>نعم</x:v>
      </x:c>
      <x:c r="Q23" s="46" t="str">
        <x:v>نعم</x:v>
      </x:c>
      <x:c r="R23" s="46" t="str">
        <x:v>نعم</x:v>
      </x:c>
      <x:c r="S23" s="46" t="str">
        <x:v>kitchen</x:v>
      </x:c>
      <x:c r="T23" s="46" t="str">
        <x:v>لا</x:v>
      </x:c>
      <x:c r="U23" s="46" t="str">
        <x:v>لا</x:v>
      </x:c>
      <x:c r="V23" s="46" t="str">
        <x:v>لا</x:v>
      </x:c>
      <x:c r="W23" s="96" t="n">
        <x:v>22</x:v>
      </x:c>
      <x:c r="X23" s="46" t="str"/>
      <x:c r="Y23" s="46" t="str"/>
      <x:c r="Z23" s="46" t="str">
        <x:v>مطابقة فقط؛ لا تغييرات.</x:v>
      </x:c>
    </x:row>
    <x:row r="24">
      <x:c r="A24" s="46" t="str">
        <x:v>MATCH_ONLY</x:v>
      </x:c>
      <x:c r="B24" s="46" t="str">
        <x:v>موجود في النظام</x:v>
      </x:c>
      <x:c r="C24" s="46" t="str">
        <x:v>three_mezza_plate</x:v>
      </x:c>
      <x:c r="D24" s="46" t="str">
        <x:v>طبق 3 مازات</x:v>
      </x:c>
      <x:c r="E24" s="46" t="str"/>
      <x:c r="F24" s="96" t="n">
        <x:v>56</x:v>
      </x:c>
      <x:c r="G24" s="46" t="str">
        <x:v>key</x:v>
      </x:c>
      <x:c r="H24" s="46" t="str">
        <x:v>المازة</x:v>
      </x:c>
      <x:c r="I24" s="46" t="str">
        <x:v>food</x:v>
      </x:c>
      <x:c r="J24" s="46" t="str">
        <x:v>food</x:v>
      </x:c>
      <x:c r="K24" s="46" t="str">
        <x:v>hub_food</x:v>
      </x:c>
      <x:c r="L24" s="92" t="n">
        <x:v>25000</x:v>
      </x:c>
      <x:c r="M24" s="46" t="str">
        <x:v>نعم</x:v>
      </x:c>
      <x:c r="N24" s="46" t="str">
        <x:v>نعم</x:v>
      </x:c>
      <x:c r="O24" s="46" t="str">
        <x:v>نعم</x:v>
      </x:c>
      <x:c r="P24" s="46" t="str">
        <x:v>نعم</x:v>
      </x:c>
      <x:c r="Q24" s="46" t="str">
        <x:v>نعم</x:v>
      </x:c>
      <x:c r="R24" s="46" t="str">
        <x:v>نعم</x:v>
      </x:c>
      <x:c r="S24" s="46" t="str">
        <x:v>kitchen</x:v>
      </x:c>
      <x:c r="T24" s="46" t="str">
        <x:v>لا</x:v>
      </x:c>
      <x:c r="U24" s="46" t="str">
        <x:v>لا</x:v>
      </x:c>
      <x:c r="V24" s="46" t="str">
        <x:v>لا</x:v>
      </x:c>
      <x:c r="W24" s="96" t="n">
        <x:v>23</x:v>
      </x:c>
      <x:c r="X24" s="46" t="str"/>
      <x:c r="Y24" s="46" t="str"/>
      <x:c r="Z24" s="46" t="str">
        <x:v>مطابقة فقط؛ لا تغييرات.</x:v>
      </x:c>
    </x:row>
    <x:row r="25">
      <x:c r="A25" s="46" t="str">
        <x:v>MATCH_ONLY</x:v>
      </x:c>
      <x:c r="B25" s="46" t="str">
        <x:v>موجود في النظام</x:v>
      </x:c>
      <x:c r="C25" s="46" t="str">
        <x:v>five_mezza_plate</x:v>
      </x:c>
      <x:c r="D25" s="46" t="str">
        <x:v>طبق 5 مازات</x:v>
      </x:c>
      <x:c r="E25" s="46" t="str"/>
      <x:c r="F25" s="96" t="n">
        <x:v>57</x:v>
      </x:c>
      <x:c r="G25" s="46" t="str">
        <x:v>key</x:v>
      </x:c>
      <x:c r="H25" s="46" t="str">
        <x:v>المازة</x:v>
      </x:c>
      <x:c r="I25" s="46" t="str">
        <x:v>food</x:v>
      </x:c>
      <x:c r="J25" s="46" t="str">
        <x:v>food</x:v>
      </x:c>
      <x:c r="K25" s="46" t="str">
        <x:v>hub_food</x:v>
      </x:c>
      <x:c r="L25" s="92" t="n">
        <x:v>40000</x:v>
      </x:c>
      <x:c r="M25" s="46" t="str">
        <x:v>نعم</x:v>
      </x:c>
      <x:c r="N25" s="46" t="str">
        <x:v>نعم</x:v>
      </x:c>
      <x:c r="O25" s="46" t="str">
        <x:v>نعم</x:v>
      </x:c>
      <x:c r="P25" s="46" t="str">
        <x:v>نعم</x:v>
      </x:c>
      <x:c r="Q25" s="46" t="str">
        <x:v>نعم</x:v>
      </x:c>
      <x:c r="R25" s="46" t="str">
        <x:v>نعم</x:v>
      </x:c>
      <x:c r="S25" s="46" t="str">
        <x:v>kitchen</x:v>
      </x:c>
      <x:c r="T25" s="46" t="str">
        <x:v>لا</x:v>
      </x:c>
      <x:c r="U25" s="46" t="str">
        <x:v>لا</x:v>
      </x:c>
      <x:c r="V25" s="46" t="str">
        <x:v>لا</x:v>
      </x:c>
      <x:c r="W25" s="96" t="n">
        <x:v>24</x:v>
      </x:c>
      <x:c r="X25" s="46" t="str"/>
      <x:c r="Y25" s="46" t="str"/>
      <x:c r="Z25" s="46" t="str">
        <x:v>مطابقة فقط؛ لا تغييرات.</x:v>
      </x:c>
    </x:row>
    <x:row r="26">
      <x:c r="A26" s="46" t="str">
        <x:v>MATCH_ONLY</x:v>
      </x:c>
      <x:c r="B26" s="46" t="str">
        <x:v>موجود في النظام</x:v>
      </x:c>
      <x:c r="C26" s="46" t="str">
        <x:v>large_seven_mezza_plate</x:v>
      </x:c>
      <x:c r="D26" s="46" t="str">
        <x:v>طبق 7 مازات كبير</x:v>
      </x:c>
      <x:c r="E26" s="46" t="str"/>
      <x:c r="F26" s="96" t="n">
        <x:v>83</x:v>
      </x:c>
      <x:c r="G26" s="46" t="str">
        <x:v>key</x:v>
      </x:c>
      <x:c r="H26" s="46" t="str">
        <x:v>صواني وطلبات طاولة</x:v>
      </x:c>
      <x:c r="I26" s="46" t="str">
        <x:v>food</x:v>
      </x:c>
      <x:c r="J26" s="46" t="str">
        <x:v>food</x:v>
      </x:c>
      <x:c r="K26" s="46" t="str">
        <x:v>hub_food</x:v>
      </x:c>
      <x:c r="L26" s="92" t="n">
        <x:v>55000</x:v>
      </x:c>
      <x:c r="M26" s="46" t="str">
        <x:v>نعم</x:v>
      </x:c>
      <x:c r="N26" s="46" t="str">
        <x:v>نعم</x:v>
      </x:c>
      <x:c r="O26" s="46" t="str">
        <x:v>نعم</x:v>
      </x:c>
      <x:c r="P26" s="46" t="str">
        <x:v>نعم</x:v>
      </x:c>
      <x:c r="Q26" s="46" t="str">
        <x:v>نعم</x:v>
      </x:c>
      <x:c r="R26" s="46" t="str">
        <x:v>نعم</x:v>
      </x:c>
      <x:c r="S26" s="46" t="str">
        <x:v>kitchen</x:v>
      </x:c>
      <x:c r="T26" s="46" t="str">
        <x:v>لا</x:v>
      </x:c>
      <x:c r="U26" s="46" t="str">
        <x:v>لا</x:v>
      </x:c>
      <x:c r="V26" s="46" t="str">
        <x:v>لا</x:v>
      </x:c>
      <x:c r="W26" s="96" t="n">
        <x:v>25</x:v>
      </x:c>
      <x:c r="X26" s="46" t="str"/>
      <x:c r="Y26" s="46" t="str"/>
      <x:c r="Z26" s="46" t="str">
        <x:v>مطابقة فقط؛ لا تغييرات.</x:v>
      </x:c>
    </x:row>
    <x:row r="27">
      <x:c r="A27" s="46" t="str">
        <x:v>MATCH_ONLY</x:v>
      </x:c>
      <x:c r="B27" s="46" t="str">
        <x:v>موجود في النظام</x:v>
      </x:c>
      <x:c r="C27" s="46" t="str">
        <x:v>rayan_arak_glass</x:v>
      </x:c>
      <x:c r="D27" s="46" t="str">
        <x:v>عرق الريان - كأس</x:v>
      </x:c>
      <x:c r="E27" s="46" t="str"/>
      <x:c r="F27" s="96" t="n">
        <x:v>84</x:v>
      </x:c>
      <x:c r="G27" s="46" t="str">
        <x:v>key</x:v>
      </x:c>
      <x:c r="H27" s="46" t="str">
        <x:v>مشروبات كحولية</x:v>
      </x:c>
      <x:c r="I27" s="46" t="str">
        <x:v>drink</x:v>
      </x:c>
      <x:c r="J27" s="46" t="str">
        <x:v>beverage</x:v>
      </x:c>
      <x:c r="K27" s="46" t="str">
        <x:v>arak</x:v>
      </x:c>
      <x:c r="L27" s="92" t="n">
        <x:v>12000</x:v>
      </x:c>
      <x:c r="M27" s="46" t="str">
        <x:v>نعم</x:v>
      </x:c>
      <x:c r="N27" s="46" t="str">
        <x:v>نعم</x:v>
      </x:c>
      <x:c r="O27" s="46" t="str">
        <x:v>نعم</x:v>
      </x:c>
      <x:c r="P27" s="46" t="str">
        <x:v>لا</x:v>
      </x:c>
      <x:c r="Q27" s="46" t="str">
        <x:v>لا</x:v>
      </x:c>
      <x:c r="R27" s="46" t="str">
        <x:v>نعم</x:v>
      </x:c>
      <x:c r="S27" s="46" t="str">
        <x:v>bar</x:v>
      </x:c>
      <x:c r="T27" s="46" t="str">
        <x:v>نعم</x:v>
      </x:c>
      <x:c r="U27" s="46" t="str">
        <x:v>نعم</x:v>
      </x:c>
      <x:c r="V27" s="46" t="str">
        <x:v>لا</x:v>
      </x:c>
      <x:c r="W27" s="96" t="n">
        <x:v>26</x:v>
      </x:c>
      <x:c r="X27" s="46" t="str"/>
      <x:c r="Y27" s="46" t="str"/>
      <x:c r="Z27" s="46" t="str">
        <x:v>مطابقة فقط؛ لا تغييرات.</x:v>
      </x:c>
    </x:row>
    <x:row r="28">
      <x:c r="A28" s="46" t="str">
        <x:v>MATCH_ONLY</x:v>
      </x:c>
      <x:c r="B28" s="46" t="str">
        <x:v>موجود في النظام</x:v>
      </x:c>
      <x:c r="C28" s="46" t="str">
        <x:v>rayan_arak_small_carafe</x:v>
      </x:c>
      <x:c r="D28" s="46" t="str">
        <x:v>عرق الريان — كاراف صغير</x:v>
      </x:c>
      <x:c r="E28" s="46" t="str"/>
      <x:c r="F28" s="96" t="n">
        <x:v>85</x:v>
      </x:c>
      <x:c r="G28" s="46" t="str">
        <x:v>key</x:v>
      </x:c>
      <x:c r="H28" s="46" t="str">
        <x:v>مناسبات فقط</x:v>
      </x:c>
      <x:c r="I28" s="46" t="str">
        <x:v>drink</x:v>
      </x:c>
      <x:c r="J28" s="46" t="str">
        <x:v>beverage</x:v>
      </x:c>
      <x:c r="K28" s="46" t="str">
        <x:v>arak</x:v>
      </x:c>
      <x:c r="L28" s="92" t="n">
        <x:v>45000</x:v>
      </x:c>
      <x:c r="M28" s="46" t="str">
        <x:v>لا</x:v>
      </x:c>
      <x:c r="N28" s="46" t="str">
        <x:v>لا</x:v>
      </x:c>
      <x:c r="O28" s="46" t="str">
        <x:v>لا</x:v>
      </x:c>
      <x:c r="P28" s="46" t="str">
        <x:v>لا</x:v>
      </x:c>
      <x:c r="Q28" s="46" t="str">
        <x:v>لا</x:v>
      </x:c>
      <x:c r="R28" s="46" t="str">
        <x:v>نعم</x:v>
      </x:c>
      <x:c r="S28" s="46" t="str">
        <x:v>bar</x:v>
      </x:c>
      <x:c r="T28" s="46" t="str">
        <x:v>نعم</x:v>
      </x:c>
      <x:c r="U28" s="46" t="str">
        <x:v>نعم</x:v>
      </x:c>
      <x:c r="V28" s="46" t="str">
        <x:v>لا</x:v>
      </x:c>
      <x:c r="W28" s="96" t="n">
        <x:v>27</x:v>
      </x:c>
      <x:c r="X28" s="46" t="str"/>
      <x:c r="Y28" s="46" t="str"/>
      <x:c r="Z28" s="46" t="str">
        <x:v>مطابقة فقط؛ لا تغييرات.</x:v>
      </x:c>
    </x:row>
    <x:row r="29">
      <x:c r="A29" s="46" t="str">
        <x:v>MATCH_ONLY</x:v>
      </x:c>
      <x:c r="B29" s="46" t="str">
        <x:v>موجود في النظام</x:v>
      </x:c>
      <x:c r="C29" s="46" t="str">
        <x:v>rayan_arak_table_liter</x:v>
      </x:c>
      <x:c r="D29" s="46" t="str">
        <x:v>عرق الريان — لتر طاولة</x:v>
      </x:c>
      <x:c r="E29" s="46" t="str"/>
      <x:c r="F29" s="96" t="n">
        <x:v>86</x:v>
      </x:c>
      <x:c r="G29" s="46" t="str">
        <x:v>key</x:v>
      </x:c>
      <x:c r="H29" s="46" t="str">
        <x:v>مناسبات فقط</x:v>
      </x:c>
      <x:c r="I29" s="46" t="str">
        <x:v>drink</x:v>
      </x:c>
      <x:c r="J29" s="46" t="str">
        <x:v>beverage</x:v>
      </x:c>
      <x:c r="K29" s="46" t="str">
        <x:v>arak</x:v>
      </x:c>
      <x:c r="L29" s="92" t="n">
        <x:v>120000</x:v>
      </x:c>
      <x:c r="M29" s="46" t="str">
        <x:v>لا</x:v>
      </x:c>
      <x:c r="N29" s="46" t="str">
        <x:v>لا</x:v>
      </x:c>
      <x:c r="O29" s="46" t="str">
        <x:v>لا</x:v>
      </x:c>
      <x:c r="P29" s="46" t="str">
        <x:v>لا</x:v>
      </x:c>
      <x:c r="Q29" s="46" t="str">
        <x:v>لا</x:v>
      </x:c>
      <x:c r="R29" s="46" t="str">
        <x:v>نعم</x:v>
      </x:c>
      <x:c r="S29" s="46" t="str">
        <x:v>bar</x:v>
      </x:c>
      <x:c r="T29" s="46" t="str">
        <x:v>نعم</x:v>
      </x:c>
      <x:c r="U29" s="46" t="str">
        <x:v>نعم</x:v>
      </x:c>
      <x:c r="V29" s="46" t="str">
        <x:v>لا</x:v>
      </x:c>
      <x:c r="W29" s="96" t="n">
        <x:v>28</x:v>
      </x:c>
      <x:c r="X29" s="46" t="str"/>
      <x:c r="Y29" s="46" t="str"/>
      <x:c r="Z29" s="46" t="str">
        <x:v>مطابقة فقط؛ لا تغييرات.</x:v>
      </x:c>
    </x:row>
    <x:row r="30">
      <x:c r="A30" s="46" t="str">
        <x:v>MATCH_ONLY</x:v>
      </x:c>
      <x:c r="B30" s="46" t="str">
        <x:v>موجود في النظام</x:v>
      </x:c>
      <x:c r="C30" s="46" t="str">
        <x:v>juice_glass</x:v>
      </x:c>
      <x:c r="D30" s="46" t="str">
        <x:v>عصير كاسة</x:v>
      </x:c>
      <x:c r="E30" s="46" t="str"/>
      <x:c r="F30" s="96" t="n">
        <x:v>70</x:v>
      </x:c>
      <x:c r="G30" s="46" t="str">
        <x:v>key</x:v>
      </x:c>
      <x:c r="H30" s="46" t="str">
        <x:v>مشروبات باردة</x:v>
      </x:c>
      <x:c r="I30" s="46" t="str">
        <x:v>drink</x:v>
      </x:c>
      <x:c r="J30" s="46" t="str">
        <x:v>beverage</x:v>
      </x:c>
      <x:c r="K30" s="46" t="str">
        <x:v>juice</x:v>
      </x:c>
      <x:c r="L30" s="92" t="n">
        <x:v>8000</x:v>
      </x:c>
      <x:c r="M30" s="46" t="str">
        <x:v>نعم</x:v>
      </x:c>
      <x:c r="N30" s="46" t="str">
        <x:v>نعم</x:v>
      </x:c>
      <x:c r="O30" s="46" t="str">
        <x:v>نعم</x:v>
      </x:c>
      <x:c r="P30" s="46" t="str">
        <x:v>نعم</x:v>
      </x:c>
      <x:c r="Q30" s="46" t="str">
        <x:v>نعم</x:v>
      </x:c>
      <x:c r="R30" s="46" t="str">
        <x:v>نعم</x:v>
      </x:c>
      <x:c r="S30" s="46" t="str">
        <x:v>bar</x:v>
      </x:c>
      <x:c r="T30" s="46" t="str">
        <x:v>لا</x:v>
      </x:c>
      <x:c r="U30" s="46" t="str">
        <x:v>لا</x:v>
      </x:c>
      <x:c r="V30" s="46" t="str">
        <x:v>لا</x:v>
      </x:c>
      <x:c r="W30" s="96" t="n">
        <x:v>29</x:v>
      </x:c>
      <x:c r="X30" s="46" t="str"/>
      <x:c r="Y30" s="46" t="str"/>
      <x:c r="Z30" s="46" t="str">
        <x:v>مطابقة فقط؛ لا تغييرات.</x:v>
      </x:c>
    </x:row>
    <x:row r="31">
      <x:c r="A31" s="46" t="str">
        <x:v>MATCH_ONLY</x:v>
      </x:c>
      <x:c r="B31" s="46" t="str">
        <x:v>موجود في النظام</x:v>
      </x:c>
      <x:c r="C31" s="46" t="str">
        <x:v>daily_quiche_slice</x:v>
      </x:c>
      <x:c r="D31" s="46" t="str">
        <x:v>قطعة كيش اليوم</x:v>
      </x:c>
      <x:c r="E31" s="46" t="str"/>
      <x:c r="F31" s="96" t="n">
        <x:v>51</x:v>
      </x:c>
      <x:c r="G31" s="46" t="str">
        <x:v>key</x:v>
      </x:c>
      <x:c r="H31" s="46" t="str">
        <x:v>الكيش</x:v>
      </x:c>
      <x:c r="I31" s="46" t="str">
        <x:v>food</x:v>
      </x:c>
      <x:c r="J31" s="46" t="str">
        <x:v>food</x:v>
      </x:c>
      <x:c r="K31" s="46" t="str">
        <x:v>hub_food</x:v>
      </x:c>
      <x:c r="L31" s="92" t="n">
        <x:v>20000</x:v>
      </x:c>
      <x:c r="M31" s="46" t="str">
        <x:v>نعم</x:v>
      </x:c>
      <x:c r="N31" s="46" t="str">
        <x:v>نعم</x:v>
      </x:c>
      <x:c r="O31" s="46" t="str">
        <x:v>نعم</x:v>
      </x:c>
      <x:c r="P31" s="46" t="str">
        <x:v>نعم</x:v>
      </x:c>
      <x:c r="Q31" s="46" t="str">
        <x:v>نعم</x:v>
      </x:c>
      <x:c r="R31" s="46" t="str">
        <x:v>نعم</x:v>
      </x:c>
      <x:c r="S31" s="46" t="str">
        <x:v>kitchen</x:v>
      </x:c>
      <x:c r="T31" s="46" t="str">
        <x:v>لا</x:v>
      </x:c>
      <x:c r="U31" s="46" t="str">
        <x:v>لا</x:v>
      </x:c>
      <x:c r="V31" s="46" t="str">
        <x:v>لا</x:v>
      </x:c>
      <x:c r="W31" s="96" t="n">
        <x:v>30</x:v>
      </x:c>
      <x:c r="X31" s="46" t="str"/>
      <x:c r="Y31" s="46" t="str"/>
      <x:c r="Z31" s="46" t="str">
        <x:v>مطابقة فقط؛ لا تغييرات.</x:v>
      </x:c>
    </x:row>
    <x:row r="32">
      <x:c r="A32" s="46" t="str">
        <x:v>UPDATE_KEY_ONLY</x:v>
      </x:c>
      <x:c r="B32" s="46" t="str">
        <x:v>موجود في النظام</x:v>
      </x:c>
      <x:c r="C32" s="46" t="str">
        <x:v>italian_coffee</x:v>
      </x:c>
      <x:c r="D32" s="46" t="str">
        <x:v>قهوة إيطالية</x:v>
      </x:c>
      <x:c r="E32" s="46" t="str">
        <x:v>Italian Coffee</x:v>
      </x:c>
      <x:c r="F32" s="96" t="n">
        <x:v>108</x:v>
      </x:c>
      <x:c r="G32" s="46" t="str">
        <x:v>name_ar</x:v>
      </x:c>
      <x:c r="H32" s="46" t="str">
        <x:v>مشروبات ساخنة</x:v>
      </x:c>
      <x:c r="I32" s="46" t="str">
        <x:v>drink</x:v>
      </x:c>
      <x:c r="J32" s="46" t="str">
        <x:v>beverage</x:v>
      </x:c>
      <x:c r="K32" s="46" t="str">
        <x:v>coffee</x:v>
      </x:c>
      <x:c r="L32" s="92"/>
      <x:c r="M32" s="46" t="str">
        <x:v>نعم</x:v>
      </x:c>
      <x:c r="N32" s="46" t="str">
        <x:v>نعم</x:v>
      </x:c>
      <x:c r="O32" s="46" t="str">
        <x:v>نعم</x:v>
      </x:c>
      <x:c r="P32" s="46" t="str">
        <x:v>نعم</x:v>
      </x:c>
      <x:c r="Q32" s="46" t="str">
        <x:v>نعم</x:v>
      </x:c>
      <x:c r="R32" s="46" t="str">
        <x:v>نعم</x:v>
      </x:c>
      <x:c r="S32" s="46" t="str">
        <x:v>bar</x:v>
      </x:c>
      <x:c r="T32" s="46" t="str">
        <x:v>لا</x:v>
      </x:c>
      <x:c r="U32" s="46" t="str">
        <x:v>لا</x:v>
      </x:c>
      <x:c r="V32" s="46" t="str">
        <x:v>لا</x:v>
      </x:c>
      <x:c r="W32" s="96" t="n">
        <x:v>31</x:v>
      </x:c>
      <x:c r="X32" s="46" t="str"/>
      <x:c r="Y32" s="46" t="str"/>
      <x:c r="Z32" s="46" t="str">
        <x:v>إضافة المفتاح فقط دون تغيير بيانات المنتج.</x:v>
      </x:c>
    </x:row>
    <x:row r="33">
      <x:c r="A33" s="46" t="str">
        <x:v>UPDATE_KEY_ONLY</x:v>
      </x:c>
      <x:c r="B33" s="46" t="str">
        <x:v>موجود في النظام</x:v>
      </x:c>
      <x:c r="C33" s="46" t="str">
        <x:v>arabic_coffee</x:v>
      </x:c>
      <x:c r="D33" s="46" t="str">
        <x:v>قهوة عربية</x:v>
      </x:c>
      <x:c r="E33" s="46" t="str">
        <x:v>Arabic Coffee</x:v>
      </x:c>
      <x:c r="F33" s="96" t="n">
        <x:v>107</x:v>
      </x:c>
      <x:c r="G33" s="46" t="str">
        <x:v>name_ar</x:v>
      </x:c>
      <x:c r="H33" s="46" t="str">
        <x:v>مشروبات ساخنة</x:v>
      </x:c>
      <x:c r="I33" s="46" t="str">
        <x:v>drink</x:v>
      </x:c>
      <x:c r="J33" s="46" t="str">
        <x:v>beverage</x:v>
      </x:c>
      <x:c r="K33" s="46" t="str">
        <x:v>coffee</x:v>
      </x:c>
      <x:c r="L33" s="92"/>
      <x:c r="M33" s="46" t="str">
        <x:v>نعم</x:v>
      </x:c>
      <x:c r="N33" s="46" t="str">
        <x:v>نعم</x:v>
      </x:c>
      <x:c r="O33" s="46" t="str">
        <x:v>نعم</x:v>
      </x:c>
      <x:c r="P33" s="46" t="str">
        <x:v>نعم</x:v>
      </x:c>
      <x:c r="Q33" s="46" t="str">
        <x:v>نعم</x:v>
      </x:c>
      <x:c r="R33" s="46" t="str">
        <x:v>نعم</x:v>
      </x:c>
      <x:c r="S33" s="46" t="str">
        <x:v>bar</x:v>
      </x:c>
      <x:c r="T33" s="46" t="str">
        <x:v>لا</x:v>
      </x:c>
      <x:c r="U33" s="46" t="str">
        <x:v>لا</x:v>
      </x:c>
      <x:c r="V33" s="46" t="str">
        <x:v>لا</x:v>
      </x:c>
      <x:c r="W33" s="96" t="n">
        <x:v>32</x:v>
      </x:c>
      <x:c r="X33" s="46" t="str"/>
      <x:c r="Y33" s="46" t="str"/>
      <x:c r="Z33" s="46" t="str">
        <x:v>إضافة المفتاح فقط دون تغيير بيانات المنتج.</x:v>
      </x:c>
    </x:row>
    <x:row r="34">
      <x:c r="A34" s="46" t="str">
        <x:v>MATCH_ONLY</x:v>
      </x:c>
      <x:c r="B34" s="46" t="str">
        <x:v>موجود في النظام</x:v>
      </x:c>
      <x:c r="C34" s="46" t="str">
        <x:v>arak_glass_two_mezza</x:v>
      </x:c>
      <x:c r="D34" s="46" t="str">
        <x:v>كأس عرق + مازتين</x:v>
      </x:c>
      <x:c r="E34" s="46" t="str"/>
      <x:c r="F34" s="96" t="n">
        <x:v>89</x:v>
      </x:c>
      <x:c r="G34" s="46" t="str">
        <x:v>key</x:v>
      </x:c>
      <x:c r="H34" s="46" t="str">
        <x:v>مناسبات فقط</x:v>
      </x:c>
      <x:c r="I34" s="46" t="str">
        <x:v>food</x:v>
      </x:c>
      <x:c r="J34" s="46" t="str">
        <x:v>food</x:v>
      </x:c>
      <x:c r="K34" s="46" t="str">
        <x:v>hub_food</x:v>
      </x:c>
      <x:c r="L34" s="92" t="n">
        <x:v>32000</x:v>
      </x:c>
      <x:c r="M34" s="46" t="str">
        <x:v>لا</x:v>
      </x:c>
      <x:c r="N34" s="46" t="str">
        <x:v>لا</x:v>
      </x:c>
      <x:c r="O34" s="46" t="str">
        <x:v>لا</x:v>
      </x:c>
      <x:c r="P34" s="46" t="str">
        <x:v>لا</x:v>
      </x:c>
      <x:c r="Q34" s="46" t="str">
        <x:v>لا</x:v>
      </x:c>
      <x:c r="R34" s="46" t="str">
        <x:v>نعم</x:v>
      </x:c>
      <x:c r="S34" s="46" t="str">
        <x:v>kitchen</x:v>
      </x:c>
      <x:c r="T34" s="46" t="str">
        <x:v>نعم</x:v>
      </x:c>
      <x:c r="U34" s="46" t="str">
        <x:v>نعم</x:v>
      </x:c>
      <x:c r="V34" s="46" t="str">
        <x:v>لا</x:v>
      </x:c>
      <x:c r="W34" s="96" t="n">
        <x:v>33</x:v>
      </x:c>
      <x:c r="X34" s="46" t="str"/>
      <x:c r="Y34" s="46" t="str"/>
      <x:c r="Z34" s="46" t="str">
        <x:v>مطابقة فقط؛ لا تغييرات.</x:v>
      </x:c>
    </x:row>
    <x:row r="35">
      <x:c r="A35" s="46" t="str">
        <x:v>UPDATE_KEY_ONLY</x:v>
      </x:c>
      <x:c r="B35" s="46" t="str">
        <x:v>موجود في النظام</x:v>
      </x:c>
      <x:c r="C35" s="46" t="str">
        <x:v>cappuccino</x:v>
      </x:c>
      <x:c r="D35" s="46" t="str">
        <x:v>كابوتشينو</x:v>
      </x:c>
      <x:c r="E35" s="46" t="str">
        <x:v>Cappuccino</x:v>
      </x:c>
      <x:c r="F35" s="96" t="n">
        <x:v>109</x:v>
      </x:c>
      <x:c r="G35" s="46" t="str">
        <x:v>name_ar</x:v>
      </x:c>
      <x:c r="H35" s="46" t="str">
        <x:v>مشروبات ساخنة</x:v>
      </x:c>
      <x:c r="I35" s="46" t="str">
        <x:v>drink</x:v>
      </x:c>
      <x:c r="J35" s="46" t="str">
        <x:v>beverage</x:v>
      </x:c>
      <x:c r="K35" s="46" t="str">
        <x:v>coffee</x:v>
      </x:c>
      <x:c r="L35" s="92"/>
      <x:c r="M35" s="46" t="str">
        <x:v>نعم</x:v>
      </x:c>
      <x:c r="N35" s="46" t="str">
        <x:v>نعم</x:v>
      </x:c>
      <x:c r="O35" s="46" t="str">
        <x:v>نعم</x:v>
      </x:c>
      <x:c r="P35" s="46" t="str">
        <x:v>نعم</x:v>
      </x:c>
      <x:c r="Q35" s="46" t="str">
        <x:v>نعم</x:v>
      </x:c>
      <x:c r="R35" s="46" t="str">
        <x:v>نعم</x:v>
      </x:c>
      <x:c r="S35" s="46" t="str">
        <x:v>bar</x:v>
      </x:c>
      <x:c r="T35" s="46" t="str">
        <x:v>لا</x:v>
      </x:c>
      <x:c r="U35" s="46" t="str">
        <x:v>لا</x:v>
      </x:c>
      <x:c r="V35" s="46" t="str">
        <x:v>لا</x:v>
      </x:c>
      <x:c r="W35" s="96" t="n">
        <x:v>34</x:v>
      </x:c>
      <x:c r="X35" s="46" t="str"/>
      <x:c r="Y35" s="46" t="str"/>
      <x:c r="Z35" s="46" t="str">
        <x:v>إضافة المفتاح فقط دون تغيير بيانات المنتج.</x:v>
      </x:c>
    </x:row>
    <x:row r="36">
      <x:c r="A36" s="46" t="str">
        <x:v>MATCH_ONLY</x:v>
      </x:c>
      <x:c r="B36" s="46" t="str">
        <x:v>موجود في النظام</x:v>
      </x:c>
      <x:c r="C36" s="46" t="str">
        <x:v>small_arak_carafe_three_mezza</x:v>
      </x:c>
      <x:c r="D36" s="46" t="str">
        <x:v>كاراف عرق صغير + 3 مازات</x:v>
      </x:c>
      <x:c r="E36" s="46" t="str"/>
      <x:c r="F36" s="96" t="n">
        <x:v>90</x:v>
      </x:c>
      <x:c r="G36" s="46" t="str">
        <x:v>key</x:v>
      </x:c>
      <x:c r="H36" s="46" t="str">
        <x:v>مناسبات فقط</x:v>
      </x:c>
      <x:c r="I36" s="46" t="str">
        <x:v>food</x:v>
      </x:c>
      <x:c r="J36" s="46" t="str">
        <x:v>food</x:v>
      </x:c>
      <x:c r="K36" s="46" t="str">
        <x:v>hub_food</x:v>
      </x:c>
      <x:c r="L36" s="92" t="n">
        <x:v>70000</x:v>
      </x:c>
      <x:c r="M36" s="46" t="str">
        <x:v>لا</x:v>
      </x:c>
      <x:c r="N36" s="46" t="str">
        <x:v>لا</x:v>
      </x:c>
      <x:c r="O36" s="46" t="str">
        <x:v>لا</x:v>
      </x:c>
      <x:c r="P36" s="46" t="str">
        <x:v>لا</x:v>
      </x:c>
      <x:c r="Q36" s="46" t="str">
        <x:v>لا</x:v>
      </x:c>
      <x:c r="R36" s="46" t="str">
        <x:v>نعم</x:v>
      </x:c>
      <x:c r="S36" s="46" t="str">
        <x:v>kitchen</x:v>
      </x:c>
      <x:c r="T36" s="46" t="str">
        <x:v>نعم</x:v>
      </x:c>
      <x:c r="U36" s="46" t="str">
        <x:v>نعم</x:v>
      </x:c>
      <x:c r="V36" s="46" t="str">
        <x:v>لا</x:v>
      </x:c>
      <x:c r="W36" s="96" t="n">
        <x:v>35</x:v>
      </x:c>
      <x:c r="X36" s="46" t="str"/>
      <x:c r="Y36" s="46" t="str"/>
      <x:c r="Z36" s="46" t="str">
        <x:v>مطابقة فقط؛ لا تغييرات.</x:v>
      </x:c>
    </x:row>
    <x:row r="37">
      <x:c r="A37" s="46" t="str">
        <x:v>MATCH_ONLY</x:v>
      </x:c>
      <x:c r="B37" s="46" t="str">
        <x:v>موجود في النظام</x:v>
      </x:c>
      <x:c r="C37" s="46" t="str">
        <x:v>wajib_cup_mate</x:v>
      </x:c>
      <x:c r="D37" s="46" t="str">
        <x:v>كاسة الواجب — متّة مشاريب</x:v>
      </x:c>
      <x:c r="E37" s="46" t="str"/>
      <x:c r="F37" s="96" t="n">
        <x:v>77</x:v>
      </x:c>
      <x:c r="G37" s="46" t="str">
        <x:v>key</x:v>
      </x:c>
      <x:c r="H37" s="46" t="str">
        <x:v>مشروبات توقيع</x:v>
      </x:c>
      <x:c r="I37" s="46" t="str">
        <x:v>drink</x:v>
      </x:c>
      <x:c r="J37" s="46" t="str">
        <x:v>beverage</x:v>
      </x:c>
      <x:c r="K37" s="46" t="str">
        <x:v>mate</x:v>
      </x:c>
      <x:c r="L37" s="92" t="n">
        <x:v>12000</x:v>
      </x:c>
      <x:c r="M37" s="46" t="str">
        <x:v>نعم</x:v>
      </x:c>
      <x:c r="N37" s="46" t="str">
        <x:v>نعم</x:v>
      </x:c>
      <x:c r="O37" s="46" t="str">
        <x:v>نعم</x:v>
      </x:c>
      <x:c r="P37" s="46" t="str">
        <x:v>نعم</x:v>
      </x:c>
      <x:c r="Q37" s="46" t="str">
        <x:v>نعم</x:v>
      </x:c>
      <x:c r="R37" s="46" t="str">
        <x:v>نعم</x:v>
      </x:c>
      <x:c r="S37" s="46" t="str">
        <x:v>bar</x:v>
      </x:c>
      <x:c r="T37" s="46" t="str">
        <x:v>لا</x:v>
      </x:c>
      <x:c r="U37" s="46" t="str">
        <x:v>لا</x:v>
      </x:c>
      <x:c r="V37" s="46" t="str">
        <x:v>لا</x:v>
      </x:c>
      <x:c r="W37" s="96" t="n">
        <x:v>36</x:v>
      </x:c>
      <x:c r="X37" s="46" t="str"/>
      <x:c r="Y37" s="46" t="str"/>
      <x:c r="Z37" s="46" t="str">
        <x:v>مطابقة فقط؛ لا تغييرات.</x:v>
      </x:c>
    </x:row>
    <x:row r="38">
      <x:c r="A38" s="46" t="str">
        <x:v>UPDATE_KEY_ONLY</x:v>
      </x:c>
      <x:c r="B38" s="46" t="str">
        <x:v>موجود في النظام</x:v>
      </x:c>
      <x:c r="C38" s="46" t="str">
        <x:v>pickle_cup</x:v>
      </x:c>
      <x:c r="D38" s="46" t="str">
        <x:v>كاسة مخلل</x:v>
      </x:c>
      <x:c r="E38" s="46" t="str">
        <x:v>Pickle Cup</x:v>
      </x:c>
      <x:c r="F38" s="96" t="n">
        <x:v>101</x:v>
      </x:c>
      <x:c r="G38" s="46" t="str">
        <x:v>name_ar</x:v>
      </x:c>
      <x:c r="H38" s="46" t="str">
        <x:v>البرميل الأسود</x:v>
      </x:c>
      <x:c r="I38" s="46" t="str">
        <x:v>food</x:v>
      </x:c>
      <x:c r="J38" s="46" t="str">
        <x:v>food</x:v>
      </x:c>
      <x:c r="K38" s="46" t="str">
        <x:v>snack</x:v>
      </x:c>
      <x:c r="L38" s="92"/>
      <x:c r="M38" s="46" t="str">
        <x:v>نعم</x:v>
      </x:c>
      <x:c r="N38" s="46" t="str">
        <x:v>نعم</x:v>
      </x:c>
      <x:c r="O38" s="46" t="str">
        <x:v>نعم</x:v>
      </x:c>
      <x:c r="P38" s="46" t="str">
        <x:v>نعم</x:v>
      </x:c>
      <x:c r="Q38" s="46" t="str">
        <x:v>نعم</x:v>
      </x:c>
      <x:c r="R38" s="46" t="str">
        <x:v>نعم</x:v>
      </x:c>
      <x:c r="S38" s="46" t="str">
        <x:v>kitchen</x:v>
      </x:c>
      <x:c r="T38" s="46" t="str">
        <x:v>لا</x:v>
      </x:c>
      <x:c r="U38" s="46" t="str">
        <x:v>لا</x:v>
      </x:c>
      <x:c r="V38" s="46" t="str">
        <x:v>نعم</x:v>
      </x:c>
      <x:c r="W38" s="96" t="n">
        <x:v>37</x:v>
      </x:c>
      <x:c r="X38" s="46" t="str"/>
      <x:c r="Y38" s="46" t="str"/>
      <x:c r="Z38" s="46" t="str">
        <x:v>إضافة المفتاح فقط دون تغيير بيانات المنتج.</x:v>
      </x:c>
    </x:row>
    <x:row r="39">
      <x:c r="A39" s="46" t="str">
        <x:v>MATCH_ONLY</x:v>
      </x:c>
      <x:c r="B39" s="46" t="str">
        <x:v>موجود في النظام</x:v>
      </x:c>
      <x:c r="C39" s="46" t="str">
        <x:v>cola_7up_glass</x:v>
      </x:c>
      <x:c r="D39" s="46" t="str">
        <x:v>كولا / سفن أب — كاسة</x:v>
      </x:c>
      <x:c r="E39" s="46" t="str"/>
      <x:c r="F39" s="96" t="n">
        <x:v>68</x:v>
      </x:c>
      <x:c r="G39" s="46" t="str">
        <x:v>key</x:v>
      </x:c>
      <x:c r="H39" s="46" t="str">
        <x:v>مشروبات باردة</x:v>
      </x:c>
      <x:c r="I39" s="46" t="str">
        <x:v>drink</x:v>
      </x:c>
      <x:c r="J39" s="46" t="str">
        <x:v>beverage</x:v>
      </x:c>
      <x:c r="K39" s="46" t="str">
        <x:v>local</x:v>
      </x:c>
      <x:c r="L39" s="92" t="n">
        <x:v>6000</x:v>
      </x:c>
      <x:c r="M39" s="46" t="str">
        <x:v>نعم</x:v>
      </x:c>
      <x:c r="N39" s="46" t="str">
        <x:v>نعم</x:v>
      </x:c>
      <x:c r="O39" s="46" t="str">
        <x:v>نعم</x:v>
      </x:c>
      <x:c r="P39" s="46" t="str">
        <x:v>نعم</x:v>
      </x:c>
      <x:c r="Q39" s="46" t="str">
        <x:v>نعم</x:v>
      </x:c>
      <x:c r="R39" s="46" t="str">
        <x:v>نعم</x:v>
      </x:c>
      <x:c r="S39" s="46" t="str">
        <x:v>bar</x:v>
      </x:c>
      <x:c r="T39" s="46" t="str">
        <x:v>لا</x:v>
      </x:c>
      <x:c r="U39" s="46" t="str">
        <x:v>لا</x:v>
      </x:c>
      <x:c r="V39" s="46" t="str">
        <x:v>لا</x:v>
      </x:c>
      <x:c r="W39" s="96" t="n">
        <x:v>38</x:v>
      </x:c>
      <x:c r="X39" s="46" t="str"/>
      <x:c r="Y39" s="46" t="str"/>
      <x:c r="Z39" s="46" t="str">
        <x:v>مطابقة فقط؛ لا تغييرات.</x:v>
      </x:c>
    </x:row>
    <x:row r="40">
      <x:c r="A40" s="46" t="str">
        <x:v>UPDATE_KEY_ONLY</x:v>
      </x:c>
      <x:c r="B40" s="46" t="str">
        <x:v>موجود في النظام</x:v>
      </x:c>
      <x:c r="C40" s="46" t="str">
        <x:v>black_barrel_combo</x:v>
      </x:c>
      <x:c r="D40" s="46" t="str">
        <x:v>كومبو البرميل</x:v>
      </x:c>
      <x:c r="E40" s="46" t="str">
        <x:v>Black Barrel Combo</x:v>
      </x:c>
      <x:c r="F40" s="96" t="n">
        <x:v>103</x:v>
      </x:c>
      <x:c r="G40" s="46" t="str">
        <x:v>name_ar</x:v>
      </x:c>
      <x:c r="H40" s="46" t="str">
        <x:v>البرميل الأسود</x:v>
      </x:c>
      <x:c r="I40" s="46" t="str">
        <x:v>food</x:v>
      </x:c>
      <x:c r="J40" s="46" t="str">
        <x:v>food</x:v>
      </x:c>
      <x:c r="K40" s="46" t="str">
        <x:v>snack</x:v>
      </x:c>
      <x:c r="L40" s="92"/>
      <x:c r="M40" s="46" t="str">
        <x:v>لا</x:v>
      </x:c>
      <x:c r="N40" s="46" t="str">
        <x:v>لا</x:v>
      </x:c>
      <x:c r="O40" s="46" t="str">
        <x:v>لا</x:v>
      </x:c>
      <x:c r="P40" s="46" t="str">
        <x:v>لا</x:v>
      </x:c>
      <x:c r="Q40" s="46" t="str">
        <x:v>لا</x:v>
      </x:c>
      <x:c r="R40" s="46" t="str">
        <x:v>نعم</x:v>
      </x:c>
      <x:c r="S40" s="46" t="str">
        <x:v>kitchen</x:v>
      </x:c>
      <x:c r="T40" s="46" t="str">
        <x:v>لا</x:v>
      </x:c>
      <x:c r="U40" s="46" t="str">
        <x:v>لا</x:v>
      </x:c>
      <x:c r="V40" s="46" t="str">
        <x:v>نعم</x:v>
      </x:c>
      <x:c r="W40" s="96" t="n">
        <x:v>39</x:v>
      </x:c>
      <x:c r="X40" s="46" t="str"/>
      <x:c r="Y40" s="46" t="str"/>
      <x:c r="Z40" s="46" t="str">
        <x:v>إضافة المفتاح فقط دون تغيير بيانات المنتج.</x:v>
      </x:c>
    </x:row>
    <x:row r="41">
      <x:c r="A41" s="46" t="str">
        <x:v>MATCH_ONLY</x:v>
      </x:c>
      <x:c r="B41" s="46" t="str">
        <x:v>موجود في النظام</x:v>
      </x:c>
      <x:c r="C41" s="46" t="str">
        <x:v>morning_combo</x:v>
      </x:c>
      <x:c r="D41" s="46" t="str">
        <x:v>كومبو الصباح</x:v>
      </x:c>
      <x:c r="E41" s="46" t="str"/>
      <x:c r="F41" s="96" t="n">
        <x:v>53</x:v>
      </x:c>
      <x:c r="G41" s="46" t="str">
        <x:v>key</x:v>
      </x:c>
      <x:c r="H41" s="46" t="str">
        <x:v>كومبو الصباح</x:v>
      </x:c>
      <x:c r="I41" s="46" t="str">
        <x:v>food</x:v>
      </x:c>
      <x:c r="J41" s="46" t="str">
        <x:v>food</x:v>
      </x:c>
      <x:c r="K41" s="46" t="str">
        <x:v>hub_food</x:v>
      </x:c>
      <x:c r="L41" s="92" t="n">
        <x:v>50000</x:v>
      </x:c>
      <x:c r="M41" s="46" t="str">
        <x:v>نعم</x:v>
      </x:c>
      <x:c r="N41" s="46" t="str">
        <x:v>نعم</x:v>
      </x:c>
      <x:c r="O41" s="46" t="str">
        <x:v>نعم</x:v>
      </x:c>
      <x:c r="P41" s="46" t="str">
        <x:v>نعم</x:v>
      </x:c>
      <x:c r="Q41" s="46" t="str">
        <x:v>نعم</x:v>
      </x:c>
      <x:c r="R41" s="46" t="str">
        <x:v>نعم</x:v>
      </x:c>
      <x:c r="S41" s="46" t="str">
        <x:v>kitchen</x:v>
      </x:c>
      <x:c r="T41" s="46" t="str">
        <x:v>لا</x:v>
      </x:c>
      <x:c r="U41" s="46" t="str">
        <x:v>لا</x:v>
      </x:c>
      <x:c r="V41" s="46" t="str">
        <x:v>لا</x:v>
      </x:c>
      <x:c r="W41" s="96" t="n">
        <x:v>40</x:v>
      </x:c>
      <x:c r="X41" s="46" t="str"/>
      <x:c r="Y41" s="46" t="str"/>
      <x:c r="Z41" s="46" t="str">
        <x:v>مطابقة فقط؛ لا تغييرات.</x:v>
      </x:c>
    </x:row>
    <x:row r="42">
      <x:c r="A42" s="46" t="str">
        <x:v>UPDATE_KEY_ONLY</x:v>
      </x:c>
      <x:c r="B42" s="46" t="str">
        <x:v>موجود في النظام</x:v>
      </x:c>
      <x:c r="C42" s="46" t="str">
        <x:v>halloumi_combo</x:v>
      </x:c>
      <x:c r="D42" s="46" t="str">
        <x:v>كومبو حلّوم</x:v>
      </x:c>
      <x:c r="E42" s="46" t="str">
        <x:v>Halloumi Combo</x:v>
      </x:c>
      <x:c r="F42" s="96" t="n">
        <x:v>104</x:v>
      </x:c>
      <x:c r="G42" s="46" t="str">
        <x:v>name_ar</x:v>
      </x:c>
      <x:c r="H42" s="46" t="str">
        <x:v>البرميل الأسود</x:v>
      </x:c>
      <x:c r="I42" s="46" t="str">
        <x:v>food</x:v>
      </x:c>
      <x:c r="J42" s="46" t="str">
        <x:v>food</x:v>
      </x:c>
      <x:c r="K42" s="46" t="str">
        <x:v>snack</x:v>
      </x:c>
      <x:c r="L42" s="92"/>
      <x:c r="M42" s="46" t="str">
        <x:v>نعم</x:v>
      </x:c>
      <x:c r="N42" s="46" t="str">
        <x:v>نعم</x:v>
      </x:c>
      <x:c r="O42" s="46" t="str">
        <x:v>نعم</x:v>
      </x:c>
      <x:c r="P42" s="46" t="str">
        <x:v>نعم</x:v>
      </x:c>
      <x:c r="Q42" s="46" t="str">
        <x:v>نعم</x:v>
      </x:c>
      <x:c r="R42" s="46" t="str">
        <x:v>نعم</x:v>
      </x:c>
      <x:c r="S42" s="46" t="str">
        <x:v>kitchen</x:v>
      </x:c>
      <x:c r="T42" s="46" t="str">
        <x:v>لا</x:v>
      </x:c>
      <x:c r="U42" s="46" t="str">
        <x:v>لا</x:v>
      </x:c>
      <x:c r="V42" s="46" t="str">
        <x:v>نعم</x:v>
      </x:c>
      <x:c r="W42" s="96" t="n">
        <x:v>41</x:v>
      </x:c>
      <x:c r="X42" s="46" t="str"/>
      <x:c r="Y42" s="46" t="str"/>
      <x:c r="Z42" s="46" t="str">
        <x:v>إضافة المفتاح فقط دون تغيير بيانات المنتج.</x:v>
      </x:c>
    </x:row>
    <x:row r="43">
      <x:c r="A43" s="46" t="str">
        <x:v>UPDATE_KEY_ONLY</x:v>
      </x:c>
      <x:c r="B43" s="46" t="str">
        <x:v>موجود في النظام</x:v>
      </x:c>
      <x:c r="C43" s="46" t="str">
        <x:v>spicy_hotdog_combo</x:v>
      </x:c>
      <x:c r="D43" s="46" t="str">
        <x:v>كومبو سبايسي</x:v>
      </x:c>
      <x:c r="E43" s="46" t="str">
        <x:v>Spicy Hotdog Combo</x:v>
      </x:c>
      <x:c r="F43" s="96" t="n">
        <x:v>105</x:v>
      </x:c>
      <x:c r="G43" s="46" t="str">
        <x:v>name_ar</x:v>
      </x:c>
      <x:c r="H43" s="46" t="str">
        <x:v>البرميل الأسود</x:v>
      </x:c>
      <x:c r="I43" s="46" t="str">
        <x:v>food</x:v>
      </x:c>
      <x:c r="J43" s="46" t="str">
        <x:v>food</x:v>
      </x:c>
      <x:c r="K43" s="46" t="str">
        <x:v>snack</x:v>
      </x:c>
      <x:c r="L43" s="92"/>
      <x:c r="M43" s="46" t="str">
        <x:v>نعم</x:v>
      </x:c>
      <x:c r="N43" s="46" t="str">
        <x:v>نعم</x:v>
      </x:c>
      <x:c r="O43" s="46" t="str">
        <x:v>نعم</x:v>
      </x:c>
      <x:c r="P43" s="46" t="str">
        <x:v>نعم</x:v>
      </x:c>
      <x:c r="Q43" s="46" t="str">
        <x:v>نعم</x:v>
      </x:c>
      <x:c r="R43" s="46" t="str">
        <x:v>نعم</x:v>
      </x:c>
      <x:c r="S43" s="46" t="str">
        <x:v>kitchen</x:v>
      </x:c>
      <x:c r="T43" s="46" t="str">
        <x:v>لا</x:v>
      </x:c>
      <x:c r="U43" s="46" t="str">
        <x:v>لا</x:v>
      </x:c>
      <x:c r="V43" s="46" t="str">
        <x:v>نعم</x:v>
      </x:c>
      <x:c r="W43" s="96" t="n">
        <x:v>42</x:v>
      </x:c>
      <x:c r="X43" s="46" t="str"/>
      <x:c r="Y43" s="46" t="str"/>
      <x:c r="Z43" s="46" t="str">
        <x:v>إضافة المفتاح فقط دون تغيير بيانات المنتج.</x:v>
      </x:c>
    </x:row>
    <x:row r="44">
      <x:c r="A44" s="46" t="str">
        <x:v>UPDATE_KEY_ONLY</x:v>
      </x:c>
      <x:c r="B44" s="46" t="str">
        <x:v>موجود في النظام</x:v>
      </x:c>
      <x:c r="C44" s="46" t="str">
        <x:v>regular_hotdog_combo</x:v>
      </x:c>
      <x:c r="D44" s="46" t="str">
        <x:v>كومبو عادي</x:v>
      </x:c>
      <x:c r="E44" s="46" t="str">
        <x:v>Regular Combo</x:v>
      </x:c>
      <x:c r="F44" s="96" t="n">
        <x:v>102</x:v>
      </x:c>
      <x:c r="G44" s="46" t="str">
        <x:v>name_ar</x:v>
      </x:c>
      <x:c r="H44" s="46" t="str">
        <x:v>البرميل الأسود</x:v>
      </x:c>
      <x:c r="I44" s="46" t="str">
        <x:v>food</x:v>
      </x:c>
      <x:c r="J44" s="46" t="str">
        <x:v>food</x:v>
      </x:c>
      <x:c r="K44" s="46" t="str">
        <x:v>snack</x:v>
      </x:c>
      <x:c r="L44" s="92"/>
      <x:c r="M44" s="46" t="str">
        <x:v>لا</x:v>
      </x:c>
      <x:c r="N44" s="46" t="str">
        <x:v>لا</x:v>
      </x:c>
      <x:c r="O44" s="46" t="str">
        <x:v>لا</x:v>
      </x:c>
      <x:c r="P44" s="46" t="str">
        <x:v>لا</x:v>
      </x:c>
      <x:c r="Q44" s="46" t="str">
        <x:v>لا</x:v>
      </x:c>
      <x:c r="R44" s="46" t="str">
        <x:v>نعم</x:v>
      </x:c>
      <x:c r="S44" s="46" t="str">
        <x:v>kitchen</x:v>
      </x:c>
      <x:c r="T44" s="46" t="str">
        <x:v>لا</x:v>
      </x:c>
      <x:c r="U44" s="46" t="str">
        <x:v>لا</x:v>
      </x:c>
      <x:c r="V44" s="46" t="str">
        <x:v>نعم</x:v>
      </x:c>
      <x:c r="W44" s="96" t="n">
        <x:v>43</x:v>
      </x:c>
      <x:c r="X44" s="46" t="str"/>
      <x:c r="Y44" s="46" t="str"/>
      <x:c r="Z44" s="46" t="str">
        <x:v>إضافة المفتاح فقط دون تغيير بيانات المنتج.</x:v>
      </x:c>
    </x:row>
    <x:row r="45">
      <x:c r="A45" s="46" t="str">
        <x:v>MATCH_ONLY</x:v>
      </x:c>
      <x:c r="B45" s="46" t="str">
        <x:v>موجود في النظام</x:v>
      </x:c>
      <x:c r="C45" s="46" t="str">
        <x:v>arak_liter_four_mezza</x:v>
      </x:c>
      <x:c r="D45" s="46" t="str">
        <x:v>لتر عرق + طبق 4 مازات</x:v>
      </x:c>
      <x:c r="E45" s="46" t="str"/>
      <x:c r="F45" s="96" t="n">
        <x:v>91</x:v>
      </x:c>
      <x:c r="G45" s="46" t="str">
        <x:v>key</x:v>
      </x:c>
      <x:c r="H45" s="46" t="str">
        <x:v>مناسبات فقط</x:v>
      </x:c>
      <x:c r="I45" s="46" t="str">
        <x:v>food</x:v>
      </x:c>
      <x:c r="J45" s="46" t="str">
        <x:v>food</x:v>
      </x:c>
      <x:c r="K45" s="46" t="str">
        <x:v>hub_food</x:v>
      </x:c>
      <x:c r="L45" s="92" t="n">
        <x:v>155000</x:v>
      </x:c>
      <x:c r="M45" s="46" t="str">
        <x:v>لا</x:v>
      </x:c>
      <x:c r="N45" s="46" t="str">
        <x:v>لا</x:v>
      </x:c>
      <x:c r="O45" s="46" t="str">
        <x:v>لا</x:v>
      </x:c>
      <x:c r="P45" s="46" t="str">
        <x:v>لا</x:v>
      </x:c>
      <x:c r="Q45" s="46" t="str">
        <x:v>لا</x:v>
      </x:c>
      <x:c r="R45" s="46" t="str">
        <x:v>نعم</x:v>
      </x:c>
      <x:c r="S45" s="46" t="str">
        <x:v>kitchen</x:v>
      </x:c>
      <x:c r="T45" s="46" t="str">
        <x:v>نعم</x:v>
      </x:c>
      <x:c r="U45" s="46" t="str">
        <x:v>نعم</x:v>
      </x:c>
      <x:c r="V45" s="46" t="str">
        <x:v>لا</x:v>
      </x:c>
      <x:c r="W45" s="96" t="n">
        <x:v>44</x:v>
      </x:c>
      <x:c r="X45" s="46" t="str"/>
      <x:c r="Y45" s="46" t="str"/>
      <x:c r="Z45" s="46" t="str">
        <x:v>مطابقة فقط؛ لا تغييرات.</x:v>
      </x:c>
    </x:row>
    <x:row r="46">
      <x:c r="A46" s="46" t="str">
        <x:v>MATCH_ONLY</x:v>
      </x:c>
      <x:c r="B46" s="46" t="str">
        <x:v>موجود في النظام</x:v>
      </x:c>
      <x:c r="C46" s="46" t="str">
        <x:v>matcha_water</x:v>
      </x:c>
      <x:c r="D46" s="46" t="str">
        <x:v>ماتشا بالماء</x:v>
      </x:c>
      <x:c r="E46" s="46" t="str"/>
      <x:c r="F46" s="96" t="n">
        <x:v>66</x:v>
      </x:c>
      <x:c r="G46" s="46" t="str">
        <x:v>key</x:v>
      </x:c>
      <x:c r="H46" s="46" t="str">
        <x:v>مشروبات ساخنة</x:v>
      </x:c>
      <x:c r="I46" s="46" t="str">
        <x:v>drink</x:v>
      </x:c>
      <x:c r="J46" s="46" t="str">
        <x:v>beverage</x:v>
      </x:c>
      <x:c r="K46" s="46" t="str">
        <x:v>tea</x:v>
      </x:c>
      <x:c r="L46" s="92" t="n">
        <x:v>14000</x:v>
      </x:c>
      <x:c r="M46" s="46" t="str">
        <x:v>نعم</x:v>
      </x:c>
      <x:c r="N46" s="46" t="str">
        <x:v>نعم</x:v>
      </x:c>
      <x:c r="O46" s="46" t="str">
        <x:v>نعم</x:v>
      </x:c>
      <x:c r="P46" s="46" t="str">
        <x:v>نعم</x:v>
      </x:c>
      <x:c r="Q46" s="46" t="str">
        <x:v>نعم</x:v>
      </x:c>
      <x:c r="R46" s="46" t="str">
        <x:v>نعم</x:v>
      </x:c>
      <x:c r="S46" s="46" t="str">
        <x:v>bar</x:v>
      </x:c>
      <x:c r="T46" s="46" t="str">
        <x:v>لا</x:v>
      </x:c>
      <x:c r="U46" s="46" t="str">
        <x:v>لا</x:v>
      </x:c>
      <x:c r="V46" s="46" t="str">
        <x:v>لا</x:v>
      </x:c>
      <x:c r="W46" s="96" t="n">
        <x:v>45</x:v>
      </x:c>
      <x:c r="X46" s="46" t="str"/>
      <x:c r="Y46" s="46" t="str"/>
      <x:c r="Z46" s="46" t="str">
        <x:v>مطابقة فقط؛ لا تغييرات.</x:v>
      </x:c>
    </x:row>
    <x:row r="47">
      <x:c r="A47" s="46" t="str">
        <x:v>MATCH_ONLY</x:v>
      </x:c>
      <x:c r="B47" s="46" t="str">
        <x:v>موجود في النظام</x:v>
      </x:c>
      <x:c r="C47" s="46" t="str">
        <x:v>hot_matcha_latte</x:v>
      </x:c>
      <x:c r="D47" s="46" t="str">
        <x:v>ماتشا لاتيه ساخن</x:v>
      </x:c>
      <x:c r="E47" s="46" t="str"/>
      <x:c r="F47" s="96" t="n">
        <x:v>67</x:v>
      </x:c>
      <x:c r="G47" s="46" t="str">
        <x:v>key</x:v>
      </x:c>
      <x:c r="H47" s="46" t="str">
        <x:v>مشروبات ساخنة</x:v>
      </x:c>
      <x:c r="I47" s="46" t="str">
        <x:v>drink</x:v>
      </x:c>
      <x:c r="J47" s="46" t="str">
        <x:v>beverage</x:v>
      </x:c>
      <x:c r="K47" s="46" t="str">
        <x:v>tea</x:v>
      </x:c>
      <x:c r="L47" s="92" t="n">
        <x:v>20000</x:v>
      </x:c>
      <x:c r="M47" s="46" t="str">
        <x:v>نعم</x:v>
      </x:c>
      <x:c r="N47" s="46" t="str">
        <x:v>نعم</x:v>
      </x:c>
      <x:c r="O47" s="46" t="str">
        <x:v>نعم</x:v>
      </x:c>
      <x:c r="P47" s="46" t="str">
        <x:v>نعم</x:v>
      </x:c>
      <x:c r="Q47" s="46" t="str">
        <x:v>نعم</x:v>
      </x:c>
      <x:c r="R47" s="46" t="str">
        <x:v>نعم</x:v>
      </x:c>
      <x:c r="S47" s="46" t="str">
        <x:v>bar</x:v>
      </x:c>
      <x:c r="T47" s="46" t="str">
        <x:v>لا</x:v>
      </x:c>
      <x:c r="U47" s="46" t="str">
        <x:v>لا</x:v>
      </x:c>
      <x:c r="V47" s="46" t="str">
        <x:v>لا</x:v>
      </x:c>
      <x:c r="W47" s="96" t="n">
        <x:v>46</x:v>
      </x:c>
      <x:c r="X47" s="46" t="str"/>
      <x:c r="Y47" s="46" t="str"/>
      <x:c r="Z47" s="46" t="str">
        <x:v>مطابقة فقط؛ لا تغييرات.</x:v>
      </x:c>
    </x:row>
    <x:row r="48">
      <x:c r="A48" s="46" t="str">
        <x:v>MATCH_ONLY</x:v>
      </x:c>
      <x:c r="B48" s="46" t="str">
        <x:v>موجود في النظام</x:v>
      </x:c>
      <x:c r="C48" s="46" t="str">
        <x:v>small_mezza</x:v>
      </x:c>
      <x:c r="D48" s="46" t="str">
        <x:v>مازا صغيرة</x:v>
      </x:c>
      <x:c r="E48" s="46" t="str"/>
      <x:c r="F48" s="96" t="n">
        <x:v>54</x:v>
      </x:c>
      <x:c r="G48" s="46" t="str">
        <x:v>key</x:v>
      </x:c>
      <x:c r="H48" s="46" t="str">
        <x:v>المازة</x:v>
      </x:c>
      <x:c r="I48" s="46" t="str">
        <x:v>food</x:v>
      </x:c>
      <x:c r="J48" s="46" t="str">
        <x:v>food</x:v>
      </x:c>
      <x:c r="K48" s="46" t="str">
        <x:v>hub_food</x:v>
      </x:c>
      <x:c r="L48" s="92" t="n">
        <x:v>8000</x:v>
      </x:c>
      <x:c r="M48" s="46" t="str">
        <x:v>نعم</x:v>
      </x:c>
      <x:c r="N48" s="46" t="str">
        <x:v>نعم</x:v>
      </x:c>
      <x:c r="O48" s="46" t="str">
        <x:v>نعم</x:v>
      </x:c>
      <x:c r="P48" s="46" t="str">
        <x:v>نعم</x:v>
      </x:c>
      <x:c r="Q48" s="46" t="str">
        <x:v>نعم</x:v>
      </x:c>
      <x:c r="R48" s="46" t="str">
        <x:v>نعم</x:v>
      </x:c>
      <x:c r="S48" s="46" t="str">
        <x:v>kitchen</x:v>
      </x:c>
      <x:c r="T48" s="46" t="str">
        <x:v>لا</x:v>
      </x:c>
      <x:c r="U48" s="46" t="str">
        <x:v>لا</x:v>
      </x:c>
      <x:c r="V48" s="46" t="str">
        <x:v>لا</x:v>
      </x:c>
      <x:c r="W48" s="96" t="n">
        <x:v>47</x:v>
      </x:c>
      <x:c r="X48" s="46" t="str"/>
      <x:c r="Y48" s="46" t="str"/>
      <x:c r="Z48" s="46" t="str">
        <x:v>مطابقة فقط؛ لا تغييرات.</x:v>
      </x:c>
    </x:row>
    <x:row r="49">
      <x:c r="A49" s="46" t="str">
        <x:v>MATCH_ONLY</x:v>
      </x:c>
      <x:c r="B49" s="46" t="str">
        <x:v>موجود في النظام</x:v>
      </x:c>
      <x:c r="C49" s="46" t="str">
        <x:v>single_mezza</x:v>
      </x:c>
      <x:c r="D49" s="46" t="str">
        <x:v>مازا مفردة</x:v>
      </x:c>
      <x:c r="E49" s="46" t="str"/>
      <x:c r="F49" s="96" t="n">
        <x:v>55</x:v>
      </x:c>
      <x:c r="G49" s="46" t="str">
        <x:v>key</x:v>
      </x:c>
      <x:c r="H49" s="46" t="str">
        <x:v>المازة</x:v>
      </x:c>
      <x:c r="I49" s="46" t="str">
        <x:v>food</x:v>
      </x:c>
      <x:c r="J49" s="46" t="str">
        <x:v>food</x:v>
      </x:c>
      <x:c r="K49" s="46" t="str">
        <x:v>hub_food</x:v>
      </x:c>
      <x:c r="L49" s="92" t="n">
        <x:v>10000</x:v>
      </x:c>
      <x:c r="M49" s="46" t="str">
        <x:v>نعم</x:v>
      </x:c>
      <x:c r="N49" s="46" t="str">
        <x:v>نعم</x:v>
      </x:c>
      <x:c r="O49" s="46" t="str">
        <x:v>نعم</x:v>
      </x:c>
      <x:c r="P49" s="46" t="str">
        <x:v>نعم</x:v>
      </x:c>
      <x:c r="Q49" s="46" t="str">
        <x:v>نعم</x:v>
      </x:c>
      <x:c r="R49" s="46" t="str">
        <x:v>نعم</x:v>
      </x:c>
      <x:c r="S49" s="46" t="str">
        <x:v>kitchen</x:v>
      </x:c>
      <x:c r="T49" s="46" t="str">
        <x:v>لا</x:v>
      </x:c>
      <x:c r="U49" s="46" t="str">
        <x:v>لا</x:v>
      </x:c>
      <x:c r="V49" s="46" t="str">
        <x:v>لا</x:v>
      </x:c>
      <x:c r="W49" s="96" t="n">
        <x:v>48</x:v>
      </x:c>
      <x:c r="X49" s="46" t="str"/>
      <x:c r="Y49" s="46" t="str"/>
      <x:c r="Z49" s="46" t="str">
        <x:v>مطابقة فقط؛ لا تغييرات.</x:v>
      </x:c>
    </x:row>
    <x:row r="50">
      <x:c r="A50" s="46" t="str">
        <x:v>MATCH_ONLY</x:v>
      </x:c>
      <x:c r="B50" s="46" t="str">
        <x:v>موجود في النظام</x:v>
      </x:c>
      <x:c r="C50" s="46" t="str">
        <x:v>table_mate</x:v>
      </x:c>
      <x:c r="D50" s="46" t="str">
        <x:v>متّة طاولة</x:v>
      </x:c>
      <x:c r="E50" s="46" t="str"/>
      <x:c r="F50" s="96" t="n">
        <x:v>78</x:v>
      </x:c>
      <x:c r="G50" s="46" t="str">
        <x:v>key</x:v>
      </x:c>
      <x:c r="H50" s="46" t="str">
        <x:v>مشروبات توقيع</x:v>
      </x:c>
      <x:c r="I50" s="46" t="str">
        <x:v>drink</x:v>
      </x:c>
      <x:c r="J50" s="46" t="str">
        <x:v>beverage</x:v>
      </x:c>
      <x:c r="K50" s="46" t="str">
        <x:v>mate</x:v>
      </x:c>
      <x:c r="L50" s="92" t="n">
        <x:v>25000</x:v>
      </x:c>
      <x:c r="M50" s="46" t="str">
        <x:v>نعم</x:v>
      </x:c>
      <x:c r="N50" s="46" t="str">
        <x:v>نعم</x:v>
      </x:c>
      <x:c r="O50" s="46" t="str">
        <x:v>نعم</x:v>
      </x:c>
      <x:c r="P50" s="46" t="str">
        <x:v>نعم</x:v>
      </x:c>
      <x:c r="Q50" s="46" t="str">
        <x:v>نعم</x:v>
      </x:c>
      <x:c r="R50" s="46" t="str">
        <x:v>نعم</x:v>
      </x:c>
      <x:c r="S50" s="46" t="str">
        <x:v>bar</x:v>
      </x:c>
      <x:c r="T50" s="46" t="str">
        <x:v>لا</x:v>
      </x:c>
      <x:c r="U50" s="46" t="str">
        <x:v>لا</x:v>
      </x:c>
      <x:c r="V50" s="46" t="str">
        <x:v>لا</x:v>
      </x:c>
      <x:c r="W50" s="96" t="n">
        <x:v>49</x:v>
      </x:c>
      <x:c r="X50" s="46" t="str"/>
      <x:c r="Y50" s="46" t="str"/>
      <x:c r="Z50" s="46" t="str">
        <x:v>مطابقة فقط؛ لا تغييرات.</x:v>
      </x:c>
    </x:row>
    <x:row r="51">
      <x:c r="A51" s="46" t="str">
        <x:v>MATCH_ONLY</x:v>
      </x:c>
      <x:c r="B51" s="46" t="str">
        <x:v>موجود في النظام</x:v>
      </x:c>
      <x:c r="C51" s="46" t="str">
        <x:v>canned_fizzy_drink</x:v>
      </x:c>
      <x:c r="D51" s="46" t="str">
        <x:v>مشروب معلب / غازي</x:v>
      </x:c>
      <x:c r="E51" s="46" t="str"/>
      <x:c r="F51" s="96" t="n">
        <x:v>69</x:v>
      </x:c>
      <x:c r="G51" s="46" t="str">
        <x:v>key</x:v>
      </x:c>
      <x:c r="H51" s="46" t="str">
        <x:v>مشروبات باردة</x:v>
      </x:c>
      <x:c r="I51" s="46" t="str">
        <x:v>drink</x:v>
      </x:c>
      <x:c r="J51" s="46" t="str">
        <x:v>beverage</x:v>
      </x:c>
      <x:c r="K51" s="46" t="str">
        <x:v>local</x:v>
      </x:c>
      <x:c r="L51" s="92" t="n">
        <x:v>9000</x:v>
      </x:c>
      <x:c r="M51" s="46" t="str">
        <x:v>نعم</x:v>
      </x:c>
      <x:c r="N51" s="46" t="str">
        <x:v>نعم</x:v>
      </x:c>
      <x:c r="O51" s="46" t="str">
        <x:v>نعم</x:v>
      </x:c>
      <x:c r="P51" s="46" t="str">
        <x:v>نعم</x:v>
      </x:c>
      <x:c r="Q51" s="46" t="str">
        <x:v>نعم</x:v>
      </x:c>
      <x:c r="R51" s="46" t="str">
        <x:v>لا</x:v>
      </x:c>
      <x:c r="S51" s="46" t="str">
        <x:v>bar</x:v>
      </x:c>
      <x:c r="T51" s="46" t="str">
        <x:v>لا</x:v>
      </x:c>
      <x:c r="U51" s="46" t="str">
        <x:v>لا</x:v>
      </x:c>
      <x:c r="V51" s="46" t="str">
        <x:v>لا</x:v>
      </x:c>
      <x:c r="W51" s="96" t="n">
        <x:v>50</x:v>
      </x:c>
      <x:c r="X51" s="46" t="str"/>
      <x:c r="Y51" s="46" t="str"/>
      <x:c r="Z51" s="46" t="str">
        <x:v>مطابقة فقط؛ لا تغييرات.</x:v>
      </x:c>
    </x:row>
    <x:row r="52">
      <x:c r="A52" s="46" t="str">
        <x:v>UPDATE_KEY_ONLY</x:v>
      </x:c>
      <x:c r="B52" s="46" t="str">
        <x:v>موجود في النظام</x:v>
      </x:c>
      <x:c r="C52" s="46" t="str">
        <x:v>cheese_hotdog</x:v>
      </x:c>
      <x:c r="D52" s="46" t="str">
        <x:v>هوت دوغ بالجبنة</x:v>
      </x:c>
      <x:c r="E52" s="46" t="str">
        <x:v>Cheese Hot Dog</x:v>
      </x:c>
      <x:c r="F52" s="96" t="n">
        <x:v>94</x:v>
      </x:c>
      <x:c r="G52" s="46" t="str">
        <x:v>name_ar</x:v>
      </x:c>
      <x:c r="H52" s="46" t="str">
        <x:v>البرميل الأسود</x:v>
      </x:c>
      <x:c r="I52" s="46" t="str">
        <x:v>food</x:v>
      </x:c>
      <x:c r="J52" s="46" t="str">
        <x:v>food</x:v>
      </x:c>
      <x:c r="K52" s="46" t="str">
        <x:v>snack</x:v>
      </x:c>
      <x:c r="L52" s="92"/>
      <x:c r="M52" s="46" t="str">
        <x:v>نعم</x:v>
      </x:c>
      <x:c r="N52" s="46" t="str">
        <x:v>نعم</x:v>
      </x:c>
      <x:c r="O52" s="46" t="str">
        <x:v>نعم</x:v>
      </x:c>
      <x:c r="P52" s="46" t="str">
        <x:v>نعم</x:v>
      </x:c>
      <x:c r="Q52" s="46" t="str">
        <x:v>نعم</x:v>
      </x:c>
      <x:c r="R52" s="46" t="str">
        <x:v>نعم</x:v>
      </x:c>
      <x:c r="S52" s="46" t="str">
        <x:v>kitchen</x:v>
      </x:c>
      <x:c r="T52" s="46" t="str">
        <x:v>لا</x:v>
      </x:c>
      <x:c r="U52" s="46" t="str">
        <x:v>لا</x:v>
      </x:c>
      <x:c r="V52" s="46" t="str">
        <x:v>نعم</x:v>
      </x:c>
      <x:c r="W52" s="96" t="n">
        <x:v>51</x:v>
      </x:c>
      <x:c r="X52" s="46" t="str"/>
      <x:c r="Y52" s="46" t="str"/>
      <x:c r="Z52" s="46" t="str">
        <x:v>إضافة المفتاح فقط دون تغيير بيانات المنتج.</x:v>
      </x:c>
    </x:row>
    <x:row r="53">
      <x:c r="A53" s="46" t="str">
        <x:v>UPDATE_KEY_ONLY</x:v>
      </x:c>
      <x:c r="B53" s="46" t="str">
        <x:v>موجود في النظام</x:v>
      </x:c>
      <x:c r="C53" s="46" t="str">
        <x:v>regular_hotdog</x:v>
      </x:c>
      <x:c r="D53" s="46" t="str">
        <x:v>هوت دوغ عادي</x:v>
      </x:c>
      <x:c r="E53" s="46" t="str">
        <x:v>Regular Hot Dog</x:v>
      </x:c>
      <x:c r="F53" s="96" t="n">
        <x:v>92</x:v>
      </x:c>
      <x:c r="G53" s="46" t="str">
        <x:v>name_ar</x:v>
      </x:c>
      <x:c r="H53" s="46" t="str">
        <x:v>البرميل الأسود</x:v>
      </x:c>
      <x:c r="I53" s="46" t="str">
        <x:v>food</x:v>
      </x:c>
      <x:c r="J53" s="46" t="str">
        <x:v>food</x:v>
      </x:c>
      <x:c r="K53" s="46" t="str">
        <x:v>snack</x:v>
      </x:c>
      <x:c r="L53" s="92"/>
      <x:c r="M53" s="46" t="str">
        <x:v>نعم</x:v>
      </x:c>
      <x:c r="N53" s="46" t="str">
        <x:v>نعم</x:v>
      </x:c>
      <x:c r="O53" s="46" t="str">
        <x:v>نعم</x:v>
      </x:c>
      <x:c r="P53" s="46" t="str">
        <x:v>نعم</x:v>
      </x:c>
      <x:c r="Q53" s="46" t="str">
        <x:v>نعم</x:v>
      </x:c>
      <x:c r="R53" s="46" t="str">
        <x:v>نعم</x:v>
      </x:c>
      <x:c r="S53" s="46" t="str">
        <x:v>kitchen</x:v>
      </x:c>
      <x:c r="T53" s="46" t="str">
        <x:v>لا</x:v>
      </x:c>
      <x:c r="U53" s="46" t="str">
        <x:v>لا</x:v>
      </x:c>
      <x:c r="V53" s="46" t="str">
        <x:v>نعم</x:v>
      </x:c>
      <x:c r="W53" s="96" t="n">
        <x:v>52</x:v>
      </x:c>
      <x:c r="X53" s="46" t="str"/>
      <x:c r="Y53" s="46" t="str"/>
      <x:c r="Z53" s="46" t="str">
        <x:v>إضافة المفتاح فقط دون تغيير بيانات المنتج.</x:v>
      </x:c>
    </x:row>
    <x:row r="54">
      <x:c r="A54" s="46" t="str">
        <x:v>MATCH_ONLY</x:v>
      </x:c>
      <x:c r="B54" s="46" t="str">
        <x:v>موجود في النظام</x:v>
      </x:c>
      <x:c r="C54" s="46" t="str">
        <x:v>hot_chocolate_milk</x:v>
      </x:c>
      <x:c r="D54" s="46" t="str">
        <x:v>هوت شوكليت بالحليب</x:v>
      </x:c>
      <x:c r="E54" s="46" t="str"/>
      <x:c r="F54" s="96" t="n">
        <x:v>65</x:v>
      </x:c>
      <x:c r="G54" s="46" t="str">
        <x:v>key</x:v>
      </x:c>
      <x:c r="H54" s="46" t="str">
        <x:v>مشروبات ساخنة</x:v>
      </x:c>
      <x:c r="I54" s="46" t="str">
        <x:v>drink</x:v>
      </x:c>
      <x:c r="J54" s="46" t="str">
        <x:v>beverage</x:v>
      </x:c>
      <x:c r="K54" s="46" t="str">
        <x:v>local</x:v>
      </x:c>
      <x:c r="L54" s="92" t="n">
        <x:v>14000</x:v>
      </x:c>
      <x:c r="M54" s="46" t="str">
        <x:v>نعم</x:v>
      </x:c>
      <x:c r="N54" s="46" t="str">
        <x:v>نعم</x:v>
      </x:c>
      <x:c r="O54" s="46" t="str">
        <x:v>نعم</x:v>
      </x:c>
      <x:c r="P54" s="46" t="str">
        <x:v>نعم</x:v>
      </x:c>
      <x:c r="Q54" s="46" t="str">
        <x:v>نعم</x:v>
      </x:c>
      <x:c r="R54" s="46" t="str">
        <x:v>نعم</x:v>
      </x:c>
      <x:c r="S54" s="46" t="str">
        <x:v>bar</x:v>
      </x:c>
      <x:c r="T54" s="46" t="str">
        <x:v>لا</x:v>
      </x:c>
      <x:c r="U54" s="46" t="str">
        <x:v>لا</x:v>
      </x:c>
      <x:c r="V54" s="46" t="str">
        <x:v>لا</x:v>
      </x:c>
      <x:c r="W54" s="96" t="n">
        <x:v>53</x:v>
      </x:c>
      <x:c r="X54" s="46" t="str"/>
      <x:c r="Y54" s="46" t="str"/>
      <x:c r="Z54" s="46" t="str">
        <x:v>مطابقة فقط؛ لا تغييرات.</x:v>
      </x:c>
    </x:row>
    <x:row r="55">
      <x:c r="A55" s="46" t="str">
        <x:v>MATCH_ONLY</x:v>
      </x:c>
      <x:c r="B55" s="46" t="str">
        <x:v>موجود في النظام</x:v>
      </x:c>
      <x:c r="C55" s="46" t="str">
        <x:v>hot_chocolate_water</x:v>
      </x:c>
      <x:c r="D55" s="46" t="str">
        <x:v>هوت شوكليت بالماء</x:v>
      </x:c>
      <x:c r="E55" s="46" t="str"/>
      <x:c r="F55" s="96" t="n">
        <x:v>64</x:v>
      </x:c>
      <x:c r="G55" s="46" t="str">
        <x:v>key</x:v>
      </x:c>
      <x:c r="H55" s="46" t="str">
        <x:v>مشروبات ساخنة</x:v>
      </x:c>
      <x:c r="I55" s="46" t="str">
        <x:v>drink</x:v>
      </x:c>
      <x:c r="J55" s="46" t="str">
        <x:v>beverage</x:v>
      </x:c>
      <x:c r="K55" s="46" t="str">
        <x:v>local</x:v>
      </x:c>
      <x:c r="L55" s="92" t="n">
        <x:v>8000</x:v>
      </x:c>
      <x:c r="M55" s="46" t="str">
        <x:v>نعم</x:v>
      </x:c>
      <x:c r="N55" s="46" t="str">
        <x:v>نعم</x:v>
      </x:c>
      <x:c r="O55" s="46" t="str">
        <x:v>نعم</x:v>
      </x:c>
      <x:c r="P55" s="46" t="str">
        <x:v>نعم</x:v>
      </x:c>
      <x:c r="Q55" s="46" t="str">
        <x:v>نعم</x:v>
      </x:c>
      <x:c r="R55" s="46" t="str">
        <x:v>نعم</x:v>
      </x:c>
      <x:c r="S55" s="46" t="str">
        <x:v>bar</x:v>
      </x:c>
      <x:c r="T55" s="46" t="str">
        <x:v>لا</x:v>
      </x:c>
      <x:c r="U55" s="46" t="str">
        <x:v>لا</x:v>
      </x:c>
      <x:c r="V55" s="46" t="str">
        <x:v>لا</x:v>
      </x:c>
      <x:c r="W55" s="96" t="n">
        <x:v>54</x:v>
      </x:c>
      <x:c r="X55" s="46" t="str"/>
      <x:c r="Y55" s="46" t="str"/>
      <x:c r="Z55" s="46" t="str">
        <x:v>مطابقة فقط؛ لا تغييرات.</x:v>
      </x:c>
    </x:row>
    <x:row r="56">
      <x:c r="A56" s="46" t="str">
        <x:v>CREATE_INACTIVE</x:v>
      </x:c>
      <x:c r="B56" s="46" t="str">
        <x:v>بحاجة مراجعة</x:v>
      </x:c>
      <x:c r="C56" s="46" t="str">
        <x:v>mint_tea</x:v>
      </x:c>
      <x:c r="D56" s="46" t="str">
        <x:v>شاي مع نعنع</x:v>
      </x:c>
      <x:c r="E56" s="46" t="str">
        <x:v>Mint Tea</x:v>
      </x:c>
      <x:c r="F56" s="96"/>
      <x:c r="G56" s="46" t="str">
        <x:v>key</x:v>
      </x:c>
      <x:c r="H56" s="46" t="str">
        <x:v>مشروبات ساخنة</x:v>
      </x:c>
      <x:c r="I56" s="46" t="str">
        <x:v>drink</x:v>
      </x:c>
      <x:c r="J56" s="46" t="str">
        <x:v>beverage</x:v>
      </x:c>
      <x:c r="K56" s="46" t="str">
        <x:v>tea</x:v>
      </x:c>
      <x:c r="L56" s="92" t="n">
        <x:v>5000</x:v>
      </x:c>
      <x:c r="M56" s="46" t="str">
        <x:v>لا</x:v>
      </x:c>
      <x:c r="N56" s="46" t="str">
        <x:v>لا</x:v>
      </x:c>
      <x:c r="O56" s="46" t="str">
        <x:v>لا</x:v>
      </x:c>
      <x:c r="P56" s="46" t="str">
        <x:v>لا</x:v>
      </x:c>
      <x:c r="Q56" s="46" t="str">
        <x:v>لا</x:v>
      </x:c>
      <x:c r="R56" s="46" t="str">
        <x:v>نعم</x:v>
      </x:c>
      <x:c r="S56" s="46" t="str">
        <x:v>bar</x:v>
      </x:c>
      <x:c r="T56" s="46" t="str">
        <x:v>لا</x:v>
      </x:c>
      <x:c r="U56" s="46" t="str">
        <x:v>لا</x:v>
      </x:c>
      <x:c r="V56" s="46" t="str">
        <x:v>لا</x:v>
      </x:c>
      <x:c r="W56" s="96" t="n">
        <x:v>55</x:v>
      </x:c>
      <x:c r="X56" s="46" t="str">
        <x:v>شاي عادي مع نعنع طازج.</x:v>
      </x:c>
      <x:c r="Y56" s="46" t="str"/>
      <x:c r="Z56" s="46" t="str">
        <x:v>ينشأ غير متاح ومخفي حتى مراجعة الفريق.</x:v>
      </x:c>
    </x:row>
    <x:row r="57">
      <x:c r="A57" s="46" t="str">
        <x:v>CREATE_INACTIVE</x:v>
      </x:c>
      <x:c r="B57" s="46" t="str">
        <x:v>بحاجة مراجعة</x:v>
      </x:c>
      <x:c r="C57" s="46" t="str">
        <x:v>sage_tea</x:v>
      </x:c>
      <x:c r="D57" s="46" t="str">
        <x:v>شاي مع ميرمية</x:v>
      </x:c>
      <x:c r="E57" s="46" t="str">
        <x:v>Sage Tea</x:v>
      </x:c>
      <x:c r="F57" s="96"/>
      <x:c r="G57" s="46" t="str">
        <x:v>key</x:v>
      </x:c>
      <x:c r="H57" s="46" t="str">
        <x:v>مشروبات ساخنة</x:v>
      </x:c>
      <x:c r="I57" s="46" t="str">
        <x:v>drink</x:v>
      </x:c>
      <x:c r="J57" s="46" t="str">
        <x:v>beverage</x:v>
      </x:c>
      <x:c r="K57" s="46" t="str">
        <x:v>tea</x:v>
      </x:c>
      <x:c r="L57" s="92" t="n">
        <x:v>5000</x:v>
      </x:c>
      <x:c r="M57" s="46" t="str">
        <x:v>لا</x:v>
      </x:c>
      <x:c r="N57" s="46" t="str">
        <x:v>لا</x:v>
      </x:c>
      <x:c r="O57" s="46" t="str">
        <x:v>لا</x:v>
      </x:c>
      <x:c r="P57" s="46" t="str">
        <x:v>لا</x:v>
      </x:c>
      <x:c r="Q57" s="46" t="str">
        <x:v>لا</x:v>
      </x:c>
      <x:c r="R57" s="46" t="str">
        <x:v>نعم</x:v>
      </x:c>
      <x:c r="S57" s="46" t="str">
        <x:v>bar</x:v>
      </x:c>
      <x:c r="T57" s="46" t="str">
        <x:v>لا</x:v>
      </x:c>
      <x:c r="U57" s="46" t="str">
        <x:v>لا</x:v>
      </x:c>
      <x:c r="V57" s="46" t="str">
        <x:v>لا</x:v>
      </x:c>
      <x:c r="W57" s="96" t="n">
        <x:v>56</x:v>
      </x:c>
      <x:c r="X57" s="46" t="str">
        <x:v>شاي عادي مع ميرمية.</x:v>
      </x:c>
      <x:c r="Y57" s="46" t="str"/>
      <x:c r="Z57" s="46" t="str">
        <x:v>ينشأ غير متاح ومخفي حتى مراجعة الفريق.</x:v>
      </x:c>
    </x:row>
    <x:row r="58">
      <x:c r="A58" s="46" t="str">
        <x:v>CREATE_INACTIVE</x:v>
      </x:c>
      <x:c r="B58" s="46" t="str">
        <x:v>بحاجة مراجعة</x:v>
      </x:c>
      <x:c r="C58" s="46" t="str">
        <x:v>earl_grey_tea</x:v>
      </x:c>
      <x:c r="D58" s="46" t="str">
        <x:v>شاي إيرل غراي</x:v>
      </x:c>
      <x:c r="E58" s="46" t="str">
        <x:v>Earl Grey Tea</x:v>
      </x:c>
      <x:c r="F58" s="96"/>
      <x:c r="G58" s="46" t="str">
        <x:v>key</x:v>
      </x:c>
      <x:c r="H58" s="46" t="str">
        <x:v>مشروبات ساخنة</x:v>
      </x:c>
      <x:c r="I58" s="46" t="str">
        <x:v>drink</x:v>
      </x:c>
      <x:c r="J58" s="46" t="str">
        <x:v>beverage</x:v>
      </x:c>
      <x:c r="K58" s="46" t="str">
        <x:v>tea</x:v>
      </x:c>
      <x:c r="L58" s="92" t="n">
        <x:v>6000</x:v>
      </x:c>
      <x:c r="M58" s="46" t="str">
        <x:v>لا</x:v>
      </x:c>
      <x:c r="N58" s="46" t="str">
        <x:v>لا</x:v>
      </x:c>
      <x:c r="O58" s="46" t="str">
        <x:v>لا</x:v>
      </x:c>
      <x:c r="P58" s="46" t="str">
        <x:v>لا</x:v>
      </x:c>
      <x:c r="Q58" s="46" t="str">
        <x:v>لا</x:v>
      </x:c>
      <x:c r="R58" s="46" t="str">
        <x:v>نعم</x:v>
      </x:c>
      <x:c r="S58" s="46" t="str">
        <x:v>bar</x:v>
      </x:c>
      <x:c r="T58" s="46" t="str">
        <x:v>لا</x:v>
      </x:c>
      <x:c r="U58" s="46" t="str">
        <x:v>لا</x:v>
      </x:c>
      <x:c r="V58" s="46" t="str">
        <x:v>لا</x:v>
      </x:c>
      <x:c r="W58" s="96" t="n">
        <x:v>57</x:v>
      </x:c>
      <x:c r="X58" s="46" t="str">
        <x:v>شاي إيرل غراي.</x:v>
      </x:c>
      <x:c r="Y58" s="46" t="str"/>
      <x:c r="Z58" s="46" t="str">
        <x:v>ينشأ غير متاح ومخفي حتى مراجعة الفريق.</x:v>
      </x:c>
    </x:row>
    <x:row r="59">
      <x:c r="A59" s="46" t="str">
        <x:v>CREATE_INACTIVE</x:v>
      </x:c>
      <x:c r="B59" s="46" t="str">
        <x:v>بحاجة مراجعة</x:v>
      </x:c>
      <x:c r="C59" s="46" t="str">
        <x:v>large_juice</x:v>
      </x:c>
      <x:c r="D59" s="46" t="str">
        <x:v>عصير كبير</x:v>
      </x:c>
      <x:c r="E59" s="46" t="str">
        <x:v>Large Juice</x:v>
      </x:c>
      <x:c r="F59" s="96"/>
      <x:c r="G59" s="46" t="str">
        <x:v>key</x:v>
      </x:c>
      <x:c r="H59" s="46" t="str">
        <x:v>مشروبات باردة</x:v>
      </x:c>
      <x:c r="I59" s="46" t="str">
        <x:v>drink</x:v>
      </x:c>
      <x:c r="J59" s="46" t="str">
        <x:v>beverage</x:v>
      </x:c>
      <x:c r="K59" s="46" t="str">
        <x:v>juice</x:v>
      </x:c>
      <x:c r="L59" s="92" t="n">
        <x:v>12000</x:v>
      </x:c>
      <x:c r="M59" s="46" t="str">
        <x:v>لا</x:v>
      </x:c>
      <x:c r="N59" s="46" t="str">
        <x:v>لا</x:v>
      </x:c>
      <x:c r="O59" s="46" t="str">
        <x:v>لا</x:v>
      </x:c>
      <x:c r="P59" s="46" t="str">
        <x:v>لا</x:v>
      </x:c>
      <x:c r="Q59" s="46" t="str">
        <x:v>لا</x:v>
      </x:c>
      <x:c r="R59" s="46" t="str">
        <x:v>نعم</x:v>
      </x:c>
      <x:c r="S59" s="46" t="str">
        <x:v>bar</x:v>
      </x:c>
      <x:c r="T59" s="46" t="str">
        <x:v>لا</x:v>
      </x:c>
      <x:c r="U59" s="46" t="str">
        <x:v>لا</x:v>
      </x:c>
      <x:c r="V59" s="46" t="str">
        <x:v>لا</x:v>
      </x:c>
      <x:c r="W59" s="96" t="n">
        <x:v>58</x:v>
      </x:c>
      <x:c r="X59" s="46" t="str">
        <x:v>حجم كبير من العصير المتوفر.</x:v>
      </x:c>
      <x:c r="Y59" s="46" t="str"/>
      <x:c r="Z59" s="46" t="str">
        <x:v>ينشأ غير متاح ومخفي حتى مراجعة الفريق.</x:v>
      </x:c>
    </x:row>
    <x:row r="60">
      <x:c r="A60" s="46" t="str">
        <x:v>CREATE_INACTIVE</x:v>
      </x:c>
      <x:c r="B60" s="46" t="str">
        <x:v>بحاجة مراجعة</x:v>
      </x:c>
      <x:c r="C60" s="46" t="str">
        <x:v>matcha_special</x:v>
      </x:c>
      <x:c r="D60" s="46" t="str">
        <x:v>ماتشا سبيشال</x:v>
      </x:c>
      <x:c r="E60" s="46" t="str">
        <x:v>Matcha Special</x:v>
      </x:c>
      <x:c r="F60" s="96"/>
      <x:c r="G60" s="46" t="str">
        <x:v>key</x:v>
      </x:c>
      <x:c r="H60" s="46" t="str">
        <x:v>مشروبات باردة</x:v>
      </x:c>
      <x:c r="I60" s="46" t="str">
        <x:v>drink</x:v>
      </x:c>
      <x:c r="J60" s="46" t="str">
        <x:v>beverage</x:v>
      </x:c>
      <x:c r="K60" s="46" t="str">
        <x:v>tea</x:v>
      </x:c>
      <x:c r="L60" s="92" t="n">
        <x:v>28000</x:v>
      </x:c>
      <x:c r="M60" s="46" t="str">
        <x:v>لا</x:v>
      </x:c>
      <x:c r="N60" s="46" t="str">
        <x:v>لا</x:v>
      </x:c>
      <x:c r="O60" s="46" t="str">
        <x:v>لا</x:v>
      </x:c>
      <x:c r="P60" s="46" t="str">
        <x:v>لا</x:v>
      </x:c>
      <x:c r="Q60" s="46" t="str">
        <x:v>لا</x:v>
      </x:c>
      <x:c r="R60" s="46" t="str">
        <x:v>نعم</x:v>
      </x:c>
      <x:c r="S60" s="46" t="str">
        <x:v>bar</x:v>
      </x:c>
      <x:c r="T60" s="46" t="str">
        <x:v>لا</x:v>
      </x:c>
      <x:c r="U60" s="46" t="str">
        <x:v>لا</x:v>
      </x:c>
      <x:c r="V60" s="46" t="str">
        <x:v>لا</x:v>
      </x:c>
      <x:c r="W60" s="96" t="n">
        <x:v>59</x:v>
      </x:c>
      <x:c r="X60" s="46" t="str">
        <x:v>مشروب ماتشا بارد خاص.</x:v>
      </x:c>
      <x:c r="Y60" s="46" t="str"/>
      <x:c r="Z60" s="46" t="str">
        <x:v>ينشأ غير متاح ومخفي حتى مراجعة الفريق.</x:v>
      </x:c>
    </x:row>
    <x:row r="61">
      <x:c r="A61" s="46" t="str">
        <x:v>CREATE_INACTIVE</x:v>
      </x:c>
      <x:c r="B61" s="46" t="str">
        <x:v>بحاجة مراجعة</x:v>
      </x:c>
      <x:c r="C61" s="46" t="str">
        <x:v>hub_labneh_herbs</x:v>
      </x:c>
      <x:c r="D61" s="46" t="str">
        <x:v>لبنة وأعشاب</x:v>
      </x:c>
      <x:c r="E61" s="46" t="str">
        <x:v>Labneh &amp; Herbs</x:v>
      </x:c>
      <x:c r="F61" s="96"/>
      <x:c r="G61" s="46" t="str">
        <x:v>key</x:v>
      </x:c>
      <x:c r="H61" s="46" t="str">
        <x:v>سندويشات هَب</x:v>
      </x:c>
      <x:c r="I61" s="46" t="str">
        <x:v>food</x:v>
      </x:c>
      <x:c r="J61" s="46" t="str">
        <x:v>food</x:v>
      </x:c>
      <x:c r="K61" s="46" t="str">
        <x:v>hub_food</x:v>
      </x:c>
      <x:c r="L61" s="92"/>
      <x:c r="M61" s="46" t="str">
        <x:v>لا</x:v>
      </x:c>
      <x:c r="N61" s="46" t="str">
        <x:v>لا</x:v>
      </x:c>
      <x:c r="O61" s="46" t="str">
        <x:v>لا</x:v>
      </x:c>
      <x:c r="P61" s="46" t="str">
        <x:v>لا</x:v>
      </x:c>
      <x:c r="Q61" s="46" t="str">
        <x:v>لا</x:v>
      </x:c>
      <x:c r="R61" s="46" t="str">
        <x:v>نعم</x:v>
      </x:c>
      <x:c r="S61" s="46" t="str">
        <x:v>kitchen</x:v>
      </x:c>
      <x:c r="T61" s="46" t="str">
        <x:v>لا</x:v>
      </x:c>
      <x:c r="U61" s="46" t="str">
        <x:v>لا</x:v>
      </x:c>
      <x:c r="V61" s="46" t="str">
        <x:v>لا</x:v>
      </x:c>
      <x:c r="W61" s="96" t="n">
        <x:v>60</x:v>
      </x:c>
      <x:c r="X61" s="46" t="str">
        <x:v>لبنة مع نعنع وزيت زيتون وخضار موسمية.</x:v>
      </x:c>
      <x:c r="Y61" s="46" t="str"/>
      <x:c r="Z61" s="46" t="str">
        <x:v>ينشأ غير متاح ومخفي حتى مراجعة الفريق.</x:v>
      </x:c>
    </x:row>
    <x:row r="62">
      <x:c r="A62" s="46" t="str">
        <x:v>CREATE_INACTIVE</x:v>
      </x:c>
      <x:c r="B62" s="46" t="str">
        <x:v>بحاجة مراجعة</x:v>
      </x:c>
      <x:c r="C62" s="46" t="str">
        <x:v>hub_zaatar_olive_oil</x:v>
      </x:c>
      <x:c r="D62" s="46" t="str">
        <x:v>زيت وزعتر</x:v>
      </x:c>
      <x:c r="E62" s="46" t="str">
        <x:v>Zaatar &amp; Olive Oil</x:v>
      </x:c>
      <x:c r="F62" s="96"/>
      <x:c r="G62" s="46" t="str">
        <x:v>key</x:v>
      </x:c>
      <x:c r="H62" s="46" t="str">
        <x:v>سندويشات هَب</x:v>
      </x:c>
      <x:c r="I62" s="46" t="str">
        <x:v>food</x:v>
      </x:c>
      <x:c r="J62" s="46" t="str">
        <x:v>food</x:v>
      </x:c>
      <x:c r="K62" s="46" t="str">
        <x:v>hub_food</x:v>
      </x:c>
      <x:c r="L62" s="92"/>
      <x:c r="M62" s="46" t="str">
        <x:v>لا</x:v>
      </x:c>
      <x:c r="N62" s="46" t="str">
        <x:v>لا</x:v>
      </x:c>
      <x:c r="O62" s="46" t="str">
        <x:v>لا</x:v>
      </x:c>
      <x:c r="P62" s="46" t="str">
        <x:v>لا</x:v>
      </x:c>
      <x:c r="Q62" s="46" t="str">
        <x:v>لا</x:v>
      </x:c>
      <x:c r="R62" s="46" t="str">
        <x:v>نعم</x:v>
      </x:c>
      <x:c r="S62" s="46" t="str">
        <x:v>kitchen</x:v>
      </x:c>
      <x:c r="T62" s="46" t="str">
        <x:v>لا</x:v>
      </x:c>
      <x:c r="U62" s="46" t="str">
        <x:v>لا</x:v>
      </x:c>
      <x:c r="V62" s="46" t="str">
        <x:v>لا</x:v>
      </x:c>
      <x:c r="W62" s="96" t="n">
        <x:v>61</x:v>
      </x:c>
      <x:c r="X62" s="46" t="str">
        <x:v>زعتر وزيت زيتون مع خضار.</x:v>
      </x:c>
      <x:c r="Y62" s="46" t="str"/>
      <x:c r="Z62" s="46" t="str">
        <x:v>ينشأ غير متاح ومخفي حتى مراجعة الفريق.</x:v>
      </x:c>
    </x:row>
    <x:row r="63">
      <x:c r="A63" s="46" t="str">
        <x:v>CREATE_INACTIVE</x:v>
      </x:c>
      <x:c r="B63" s="46" t="str">
        <x:v>بحاجة مراجعة</x:v>
      </x:c>
      <x:c r="C63" s="46" t="str">
        <x:v>hub_muhammara</x:v>
      </x:c>
      <x:c r="D63" s="46" t="str">
        <x:v>محمّرة</x:v>
      </x:c>
      <x:c r="E63" s="46" t="str">
        <x:v>Muhammara</x:v>
      </x:c>
      <x:c r="F63" s="96"/>
      <x:c r="G63" s="46" t="str">
        <x:v>key</x:v>
      </x:c>
      <x:c r="H63" s="46" t="str">
        <x:v>سندويشات هَب</x:v>
      </x:c>
      <x:c r="I63" s="46" t="str">
        <x:v>food</x:v>
      </x:c>
      <x:c r="J63" s="46" t="str">
        <x:v>food</x:v>
      </x:c>
      <x:c r="K63" s="46" t="str">
        <x:v>hub_food</x:v>
      </x:c>
      <x:c r="L63" s="92"/>
      <x:c r="M63" s="46" t="str">
        <x:v>لا</x:v>
      </x:c>
      <x:c r="N63" s="46" t="str">
        <x:v>لا</x:v>
      </x:c>
      <x:c r="O63" s="46" t="str">
        <x:v>لا</x:v>
      </x:c>
      <x:c r="P63" s="46" t="str">
        <x:v>لا</x:v>
      </x:c>
      <x:c r="Q63" s="46" t="str">
        <x:v>لا</x:v>
      </x:c>
      <x:c r="R63" s="46" t="str">
        <x:v>نعم</x:v>
      </x:c>
      <x:c r="S63" s="46" t="str">
        <x:v>kitchen</x:v>
      </x:c>
      <x:c r="T63" s="46" t="str">
        <x:v>لا</x:v>
      </x:c>
      <x:c r="U63" s="46" t="str">
        <x:v>لا</x:v>
      </x:c>
      <x:c r="V63" s="46" t="str">
        <x:v>لا</x:v>
      </x:c>
      <x:c r="W63" s="96" t="n">
        <x:v>62</x:v>
      </x:c>
      <x:c r="X63" s="46" t="str">
        <x:v>محمّرة مع مخلل خفيف.</x:v>
      </x:c>
      <x:c r="Y63" s="46" t="str"/>
      <x:c r="Z63" s="46" t="str">
        <x:v>ينشأ غير متاح ومخفي حتى مراجعة الفريق.</x:v>
      </x:c>
    </x:row>
    <x:row r="64">
      <x:c r="A64" s="46" t="str">
        <x:v>CREATE_INACTIVE</x:v>
      </x:c>
      <x:c r="B64" s="46" t="str">
        <x:v>بحاجة مراجعة</x:v>
      </x:c>
      <x:c r="C64" s="46" t="str">
        <x:v>hub_baladi_cheese</x:v>
      </x:c>
      <x:c r="D64" s="46" t="str">
        <x:v>الجبنة البلدية</x:v>
      </x:c>
      <x:c r="E64" s="46" t="str">
        <x:v>Baladi Cheese</x:v>
      </x:c>
      <x:c r="F64" s="96"/>
      <x:c r="G64" s="46" t="str">
        <x:v>key</x:v>
      </x:c>
      <x:c r="H64" s="46" t="str">
        <x:v>سندويشات هَب</x:v>
      </x:c>
      <x:c r="I64" s="46" t="str">
        <x:v>food</x:v>
      </x:c>
      <x:c r="J64" s="46" t="str">
        <x:v>food</x:v>
      </x:c>
      <x:c r="K64" s="46" t="str">
        <x:v>hub_food</x:v>
      </x:c>
      <x:c r="L64" s="92"/>
      <x:c r="M64" s="46" t="str">
        <x:v>لا</x:v>
      </x:c>
      <x:c r="N64" s="46" t="str">
        <x:v>لا</x:v>
      </x:c>
      <x:c r="O64" s="46" t="str">
        <x:v>لا</x:v>
      </x:c>
      <x:c r="P64" s="46" t="str">
        <x:v>لا</x:v>
      </x:c>
      <x:c r="Q64" s="46" t="str">
        <x:v>لا</x:v>
      </x:c>
      <x:c r="R64" s="46" t="str">
        <x:v>نعم</x:v>
      </x:c>
      <x:c r="S64" s="46" t="str">
        <x:v>kitchen</x:v>
      </x:c>
      <x:c r="T64" s="46" t="str">
        <x:v>لا</x:v>
      </x:c>
      <x:c r="U64" s="46" t="str">
        <x:v>لا</x:v>
      </x:c>
      <x:c r="V64" s="46" t="str">
        <x:v>لا</x:v>
      </x:c>
      <x:c r="W64" s="96" t="n">
        <x:v>63</x:v>
      </x:c>
      <x:c r="X64" s="46" t="str">
        <x:v>جبنة بيضاء مع حبق وزيت زيتون وخضار.</x:v>
      </x:c>
      <x:c r="Y64" s="46" t="str"/>
      <x:c r="Z64" s="46" t="str">
        <x:v>ينشأ غير متاح ومخفي حتى مراجعة الفريق.</x:v>
      </x:c>
    </x:row>
    <x:row r="65">
      <x:c r="A65" s="46" t="str">
        <x:v>CREATE_INACTIVE</x:v>
      </x:c>
      <x:c r="B65" s="46" t="str">
        <x:v>بحاجة مراجعة</x:v>
      </x:c>
      <x:c r="C65" s="46" t="str">
        <x:v>hub_grilled_shalal</x:v>
      </x:c>
      <x:c r="D65" s="46" t="str">
        <x:v>شلل مشوية</x:v>
      </x:c>
      <x:c r="E65" s="46" t="str">
        <x:v>Grilled Shalal Cheese</x:v>
      </x:c>
      <x:c r="F65" s="96"/>
      <x:c r="G65" s="46" t="str">
        <x:v>key</x:v>
      </x:c>
      <x:c r="H65" s="46" t="str">
        <x:v>سندويشات هَب</x:v>
      </x:c>
      <x:c r="I65" s="46" t="str">
        <x:v>food</x:v>
      </x:c>
      <x:c r="J65" s="46" t="str">
        <x:v>food</x:v>
      </x:c>
      <x:c r="K65" s="46" t="str">
        <x:v>hub_food</x:v>
      </x:c>
      <x:c r="L65" s="92"/>
      <x:c r="M65" s="46" t="str">
        <x:v>لا</x:v>
      </x:c>
      <x:c r="N65" s="46" t="str">
        <x:v>لا</x:v>
      </x:c>
      <x:c r="O65" s="46" t="str">
        <x:v>لا</x:v>
      </x:c>
      <x:c r="P65" s="46" t="str">
        <x:v>لا</x:v>
      </x:c>
      <x:c r="Q65" s="46" t="str">
        <x:v>لا</x:v>
      </x:c>
      <x:c r="R65" s="46" t="str">
        <x:v>نعم</x:v>
      </x:c>
      <x:c r="S65" s="46" t="str">
        <x:v>kitchen</x:v>
      </x:c>
      <x:c r="T65" s="46" t="str">
        <x:v>لا</x:v>
      </x:c>
      <x:c r="U65" s="46" t="str">
        <x:v>لا</x:v>
      </x:c>
      <x:c r="V65" s="46" t="str">
        <x:v>لا</x:v>
      </x:c>
      <x:c r="W65" s="96" t="n">
        <x:v>64</x:v>
      </x:c>
      <x:c r="X65" s="46" t="str">
        <x:v>جبنة شلل مشوية مع خضار.</x:v>
      </x:c>
      <x:c r="Y65" s="46" t="str"/>
      <x:c r="Z65" s="46" t="str">
        <x:v>ينشأ غير متاح ومخفي حتى مراجعة الفريق.</x:v>
      </x:c>
    </x:row>
    <x:row r="66">
      <x:c r="A66" s="46" t="str">
        <x:v>CREATE_INACTIVE</x:v>
      </x:c>
      <x:c r="B66" s="46" t="str">
        <x:v>بحاجة مراجعة</x:v>
      </x:c>
      <x:c r="C66" s="46" t="str">
        <x:v>hub_qashqawan_toast</x:v>
      </x:c>
      <x:c r="D66" s="46" t="str">
        <x:v>قشقوان محمصة</x:v>
      </x:c>
      <x:c r="E66" s="46" t="str">
        <x:v>Toasted Qashqawan</x:v>
      </x:c>
      <x:c r="F66" s="96"/>
      <x:c r="G66" s="46" t="str">
        <x:v>key</x:v>
      </x:c>
      <x:c r="H66" s="46" t="str">
        <x:v>سندويشات هَب</x:v>
      </x:c>
      <x:c r="I66" s="46" t="str">
        <x:v>food</x:v>
      </x:c>
      <x:c r="J66" s="46" t="str">
        <x:v>food</x:v>
      </x:c>
      <x:c r="K66" s="46" t="str">
        <x:v>hub_food</x:v>
      </x:c>
      <x:c r="L66" s="92"/>
      <x:c r="M66" s="46" t="str">
        <x:v>لا</x:v>
      </x:c>
      <x:c r="N66" s="46" t="str">
        <x:v>لا</x:v>
      </x:c>
      <x:c r="O66" s="46" t="str">
        <x:v>لا</x:v>
      </x:c>
      <x:c r="P66" s="46" t="str">
        <x:v>لا</x:v>
      </x:c>
      <x:c r="Q66" s="46" t="str">
        <x:v>لا</x:v>
      </x:c>
      <x:c r="R66" s="46" t="str">
        <x:v>نعم</x:v>
      </x:c>
      <x:c r="S66" s="46" t="str">
        <x:v>kitchen</x:v>
      </x:c>
      <x:c r="T66" s="46" t="str">
        <x:v>لا</x:v>
      </x:c>
      <x:c r="U66" s="46" t="str">
        <x:v>لا</x:v>
      </x:c>
      <x:c r="V66" s="46" t="str">
        <x:v>لا</x:v>
      </x:c>
      <x:c r="W66" s="96" t="n">
        <x:v>65</x:v>
      </x:c>
      <x:c r="X66" s="46" t="str">
        <x:v>قشقوان محمص في الخبز.</x:v>
      </x:c>
      <x:c r="Y66" s="46" t="str"/>
      <x:c r="Z66" s="46" t="str">
        <x:v>ينشأ غير متاح ومخفي حتى مراجعة الفريق.</x:v>
      </x:c>
    </x:row>
    <x:row r="67">
      <x:c r="A67" s="46" t="str">
        <x:v>CREATE_INACTIVE</x:v>
      </x:c>
      <x:c r="B67" s="46" t="str">
        <x:v>بحاجة مراجعة</x:v>
      </x:c>
      <x:c r="C67" s="46" t="str">
        <x:v>hub_egg_cheese</x:v>
      </x:c>
      <x:c r="D67" s="46" t="str">
        <x:v>بيض وجبنة</x:v>
      </x:c>
      <x:c r="E67" s="46" t="str">
        <x:v>Egg &amp; Cheese</x:v>
      </x:c>
      <x:c r="F67" s="96"/>
      <x:c r="G67" s="46" t="str">
        <x:v>key</x:v>
      </x:c>
      <x:c r="H67" s="46" t="str">
        <x:v>سندويشات هَب</x:v>
      </x:c>
      <x:c r="I67" s="46" t="str">
        <x:v>food</x:v>
      </x:c>
      <x:c r="J67" s="46" t="str">
        <x:v>food</x:v>
      </x:c>
      <x:c r="K67" s="46" t="str">
        <x:v>hub_food</x:v>
      </x:c>
      <x:c r="L67" s="92"/>
      <x:c r="M67" s="46" t="str">
        <x:v>لا</x:v>
      </x:c>
      <x:c r="N67" s="46" t="str">
        <x:v>لا</x:v>
      </x:c>
      <x:c r="O67" s="46" t="str">
        <x:v>لا</x:v>
      </x:c>
      <x:c r="P67" s="46" t="str">
        <x:v>لا</x:v>
      </x:c>
      <x:c r="Q67" s="46" t="str">
        <x:v>لا</x:v>
      </x:c>
      <x:c r="R67" s="46" t="str">
        <x:v>نعم</x:v>
      </x:c>
      <x:c r="S67" s="46" t="str">
        <x:v>kitchen</x:v>
      </x:c>
      <x:c r="T67" s="46" t="str">
        <x:v>لا</x:v>
      </x:c>
      <x:c r="U67" s="46" t="str">
        <x:v>لا</x:v>
      </x:c>
      <x:c r="V67" s="46" t="str">
        <x:v>لا</x:v>
      </x:c>
      <x:c r="W67" s="96" t="n">
        <x:v>66</x:v>
      </x:c>
      <x:c r="X67" s="46" t="str">
        <x:v>بيض وجبنة مع خضار.</x:v>
      </x:c>
      <x:c r="Y67" s="46" t="str"/>
      <x:c r="Z67" s="46" t="str">
        <x:v>ينشأ غير متاح ومخفي حتى مراجعة الفريق.</x:v>
      </x:c>
    </x:row>
    <x:row r="68">
      <x:c r="A68" s="46" t="str">
        <x:v>CREATE_INACTIVE</x:v>
      </x:c>
      <x:c r="B68" s="46" t="str">
        <x:v>بحاجة مراجعة</x:v>
      </x:c>
      <x:c r="C68" s="46" t="str">
        <x:v>hub_mortadella</x:v>
      </x:c>
      <x:c r="D68" s="46" t="str">
        <x:v>مرتديلا هَب</x:v>
      </x:c>
      <x:c r="E68" s="46" t="str">
        <x:v>Hub Mortadella</x:v>
      </x:c>
      <x:c r="F68" s="96"/>
      <x:c r="G68" s="46" t="str">
        <x:v>key</x:v>
      </x:c>
      <x:c r="H68" s="46" t="str">
        <x:v>سندويشات هَب</x:v>
      </x:c>
      <x:c r="I68" s="46" t="str">
        <x:v>food</x:v>
      </x:c>
      <x:c r="J68" s="46" t="str">
        <x:v>food</x:v>
      </x:c>
      <x:c r="K68" s="46" t="str">
        <x:v>hub_food</x:v>
      </x:c>
      <x:c r="L68" s="92"/>
      <x:c r="M68" s="46" t="str">
        <x:v>لا</x:v>
      </x:c>
      <x:c r="N68" s="46" t="str">
        <x:v>لا</x:v>
      </x:c>
      <x:c r="O68" s="46" t="str">
        <x:v>لا</x:v>
      </x:c>
      <x:c r="P68" s="46" t="str">
        <x:v>لا</x:v>
      </x:c>
      <x:c r="Q68" s="46" t="str">
        <x:v>لا</x:v>
      </x:c>
      <x:c r="R68" s="46" t="str">
        <x:v>نعم</x:v>
      </x:c>
      <x:c r="S68" s="46" t="str">
        <x:v>kitchen</x:v>
      </x:c>
      <x:c r="T68" s="46" t="str">
        <x:v>لا</x:v>
      </x:c>
      <x:c r="U68" s="46" t="str">
        <x:v>لا</x:v>
      </x:c>
      <x:c r="V68" s="46" t="str">
        <x:v>لا</x:v>
      </x:c>
      <x:c r="W68" s="96" t="n">
        <x:v>67</x:v>
      </x:c>
      <x:c r="X68" s="46" t="str">
        <x:v>مرتديلا مع جبنة ومخلل خفيف.</x:v>
      </x:c>
      <x:c r="Y68" s="46" t="str"/>
      <x:c r="Z68" s="46" t="str">
        <x:v>ينشأ غير متاح ومخفي حتى مراجعة الفريق.</x:v>
      </x:c>
    </x:row>
    <x:row r="69">
      <x:c r="A69" s="46" t="str">
        <x:v>CREATE_INACTIVE</x:v>
      </x:c>
      <x:c r="B69" s="46" t="str">
        <x:v>بحاجة مراجعة</x:v>
      </x:c>
      <x:c r="C69" s="46" t="str">
        <x:v>hub_smoked_turkey</x:v>
      </x:c>
      <x:c r="D69" s="46" t="str">
        <x:v>حبش مدخن</x:v>
      </x:c>
      <x:c r="E69" s="46" t="str">
        <x:v>Smoked Turkey</x:v>
      </x:c>
      <x:c r="F69" s="96"/>
      <x:c r="G69" s="46" t="str">
        <x:v>key</x:v>
      </x:c>
      <x:c r="H69" s="46" t="str">
        <x:v>سندويشات هَب</x:v>
      </x:c>
      <x:c r="I69" s="46" t="str">
        <x:v>food</x:v>
      </x:c>
      <x:c r="J69" s="46" t="str">
        <x:v>food</x:v>
      </x:c>
      <x:c r="K69" s="46" t="str">
        <x:v>hub_food</x:v>
      </x:c>
      <x:c r="L69" s="92"/>
      <x:c r="M69" s="46" t="str">
        <x:v>لا</x:v>
      </x:c>
      <x:c r="N69" s="46" t="str">
        <x:v>لا</x:v>
      </x:c>
      <x:c r="O69" s="46" t="str">
        <x:v>لا</x:v>
      </x:c>
      <x:c r="P69" s="46" t="str">
        <x:v>لا</x:v>
      </x:c>
      <x:c r="Q69" s="46" t="str">
        <x:v>لا</x:v>
      </x:c>
      <x:c r="R69" s="46" t="str">
        <x:v>نعم</x:v>
      </x:c>
      <x:c r="S69" s="46" t="str">
        <x:v>kitchen</x:v>
      </x:c>
      <x:c r="T69" s="46" t="str">
        <x:v>لا</x:v>
      </x:c>
      <x:c r="U69" s="46" t="str">
        <x:v>لا</x:v>
      </x:c>
      <x:c r="V69" s="46" t="str">
        <x:v>لا</x:v>
      </x:c>
      <x:c r="W69" s="96" t="n">
        <x:v>68</x:v>
      </x:c>
      <x:c r="X69" s="46" t="str">
        <x:v>حبش مدخن مع جبنة وخضار.</x:v>
      </x:c>
      <x:c r="Y69" s="46" t="str"/>
      <x:c r="Z69" s="46" t="str">
        <x:v>ينشأ غير متاح ومخفي حتى مراجعة الفريق.</x:v>
      </x:c>
    </x:row>
    <x:row r="70">
      <x:c r="A70" s="46" t="str">
        <x:v>CREATE_INACTIVE</x:v>
      </x:c>
      <x:c r="B70" s="46" t="str">
        <x:v>بحاجة مراجعة</x:v>
      </x:c>
      <x:c r="C70" s="46" t="str">
        <x:v>hub_mediterranean_tuna</x:v>
      </x:c>
      <x:c r="D70" s="46" t="str">
        <x:v>تونة متوسطية</x:v>
      </x:c>
      <x:c r="E70" s="46" t="str">
        <x:v>Mediterranean Tuna</x:v>
      </x:c>
      <x:c r="F70" s="96"/>
      <x:c r="G70" s="46" t="str">
        <x:v>key</x:v>
      </x:c>
      <x:c r="H70" s="46" t="str">
        <x:v>سندويشات هَب</x:v>
      </x:c>
      <x:c r="I70" s="46" t="str">
        <x:v>food</x:v>
      </x:c>
      <x:c r="J70" s="46" t="str">
        <x:v>food</x:v>
      </x:c>
      <x:c r="K70" s="46" t="str">
        <x:v>hub_food</x:v>
      </x:c>
      <x:c r="L70" s="92"/>
      <x:c r="M70" s="46" t="str">
        <x:v>لا</x:v>
      </x:c>
      <x:c r="N70" s="46" t="str">
        <x:v>لا</x:v>
      </x:c>
      <x:c r="O70" s="46" t="str">
        <x:v>لا</x:v>
      </x:c>
      <x:c r="P70" s="46" t="str">
        <x:v>لا</x:v>
      </x:c>
      <x:c r="Q70" s="46" t="str">
        <x:v>لا</x:v>
      </x:c>
      <x:c r="R70" s="46" t="str">
        <x:v>نعم</x:v>
      </x:c>
      <x:c r="S70" s="46" t="str">
        <x:v>kitchen</x:v>
      </x:c>
      <x:c r="T70" s="46" t="str">
        <x:v>لا</x:v>
      </x:c>
      <x:c r="U70" s="46" t="str">
        <x:v>لا</x:v>
      </x:c>
      <x:c r="V70" s="46" t="str">
        <x:v>لا</x:v>
      </x:c>
      <x:c r="W70" s="96" t="n">
        <x:v>69</x:v>
      </x:c>
      <x:c r="X70" s="46" t="str">
        <x:v>تونة مع خضار وليمون وزيت زيتون.</x:v>
      </x:c>
      <x:c r="Y70" s="46" t="str"/>
      <x:c r="Z70" s="46" t="str">
        <x:v>ينشأ غير متاح ومخفي حتى مراجعة الفريق.</x:v>
      </x:c>
    </x:row>
    <x:row r="71">
      <x:c r="A71" s="46" t="str">
        <x:v>CREATE_INACTIVE</x:v>
      </x:c>
      <x:c r="B71" s="46" t="str">
        <x:v>بحاجة مراجعة</x:v>
      </x:c>
      <x:c r="C71" s="46" t="str">
        <x:v>hub_chicken_garlic</x:v>
      </x:c>
      <x:c r="D71" s="46" t="str">
        <x:v>دجاج وثوم</x:v>
      </x:c>
      <x:c r="E71" s="46" t="str">
        <x:v>Chicken &amp; Garlic</x:v>
      </x:c>
      <x:c r="F71" s="96"/>
      <x:c r="G71" s="46" t="str">
        <x:v>key</x:v>
      </x:c>
      <x:c r="H71" s="46" t="str">
        <x:v>سندويشات هَب</x:v>
      </x:c>
      <x:c r="I71" s="46" t="str">
        <x:v>food</x:v>
      </x:c>
      <x:c r="J71" s="46" t="str">
        <x:v>food</x:v>
      </x:c>
      <x:c r="K71" s="46" t="str">
        <x:v>hub_food</x:v>
      </x:c>
      <x:c r="L71" s="92"/>
      <x:c r="M71" s="46" t="str">
        <x:v>لا</x:v>
      </x:c>
      <x:c r="N71" s="46" t="str">
        <x:v>لا</x:v>
      </x:c>
      <x:c r="O71" s="46" t="str">
        <x:v>لا</x:v>
      </x:c>
      <x:c r="P71" s="46" t="str">
        <x:v>لا</x:v>
      </x:c>
      <x:c r="Q71" s="46" t="str">
        <x:v>لا</x:v>
      </x:c>
      <x:c r="R71" s="46" t="str">
        <x:v>نعم</x:v>
      </x:c>
      <x:c r="S71" s="46" t="str">
        <x:v>kitchen</x:v>
      </x:c>
      <x:c r="T71" s="46" t="str">
        <x:v>لا</x:v>
      </x:c>
      <x:c r="U71" s="46" t="str">
        <x:v>لا</x:v>
      </x:c>
      <x:c r="V71" s="46" t="str">
        <x:v>لا</x:v>
      </x:c>
      <x:c r="W71" s="96" t="n">
        <x:v>70</x:v>
      </x:c>
      <x:c r="X71" s="46" t="str">
        <x:v>دجاج مشوي مع ثومية ومخلل وخس.</x:v>
      </x:c>
      <x:c r="Y71" s="46" t="str"/>
      <x:c r="Z71" s="46" t="str">
        <x:v>ينشأ غير متاح ومخفي حتى مراجعة الفريق.</x:v>
      </x:c>
    </x:row>
    <x:row r="72">
      <x:c r="A72" s="46" t="str">
        <x:v>CREATE_INACTIVE</x:v>
      </x:c>
      <x:c r="B72" s="46" t="str">
        <x:v>بحاجة مراجعة</x:v>
      </x:c>
      <x:c r="C72" s="46" t="str">
        <x:v>hub_spicy_chicken</x:v>
      </x:c>
      <x:c r="D72" s="46" t="str">
        <x:v>دجاج حار</x:v>
      </x:c>
      <x:c r="E72" s="46" t="str">
        <x:v>Spicy Chicken</x:v>
      </x:c>
      <x:c r="F72" s="96"/>
      <x:c r="G72" s="46" t="str">
        <x:v>key</x:v>
      </x:c>
      <x:c r="H72" s="46" t="str">
        <x:v>سندويشات هَب</x:v>
      </x:c>
      <x:c r="I72" s="46" t="str">
        <x:v>food</x:v>
      </x:c>
      <x:c r="J72" s="46" t="str">
        <x:v>food</x:v>
      </x:c>
      <x:c r="K72" s="46" t="str">
        <x:v>hub_food</x:v>
      </x:c>
      <x:c r="L72" s="92"/>
      <x:c r="M72" s="46" t="str">
        <x:v>لا</x:v>
      </x:c>
      <x:c r="N72" s="46" t="str">
        <x:v>لا</x:v>
      </x:c>
      <x:c r="O72" s="46" t="str">
        <x:v>لا</x:v>
      </x:c>
      <x:c r="P72" s="46" t="str">
        <x:v>لا</x:v>
      </x:c>
      <x:c r="Q72" s="46" t="str">
        <x:v>لا</x:v>
      </x:c>
      <x:c r="R72" s="46" t="str">
        <x:v>نعم</x:v>
      </x:c>
      <x:c r="S72" s="46" t="str">
        <x:v>kitchen</x:v>
      </x:c>
      <x:c r="T72" s="46" t="str">
        <x:v>لا</x:v>
      </x:c>
      <x:c r="U72" s="46" t="str">
        <x:v>لا</x:v>
      </x:c>
      <x:c r="V72" s="46" t="str">
        <x:v>لا</x:v>
      </x:c>
      <x:c r="W72" s="96" t="n">
        <x:v>71</x:v>
      </x:c>
      <x:c r="X72" s="46" t="str">
        <x:v>دجاج حرّاق خفيف مع صوص ومخلل وخس.</x:v>
      </x:c>
      <x:c r="Y72" s="46" t="str"/>
      <x:c r="Z72" s="46" t="str">
        <x:v>ينشأ غير متاح ومخفي حتى مراجعة الفريق.</x:v>
      </x:c>
    </x:row>
    <x:row r="73">
      <x:c r="A73" s="46" t="str">
        <x:v>CREATE_INACTIVE</x:v>
      </x:c>
      <x:c r="B73" s="46" t="str">
        <x:v>بحاجة مراجعة</x:v>
      </x:c>
      <x:c r="C73" s="46" t="str">
        <x:v>hub_butter_jam</x:v>
      </x:c>
      <x:c r="D73" s="46" t="str">
        <x:v>زبدة ومربى</x:v>
      </x:c>
      <x:c r="E73" s="46" t="str">
        <x:v>Butter &amp; Jam</x:v>
      </x:c>
      <x:c r="F73" s="96"/>
      <x:c r="G73" s="46" t="str">
        <x:v>key</x:v>
      </x:c>
      <x:c r="H73" s="46" t="str">
        <x:v>سندويشات هَب</x:v>
      </x:c>
      <x:c r="I73" s="46" t="str">
        <x:v>food</x:v>
      </x:c>
      <x:c r="J73" s="46" t="str">
        <x:v>food</x:v>
      </x:c>
      <x:c r="K73" s="46" t="str">
        <x:v>hub_food</x:v>
      </x:c>
      <x:c r="L73" s="92"/>
      <x:c r="M73" s="46" t="str">
        <x:v>لا</x:v>
      </x:c>
      <x:c r="N73" s="46" t="str">
        <x:v>لا</x:v>
      </x:c>
      <x:c r="O73" s="46" t="str">
        <x:v>لا</x:v>
      </x:c>
      <x:c r="P73" s="46" t="str">
        <x:v>لا</x:v>
      </x:c>
      <x:c r="Q73" s="46" t="str">
        <x:v>لا</x:v>
      </x:c>
      <x:c r="R73" s="46" t="str">
        <x:v>نعم</x:v>
      </x:c>
      <x:c r="S73" s="46" t="str">
        <x:v>kitchen</x:v>
      </x:c>
      <x:c r="T73" s="46" t="str">
        <x:v>لا</x:v>
      </x:c>
      <x:c r="U73" s="46" t="str">
        <x:v>لا</x:v>
      </x:c>
      <x:c r="V73" s="46" t="str">
        <x:v>لا</x:v>
      </x:c>
      <x:c r="W73" s="96" t="n">
        <x:v>72</x:v>
      </x:c>
      <x:c r="X73" s="46" t="str">
        <x:v>زبدة ومربى في خبز طازج.</x:v>
      </x:c>
      <x:c r="Y73" s="46" t="str"/>
      <x:c r="Z73" s="46" t="str">
        <x:v>ينشأ غير متاح ومخفي حتى مراجعة الفريق.</x:v>
      </x:c>
    </x:row>
    <x:row r="74">
      <x:c r="A74" s="46" t="str">
        <x:v>CREATE_INACTIVE</x:v>
      </x:c>
      <x:c r="B74" s="46" t="str">
        <x:v>بحاجة مراجعة</x:v>
      </x:c>
      <x:c r="C74" s="46" t="str">
        <x:v>turkish_coffee</x:v>
      </x:c>
      <x:c r="D74" s="46" t="str">
        <x:v>قهوة تركية</x:v>
      </x:c>
      <x:c r="E74" s="46" t="str">
        <x:v>Turkish Coffee</x:v>
      </x:c>
      <x:c r="F74" s="96"/>
      <x:c r="G74" s="46" t="str">
        <x:v>key</x:v>
      </x:c>
      <x:c r="H74" s="46" t="str">
        <x:v>مشروبات ساخنة</x:v>
      </x:c>
      <x:c r="I74" s="46" t="str">
        <x:v>drink</x:v>
      </x:c>
      <x:c r="J74" s="46" t="str">
        <x:v>beverage</x:v>
      </x:c>
      <x:c r="K74" s="46" t="str">
        <x:v>coffee</x:v>
      </x:c>
      <x:c r="L74" s="92"/>
      <x:c r="M74" s="46" t="str">
        <x:v>لا</x:v>
      </x:c>
      <x:c r="N74" s="46" t="str">
        <x:v>لا</x:v>
      </x:c>
      <x:c r="O74" s="46" t="str">
        <x:v>لا</x:v>
      </x:c>
      <x:c r="P74" s="46" t="str">
        <x:v>لا</x:v>
      </x:c>
      <x:c r="Q74" s="46" t="str">
        <x:v>لا</x:v>
      </x:c>
      <x:c r="R74" s="46" t="str">
        <x:v>نعم</x:v>
      </x:c>
      <x:c r="S74" s="46" t="str">
        <x:v>bar</x:v>
      </x:c>
      <x:c r="T74" s="46" t="str">
        <x:v>لا</x:v>
      </x:c>
      <x:c r="U74" s="46" t="str">
        <x:v>لا</x:v>
      </x:c>
      <x:c r="V74" s="46" t="str">
        <x:v>لا</x:v>
      </x:c>
      <x:c r="W74" s="96" t="n">
        <x:v>73</x:v>
      </x:c>
      <x:c r="X74" s="46" t="str">
        <x:v>قهوة تركية.</x:v>
      </x:c>
      <x:c r="Y74" s="46" t="str"/>
      <x:c r="Z74" s="46" t="str">
        <x:v>ينشأ غير متاح ومخفي حتى مراجعة الفريق.</x:v>
      </x:c>
    </x:row>
    <x:row r="75">
      <x:c r="A75" s="46" t="str">
        <x:v>CREATE_INACTIVE</x:v>
      </x:c>
      <x:c r="B75" s="46" t="str">
        <x:v>بحاجة مراجعة</x:v>
      </x:c>
      <x:c r="C75" s="46" t="str">
        <x:v>espresso</x:v>
      </x:c>
      <x:c r="D75" s="46" t="str">
        <x:v>إسبريسو</x:v>
      </x:c>
      <x:c r="E75" s="46" t="str">
        <x:v>Espresso</x:v>
      </x:c>
      <x:c r="F75" s="96"/>
      <x:c r="G75" s="46" t="str">
        <x:v>key</x:v>
      </x:c>
      <x:c r="H75" s="46" t="str">
        <x:v>مشروبات ساخنة</x:v>
      </x:c>
      <x:c r="I75" s="46" t="str">
        <x:v>drink</x:v>
      </x:c>
      <x:c r="J75" s="46" t="str">
        <x:v>beverage</x:v>
      </x:c>
      <x:c r="K75" s="46" t="str">
        <x:v>coffee</x:v>
      </x:c>
      <x:c r="L75" s="92"/>
      <x:c r="M75" s="46" t="str">
        <x:v>لا</x:v>
      </x:c>
      <x:c r="N75" s="46" t="str">
        <x:v>لا</x:v>
      </x:c>
      <x:c r="O75" s="46" t="str">
        <x:v>لا</x:v>
      </x:c>
      <x:c r="P75" s="46" t="str">
        <x:v>لا</x:v>
      </x:c>
      <x:c r="Q75" s="46" t="str">
        <x:v>لا</x:v>
      </x:c>
      <x:c r="R75" s="46" t="str">
        <x:v>نعم</x:v>
      </x:c>
      <x:c r="S75" s="46" t="str">
        <x:v>bar</x:v>
      </x:c>
      <x:c r="T75" s="46" t="str">
        <x:v>لا</x:v>
      </x:c>
      <x:c r="U75" s="46" t="str">
        <x:v>لا</x:v>
      </x:c>
      <x:c r="V75" s="46" t="str">
        <x:v>لا</x:v>
      </x:c>
      <x:c r="W75" s="96" t="n">
        <x:v>74</x:v>
      </x:c>
      <x:c r="X75" s="46" t="str">
        <x:v>إسبريسو مزدوج.</x:v>
      </x:c>
      <x:c r="Y75" s="46" t="str"/>
      <x:c r="Z75" s="46" t="str">
        <x:v>ينشأ غير متاح ومخفي حتى مراجعة الفريق.</x:v>
      </x:c>
    </x:row>
    <x:row r="76">
      <x:c r="A76" s="46" t="str">
        <x:v>CREATE_INACTIVE</x:v>
      </x:c>
      <x:c r="B76" s="46" t="str">
        <x:v>بحاجة مراجعة</x:v>
      </x:c>
      <x:c r="C76" s="46" t="str">
        <x:v>latte</x:v>
      </x:c>
      <x:c r="D76" s="46" t="str">
        <x:v>لاتيه</x:v>
      </x:c>
      <x:c r="E76" s="46" t="str">
        <x:v>Latte</x:v>
      </x:c>
      <x:c r="F76" s="96"/>
      <x:c r="G76" s="46" t="str">
        <x:v>key</x:v>
      </x:c>
      <x:c r="H76" s="46" t="str">
        <x:v>مشروبات ساخنة</x:v>
      </x:c>
      <x:c r="I76" s="46" t="str">
        <x:v>drink</x:v>
      </x:c>
      <x:c r="J76" s="46" t="str">
        <x:v>beverage</x:v>
      </x:c>
      <x:c r="K76" s="46" t="str">
        <x:v>coffee</x:v>
      </x:c>
      <x:c r="L76" s="92"/>
      <x:c r="M76" s="46" t="str">
        <x:v>لا</x:v>
      </x:c>
      <x:c r="N76" s="46" t="str">
        <x:v>لا</x:v>
      </x:c>
      <x:c r="O76" s="46" t="str">
        <x:v>لا</x:v>
      </x:c>
      <x:c r="P76" s="46" t="str">
        <x:v>لا</x:v>
      </x:c>
      <x:c r="Q76" s="46" t="str">
        <x:v>لا</x:v>
      </x:c>
      <x:c r="R76" s="46" t="str">
        <x:v>نعم</x:v>
      </x:c>
      <x:c r="S76" s="46" t="str">
        <x:v>bar</x:v>
      </x:c>
      <x:c r="T76" s="46" t="str">
        <x:v>لا</x:v>
      </x:c>
      <x:c r="U76" s="46" t="str">
        <x:v>لا</x:v>
      </x:c>
      <x:c r="V76" s="46" t="str">
        <x:v>لا</x:v>
      </x:c>
      <x:c r="W76" s="96" t="n">
        <x:v>75</x:v>
      </x:c>
      <x:c r="X76" s="46" t="str">
        <x:v>إسبريسو مع حليب مبخر.</x:v>
      </x:c>
      <x:c r="Y76" s="46" t="str"/>
      <x:c r="Z76" s="46" t="str">
        <x:v>ينشأ غير متاح ومخفي حتى مراجعة الفريق.</x:v>
      </x:c>
    </x:row>
    <x:row r="77">
      <x:c r="A77" s="46" t="str">
        <x:v>CREATE_INACTIVE</x:v>
      </x:c>
      <x:c r="B77" s="46" t="str">
        <x:v>بحاجة مراجعة</x:v>
      </x:c>
      <x:c r="C77" s="46" t="str">
        <x:v>americano</x:v>
      </x:c>
      <x:c r="D77" s="46" t="str">
        <x:v>أمريكانو</x:v>
      </x:c>
      <x:c r="E77" s="46" t="str">
        <x:v>Americano</x:v>
      </x:c>
      <x:c r="F77" s="96"/>
      <x:c r="G77" s="46" t="str">
        <x:v>key</x:v>
      </x:c>
      <x:c r="H77" s="46" t="str">
        <x:v>مشروبات ساخنة</x:v>
      </x:c>
      <x:c r="I77" s="46" t="str">
        <x:v>drink</x:v>
      </x:c>
      <x:c r="J77" s="46" t="str">
        <x:v>beverage</x:v>
      </x:c>
      <x:c r="K77" s="46" t="str">
        <x:v>coffee</x:v>
      </x:c>
      <x:c r="L77" s="92"/>
      <x:c r="M77" s="46" t="str">
        <x:v>لا</x:v>
      </x:c>
      <x:c r="N77" s="46" t="str">
        <x:v>لا</x:v>
      </x:c>
      <x:c r="O77" s="46" t="str">
        <x:v>لا</x:v>
      </x:c>
      <x:c r="P77" s="46" t="str">
        <x:v>لا</x:v>
      </x:c>
      <x:c r="Q77" s="46" t="str">
        <x:v>لا</x:v>
      </x:c>
      <x:c r="R77" s="46" t="str">
        <x:v>نعم</x:v>
      </x:c>
      <x:c r="S77" s="46" t="str">
        <x:v>bar</x:v>
      </x:c>
      <x:c r="T77" s="46" t="str">
        <x:v>لا</x:v>
      </x:c>
      <x:c r="U77" s="46" t="str">
        <x:v>لا</x:v>
      </x:c>
      <x:c r="V77" s="46" t="str">
        <x:v>لا</x:v>
      </x:c>
      <x:c r="W77" s="96" t="n">
        <x:v>76</x:v>
      </x:c>
      <x:c r="X77" s="46" t="str">
        <x:v>إسبريسو مع ماء ساخن.</x:v>
      </x:c>
      <x:c r="Y77" s="46" t="str"/>
      <x:c r="Z77" s="46" t="str">
        <x:v>ينشأ غير متاح ومخفي حتى مراجعة الفريق.</x:v>
      </x:c>
    </x:row>
    <x:row r="78">
      <x:c r="A78" s="46" t="str">
        <x:v>CREATE_INACTIVE</x:v>
      </x:c>
      <x:c r="B78" s="46" t="str">
        <x:v>بحاجة مراجعة</x:v>
      </x:c>
      <x:c r="C78" s="46" t="str">
        <x:v>mocha</x:v>
      </x:c>
      <x:c r="D78" s="46" t="str">
        <x:v>موكا</x:v>
      </x:c>
      <x:c r="E78" s="46" t="str">
        <x:v>Mocha</x:v>
      </x:c>
      <x:c r="F78" s="96"/>
      <x:c r="G78" s="46" t="str">
        <x:v>key</x:v>
      </x:c>
      <x:c r="H78" s="46" t="str">
        <x:v>مشروبات ساخنة</x:v>
      </x:c>
      <x:c r="I78" s="46" t="str">
        <x:v>drink</x:v>
      </x:c>
      <x:c r="J78" s="46" t="str">
        <x:v>beverage</x:v>
      </x:c>
      <x:c r="K78" s="46" t="str">
        <x:v>coffee</x:v>
      </x:c>
      <x:c r="L78" s="92"/>
      <x:c r="M78" s="46" t="str">
        <x:v>لا</x:v>
      </x:c>
      <x:c r="N78" s="46" t="str">
        <x:v>لا</x:v>
      </x:c>
      <x:c r="O78" s="46" t="str">
        <x:v>لا</x:v>
      </x:c>
      <x:c r="P78" s="46" t="str">
        <x:v>لا</x:v>
      </x:c>
      <x:c r="Q78" s="46" t="str">
        <x:v>لا</x:v>
      </x:c>
      <x:c r="R78" s="46" t="str">
        <x:v>نعم</x:v>
      </x:c>
      <x:c r="S78" s="46" t="str">
        <x:v>bar</x:v>
      </x:c>
      <x:c r="T78" s="46" t="str">
        <x:v>لا</x:v>
      </x:c>
      <x:c r="U78" s="46" t="str">
        <x:v>لا</x:v>
      </x:c>
      <x:c r="V78" s="46" t="str">
        <x:v>لا</x:v>
      </x:c>
      <x:c r="W78" s="96" t="n">
        <x:v>77</x:v>
      </x:c>
      <x:c r="X78" s="46" t="str">
        <x:v>إسبريسو مع حليب وشوكولا.</x:v>
      </x:c>
      <x:c r="Y78" s="46" t="str"/>
      <x:c r="Z78" s="46" t="str">
        <x:v>ينشأ غير متاح ومخفي حتى مراجعة الفريق.</x:v>
      </x:c>
    </x:row>
    <x:row r="79">
      <x:c r="A79" s="46" t="str">
        <x:v>CREATE_INACTIVE</x:v>
      </x:c>
      <x:c r="B79" s="46" t="str">
        <x:v>بحاجة مراجعة</x:v>
      </x:c>
      <x:c r="C79" s="46" t="str">
        <x:v>instant_coffee</x:v>
      </x:c>
      <x:c r="D79" s="46" t="str">
        <x:v>قهوة سريعة التحضير</x:v>
      </x:c>
      <x:c r="E79" s="46" t="str">
        <x:v>Instant Coffee</x:v>
      </x:c>
      <x:c r="F79" s="96"/>
      <x:c r="G79" s="46" t="str">
        <x:v>key</x:v>
      </x:c>
      <x:c r="H79" s="46" t="str">
        <x:v>مشروبات ساخنة</x:v>
      </x:c>
      <x:c r="I79" s="46" t="str">
        <x:v>drink</x:v>
      </x:c>
      <x:c r="J79" s="46" t="str">
        <x:v>beverage</x:v>
      </x:c>
      <x:c r="K79" s="46" t="str">
        <x:v>coffee</x:v>
      </x:c>
      <x:c r="L79" s="92"/>
      <x:c r="M79" s="46" t="str">
        <x:v>لا</x:v>
      </x:c>
      <x:c r="N79" s="46" t="str">
        <x:v>لا</x:v>
      </x:c>
      <x:c r="O79" s="46" t="str">
        <x:v>لا</x:v>
      </x:c>
      <x:c r="P79" s="46" t="str">
        <x:v>لا</x:v>
      </x:c>
      <x:c r="Q79" s="46" t="str">
        <x:v>لا</x:v>
      </x:c>
      <x:c r="R79" s="46" t="str">
        <x:v>نعم</x:v>
      </x:c>
      <x:c r="S79" s="46" t="str">
        <x:v>bar</x:v>
      </x:c>
      <x:c r="T79" s="46" t="str">
        <x:v>لا</x:v>
      </x:c>
      <x:c r="U79" s="46" t="str">
        <x:v>لا</x:v>
      </x:c>
      <x:c r="V79" s="46" t="str">
        <x:v>لا</x:v>
      </x:c>
      <x:c r="W79" s="96" t="n">
        <x:v>78</x:v>
      </x:c>
      <x:c r="X79" s="46" t="str">
        <x:v>قهوة سريعة التحضير.</x:v>
      </x:c>
      <x:c r="Y79" s="46" t="str"/>
      <x:c r="Z79" s="46" t="str">
        <x:v>ينشأ غير متاح ومخفي حتى مراجعة الفريق.</x:v>
      </x:c>
    </x:row>
    <x:row r="80">
      <x:c r="A80" s="46" t="str">
        <x:v>CREATE_INACTIVE</x:v>
      </x:c>
      <x:c r="B80" s="46" t="str">
        <x:v>بحاجة مراجعة</x:v>
      </x:c>
      <x:c r="C80" s="46" t="str">
        <x:v>iced_coffee</x:v>
      </x:c>
      <x:c r="D80" s="46" t="str">
        <x:v>قهوة مثلجة</x:v>
      </x:c>
      <x:c r="E80" s="46" t="str">
        <x:v>Iced Coffee</x:v>
      </x:c>
      <x:c r="F80" s="96"/>
      <x:c r="G80" s="46" t="str">
        <x:v>key</x:v>
      </x:c>
      <x:c r="H80" s="46" t="str">
        <x:v>مشروبات باردة</x:v>
      </x:c>
      <x:c r="I80" s="46" t="str">
        <x:v>drink</x:v>
      </x:c>
      <x:c r="J80" s="46" t="str">
        <x:v>beverage</x:v>
      </x:c>
      <x:c r="K80" s="46" t="str">
        <x:v>coffee</x:v>
      </x:c>
      <x:c r="L80" s="92"/>
      <x:c r="M80" s="46" t="str">
        <x:v>لا</x:v>
      </x:c>
      <x:c r="N80" s="46" t="str">
        <x:v>لا</x:v>
      </x:c>
      <x:c r="O80" s="46" t="str">
        <x:v>لا</x:v>
      </x:c>
      <x:c r="P80" s="46" t="str">
        <x:v>لا</x:v>
      </x:c>
      <x:c r="Q80" s="46" t="str">
        <x:v>لا</x:v>
      </x:c>
      <x:c r="R80" s="46" t="str">
        <x:v>نعم</x:v>
      </x:c>
      <x:c r="S80" s="46" t="str">
        <x:v>bar</x:v>
      </x:c>
      <x:c r="T80" s="46" t="str">
        <x:v>لا</x:v>
      </x:c>
      <x:c r="U80" s="46" t="str">
        <x:v>لا</x:v>
      </x:c>
      <x:c r="V80" s="46" t="str">
        <x:v>لا</x:v>
      </x:c>
      <x:c r="W80" s="96" t="n">
        <x:v>79</x:v>
      </x:c>
      <x:c r="X80" s="46" t="str">
        <x:v>قهوة باردة مع ثلج.</x:v>
      </x:c>
      <x:c r="Y80" s="46" t="str"/>
      <x:c r="Z80" s="46" t="str">
        <x:v>ينشأ غير متاح ومخفي حتى مراجعة الفريق.</x:v>
      </x:c>
    </x:row>
    <x:row r="81">
      <x:c r="A81" s="46" t="str">
        <x:v>CREATE_INACTIVE</x:v>
      </x:c>
      <x:c r="B81" s="46" t="str">
        <x:v>بحاجة مراجعة</x:v>
      </x:c>
      <x:c r="C81" s="46" t="str">
        <x:v>iced_latte</x:v>
      </x:c>
      <x:c r="D81" s="46" t="str">
        <x:v>آيس لاتيه</x:v>
      </x:c>
      <x:c r="E81" s="46" t="str">
        <x:v>Iced Latte</x:v>
      </x:c>
      <x:c r="F81" s="96"/>
      <x:c r="G81" s="46" t="str">
        <x:v>key</x:v>
      </x:c>
      <x:c r="H81" s="46" t="str">
        <x:v>مشروبات باردة</x:v>
      </x:c>
      <x:c r="I81" s="46" t="str">
        <x:v>drink</x:v>
      </x:c>
      <x:c r="J81" s="46" t="str">
        <x:v>beverage</x:v>
      </x:c>
      <x:c r="K81" s="46" t="str">
        <x:v>coffee</x:v>
      </x:c>
      <x:c r="L81" s="92"/>
      <x:c r="M81" s="46" t="str">
        <x:v>لا</x:v>
      </x:c>
      <x:c r="N81" s="46" t="str">
        <x:v>لا</x:v>
      </x:c>
      <x:c r="O81" s="46" t="str">
        <x:v>لا</x:v>
      </x:c>
      <x:c r="P81" s="46" t="str">
        <x:v>لا</x:v>
      </x:c>
      <x:c r="Q81" s="46" t="str">
        <x:v>لا</x:v>
      </x:c>
      <x:c r="R81" s="46" t="str">
        <x:v>نعم</x:v>
      </x:c>
      <x:c r="S81" s="46" t="str">
        <x:v>bar</x:v>
      </x:c>
      <x:c r="T81" s="46" t="str">
        <x:v>لا</x:v>
      </x:c>
      <x:c r="U81" s="46" t="str">
        <x:v>لا</x:v>
      </x:c>
      <x:c r="V81" s="46" t="str">
        <x:v>لا</x:v>
      </x:c>
      <x:c r="W81" s="96" t="n">
        <x:v>80</x:v>
      </x:c>
      <x:c r="X81" s="46" t="str">
        <x:v>إسبريسو وحليب وثلج.</x:v>
      </x:c>
      <x:c r="Y81" s="46" t="str"/>
      <x:c r="Z81" s="46" t="str">
        <x:v>ينشأ غير متاح ومخفي حتى مراجعة الفريق.</x:v>
      </x:c>
    </x:row>
    <x:row r="82">
      <x:c r="A82" s="46" t="str">
        <x:v>CREATE_INACTIVE</x:v>
      </x:c>
      <x:c r="B82" s="46" t="str">
        <x:v>بحاجة مراجعة</x:v>
      </x:c>
      <x:c r="C82" s="46" t="str">
        <x:v>iced_mocha</x:v>
      </x:c>
      <x:c r="D82" s="46" t="str">
        <x:v>آيس موكا</x:v>
      </x:c>
      <x:c r="E82" s="46" t="str">
        <x:v>Iced Mocha</x:v>
      </x:c>
      <x:c r="F82" s="96"/>
      <x:c r="G82" s="46" t="str">
        <x:v>key</x:v>
      </x:c>
      <x:c r="H82" s="46" t="str">
        <x:v>مشروبات باردة</x:v>
      </x:c>
      <x:c r="I82" s="46" t="str">
        <x:v>drink</x:v>
      </x:c>
      <x:c r="J82" s="46" t="str">
        <x:v>beverage</x:v>
      </x:c>
      <x:c r="K82" s="46" t="str">
        <x:v>coffee</x:v>
      </x:c>
      <x:c r="L82" s="92"/>
      <x:c r="M82" s="46" t="str">
        <x:v>لا</x:v>
      </x:c>
      <x:c r="N82" s="46" t="str">
        <x:v>لا</x:v>
      </x:c>
      <x:c r="O82" s="46" t="str">
        <x:v>لا</x:v>
      </x:c>
      <x:c r="P82" s="46" t="str">
        <x:v>لا</x:v>
      </x:c>
      <x:c r="Q82" s="46" t="str">
        <x:v>لا</x:v>
      </x:c>
      <x:c r="R82" s="46" t="str">
        <x:v>نعم</x:v>
      </x:c>
      <x:c r="S82" s="46" t="str">
        <x:v>bar</x:v>
      </x:c>
      <x:c r="T82" s="46" t="str">
        <x:v>لا</x:v>
      </x:c>
      <x:c r="U82" s="46" t="str">
        <x:v>لا</x:v>
      </x:c>
      <x:c r="V82" s="46" t="str">
        <x:v>لا</x:v>
      </x:c>
      <x:c r="W82" s="96" t="n">
        <x:v>81</x:v>
      </x:c>
      <x:c r="X82" s="46" t="str">
        <x:v>إسبريسو وحليب وشوكولا وثلج.</x:v>
      </x:c>
      <x:c r="Y82" s="46" t="str"/>
      <x:c r="Z82" s="46" t="str">
        <x:v>ينشأ غير متاح ومخفي حتى مراجعة الفريق.</x:v>
      </x:c>
    </x:row>
    <x:row r="83">
      <x:c r="A83" s="46" t="str">
        <x:v>CREATE_INACTIVE</x:v>
      </x:c>
      <x:c r="B83" s="46" t="str">
        <x:v>بحاجة مراجعة</x:v>
      </x:c>
      <x:c r="C83" s="46" t="str">
        <x:v>hot_hibiscus</x:v>
      </x:c>
      <x:c r="D83" s="46" t="str">
        <x:v>كركديه ساخن</x:v>
      </x:c>
      <x:c r="E83" s="46" t="str">
        <x:v>Hot Hibiscus</x:v>
      </x:c>
      <x:c r="F83" s="96"/>
      <x:c r="G83" s="46" t="str">
        <x:v>key</x:v>
      </x:c>
      <x:c r="H83" s="46" t="str">
        <x:v>مشروبات ساخنة</x:v>
      </x:c>
      <x:c r="I83" s="46" t="str">
        <x:v>drink</x:v>
      </x:c>
      <x:c r="J83" s="46" t="str">
        <x:v>beverage</x:v>
      </x:c>
      <x:c r="K83" s="46" t="str">
        <x:v>local</x:v>
      </x:c>
      <x:c r="L83" s="92"/>
      <x:c r="M83" s="46" t="str">
        <x:v>لا</x:v>
      </x:c>
      <x:c r="N83" s="46" t="str">
        <x:v>لا</x:v>
      </x:c>
      <x:c r="O83" s="46" t="str">
        <x:v>لا</x:v>
      </x:c>
      <x:c r="P83" s="46" t="str">
        <x:v>لا</x:v>
      </x:c>
      <x:c r="Q83" s="46" t="str">
        <x:v>لا</x:v>
      </x:c>
      <x:c r="R83" s="46" t="str">
        <x:v>نعم</x:v>
      </x:c>
      <x:c r="S83" s="46" t="str">
        <x:v>bar</x:v>
      </x:c>
      <x:c r="T83" s="46" t="str">
        <x:v>لا</x:v>
      </x:c>
      <x:c r="U83" s="46" t="str">
        <x:v>لا</x:v>
      </x:c>
      <x:c r="V83" s="46" t="str">
        <x:v>لا</x:v>
      </x:c>
      <x:c r="W83" s="96" t="n">
        <x:v>82</x:v>
      </x:c>
      <x:c r="X83" s="46" t="str">
        <x:v>كركديه ساخن.</x:v>
      </x:c>
      <x:c r="Y83" s="46" t="str"/>
      <x:c r="Z83" s="46" t="str">
        <x:v>ينشأ غير متاح ومخفي حتى مراجعة الفريق.</x:v>
      </x:c>
    </x:row>
    <x:row r="84">
      <x:c r="A84" s="46" t="str">
        <x:v>CREATE_INACTIVE</x:v>
      </x:c>
      <x:c r="B84" s="46" t="str">
        <x:v>بحاجة مراجعة</x:v>
      </x:c>
      <x:c r="C84" s="46" t="str">
        <x:v>hot_masala_tea</x:v>
      </x:c>
      <x:c r="D84" s="46" t="str">
        <x:v>شاي هندي ساخن</x:v>
      </x:c>
      <x:c r="E84" s="46" t="str">
        <x:v>Hot Masala Tea</x:v>
      </x:c>
      <x:c r="F84" s="96"/>
      <x:c r="G84" s="46" t="str">
        <x:v>key</x:v>
      </x:c>
      <x:c r="H84" s="46" t="str">
        <x:v>مشروبات ساخنة</x:v>
      </x:c>
      <x:c r="I84" s="46" t="str">
        <x:v>drink</x:v>
      </x:c>
      <x:c r="J84" s="46" t="str">
        <x:v>beverage</x:v>
      </x:c>
      <x:c r="K84" s="46" t="str">
        <x:v>tea</x:v>
      </x:c>
      <x:c r="L84" s="92"/>
      <x:c r="M84" s="46" t="str">
        <x:v>لا</x:v>
      </x:c>
      <x:c r="N84" s="46" t="str">
        <x:v>لا</x:v>
      </x:c>
      <x:c r="O84" s="46" t="str">
        <x:v>لا</x:v>
      </x:c>
      <x:c r="P84" s="46" t="str">
        <x:v>لا</x:v>
      </x:c>
      <x:c r="Q84" s="46" t="str">
        <x:v>لا</x:v>
      </x:c>
      <x:c r="R84" s="46" t="str">
        <x:v>نعم</x:v>
      </x:c>
      <x:c r="S84" s="46" t="str">
        <x:v>bar</x:v>
      </x:c>
      <x:c r="T84" s="46" t="str">
        <x:v>لا</x:v>
      </x:c>
      <x:c r="U84" s="46" t="str">
        <x:v>لا</x:v>
      </x:c>
      <x:c r="V84" s="46" t="str">
        <x:v>لا</x:v>
      </x:c>
      <x:c r="W84" s="96" t="n">
        <x:v>83</x:v>
      </x:c>
      <x:c r="X84" s="46" t="str">
        <x:v>شاي ماسالا بالحليب.</x:v>
      </x:c>
      <x:c r="Y84" s="46" t="str"/>
      <x:c r="Z84" s="46" t="str">
        <x:v>ينشأ غير متاح ومخفي حتى مراجعة الفريق.</x:v>
      </x:c>
    </x:row>
    <x:row r="85">
      <x:c r="A85" s="46" t="str">
        <x:v>CREATE_INACTIVE</x:v>
      </x:c>
      <x:c r="B85" s="46" t="str">
        <x:v>بحاجة مراجعة</x:v>
      </x:c>
      <x:c r="C85" s="46" t="str">
        <x:v>cold_tamarind</x:v>
      </x:c>
      <x:c r="D85" s="46" t="str">
        <x:v>تمر هندي بارد</x:v>
      </x:c>
      <x:c r="E85" s="46" t="str">
        <x:v>Cold Tamarind</x:v>
      </x:c>
      <x:c r="F85" s="96"/>
      <x:c r="G85" s="46" t="str">
        <x:v>key</x:v>
      </x:c>
      <x:c r="H85" s="46" t="str">
        <x:v>مشروبات باردة</x:v>
      </x:c>
      <x:c r="I85" s="46" t="str">
        <x:v>drink</x:v>
      </x:c>
      <x:c r="J85" s="46" t="str">
        <x:v>beverage</x:v>
      </x:c>
      <x:c r="K85" s="46" t="str">
        <x:v>local</x:v>
      </x:c>
      <x:c r="L85" s="92"/>
      <x:c r="M85" s="46" t="str">
        <x:v>لا</x:v>
      </x:c>
      <x:c r="N85" s="46" t="str">
        <x:v>لا</x:v>
      </x:c>
      <x:c r="O85" s="46" t="str">
        <x:v>لا</x:v>
      </x:c>
      <x:c r="P85" s="46" t="str">
        <x:v>لا</x:v>
      </x:c>
      <x:c r="Q85" s="46" t="str">
        <x:v>لا</x:v>
      </x:c>
      <x:c r="R85" s="46" t="str">
        <x:v>نعم</x:v>
      </x:c>
      <x:c r="S85" s="46" t="str">
        <x:v>bar</x:v>
      </x:c>
      <x:c r="T85" s="46" t="str">
        <x:v>لا</x:v>
      </x:c>
      <x:c r="U85" s="46" t="str">
        <x:v>لا</x:v>
      </x:c>
      <x:c r="V85" s="46" t="str">
        <x:v>لا</x:v>
      </x:c>
      <x:c r="W85" s="96" t="n">
        <x:v>84</x:v>
      </x:c>
      <x:c r="X85" s="46" t="str">
        <x:v>تمر هندي بارد.</x:v>
      </x:c>
      <x:c r="Y85" s="46" t="str"/>
      <x:c r="Z85" s="46" t="str">
        <x:v>ينشأ غير متاح ومخفي حتى مراجعة الفريق.</x:v>
      </x:c>
    </x:row>
    <x:row r="86">
      <x:c r="A86" s="46" t="str">
        <x:v>CREATE_INACTIVE</x:v>
      </x:c>
      <x:c r="B86" s="46" t="str">
        <x:v>بحاجة مراجعة</x:v>
      </x:c>
      <x:c r="C86" s="46" t="str">
        <x:v>watermelon_juice</x:v>
      </x:c>
      <x:c r="D86" s="46" t="str">
        <x:v>عصير بطيخ</x:v>
      </x:c>
      <x:c r="E86" s="46" t="str">
        <x:v>Watermelon Juice</x:v>
      </x:c>
      <x:c r="F86" s="96"/>
      <x:c r="G86" s="46" t="str">
        <x:v>key</x:v>
      </x:c>
      <x:c r="H86" s="46" t="str">
        <x:v>مشروبات باردة</x:v>
      </x:c>
      <x:c r="I86" s="46" t="str">
        <x:v>drink</x:v>
      </x:c>
      <x:c r="J86" s="46" t="str">
        <x:v>beverage</x:v>
      </x:c>
      <x:c r="K86" s="46" t="str">
        <x:v>juice</x:v>
      </x:c>
      <x:c r="L86" s="92"/>
      <x:c r="M86" s="46" t="str">
        <x:v>لا</x:v>
      </x:c>
      <x:c r="N86" s="46" t="str">
        <x:v>لا</x:v>
      </x:c>
      <x:c r="O86" s="46" t="str">
        <x:v>لا</x:v>
      </x:c>
      <x:c r="P86" s="46" t="str">
        <x:v>لا</x:v>
      </x:c>
      <x:c r="Q86" s="46" t="str">
        <x:v>لا</x:v>
      </x:c>
      <x:c r="R86" s="46" t="str">
        <x:v>نعم</x:v>
      </x:c>
      <x:c r="S86" s="46" t="str">
        <x:v>bar</x:v>
      </x:c>
      <x:c r="T86" s="46" t="str">
        <x:v>لا</x:v>
      </x:c>
      <x:c r="U86" s="46" t="str">
        <x:v>لا</x:v>
      </x:c>
      <x:c r="V86" s="46" t="str">
        <x:v>لا</x:v>
      </x:c>
      <x:c r="W86" s="96" t="n">
        <x:v>85</x:v>
      </x:c>
      <x:c r="X86" s="46" t="str">
        <x:v>عصير بطيخ طازج.</x:v>
      </x:c>
      <x:c r="Y86" s="46" t="str"/>
      <x:c r="Z86" s="46" t="str">
        <x:v>ينشأ غير متاح ومخفي حتى مراجعة الفريق.</x:v>
      </x:c>
    </x:row>
    <x:row r="87">
      <x:c r="A87" s="46" t="str">
        <x:v>CREATE_INACTIVE</x:v>
      </x:c>
      <x:c r="B87" s="46" t="str">
        <x:v>بحاجة مراجعة</x:v>
      </x:c>
      <x:c r="C87" s="46" t="str">
        <x:v>cumin_lemon</x:v>
      </x:c>
      <x:c r="D87" s="46" t="str">
        <x:v>كمون وليمون</x:v>
      </x:c>
      <x:c r="E87" s="46" t="str">
        <x:v>Cumin &amp; Lemon</x:v>
      </x:c>
      <x:c r="F87" s="96"/>
      <x:c r="G87" s="46" t="str">
        <x:v>key</x:v>
      </x:c>
      <x:c r="H87" s="46" t="str">
        <x:v>مشروبات ساخنة</x:v>
      </x:c>
      <x:c r="I87" s="46" t="str">
        <x:v>drink</x:v>
      </x:c>
      <x:c r="J87" s="46" t="str">
        <x:v>beverage</x:v>
      </x:c>
      <x:c r="K87" s="46" t="str">
        <x:v>local</x:v>
      </x:c>
      <x:c r="L87" s="92"/>
      <x:c r="M87" s="46" t="str">
        <x:v>لا</x:v>
      </x:c>
      <x:c r="N87" s="46" t="str">
        <x:v>لا</x:v>
      </x:c>
      <x:c r="O87" s="46" t="str">
        <x:v>لا</x:v>
      </x:c>
      <x:c r="P87" s="46" t="str">
        <x:v>لا</x:v>
      </x:c>
      <x:c r="Q87" s="46" t="str">
        <x:v>لا</x:v>
      </x:c>
      <x:c r="R87" s="46" t="str">
        <x:v>نعم</x:v>
      </x:c>
      <x:c r="S87" s="46" t="str">
        <x:v>bar</x:v>
      </x:c>
      <x:c r="T87" s="46" t="str">
        <x:v>لا</x:v>
      </x:c>
      <x:c r="U87" s="46" t="str">
        <x:v>لا</x:v>
      </x:c>
      <x:c r="V87" s="46" t="str">
        <x:v>لا</x:v>
      </x:c>
      <x:c r="W87" s="96" t="n">
        <x:v>86</x:v>
      </x:c>
      <x:c r="X87" s="46" t="str">
        <x:v>كمون وليمون ساخن.</x:v>
      </x:c>
      <x:c r="Y87" s="46" t="str"/>
      <x:c r="Z87" s="46" t="str">
        <x:v>ينشأ غير متاح ومخفي حتى مراجعة الفريق.</x:v>
      </x:c>
    </x:row>
    <x:row r="88">
      <x:c r="A88" s="46" t="str">
        <x:v>CREATE_INACTIVE</x:v>
      </x:c>
      <x:c r="B88" s="46" t="str">
        <x:v>بحاجة مراجعة</x:v>
      </x:c>
      <x:c r="C88" s="46" t="str">
        <x:v>milkshake</x:v>
      </x:c>
      <x:c r="D88" s="46" t="str">
        <x:v>ميلك شيك</x:v>
      </x:c>
      <x:c r="E88" s="46" t="str">
        <x:v>Milkshake</x:v>
      </x:c>
      <x:c r="F88" s="96"/>
      <x:c r="G88" s="46" t="str">
        <x:v>key</x:v>
      </x:c>
      <x:c r="H88" s="46" t="str">
        <x:v>مشروبات باردة</x:v>
      </x:c>
      <x:c r="I88" s="46" t="str">
        <x:v>drink</x:v>
      </x:c>
      <x:c r="J88" s="46" t="str">
        <x:v>beverage</x:v>
      </x:c>
      <x:c r="K88" s="46" t="str">
        <x:v>other</x:v>
      </x:c>
      <x:c r="L88" s="92"/>
      <x:c r="M88" s="46" t="str">
        <x:v>لا</x:v>
      </x:c>
      <x:c r="N88" s="46" t="str">
        <x:v>لا</x:v>
      </x:c>
      <x:c r="O88" s="46" t="str">
        <x:v>لا</x:v>
      </x:c>
      <x:c r="P88" s="46" t="str">
        <x:v>لا</x:v>
      </x:c>
      <x:c r="Q88" s="46" t="str">
        <x:v>لا</x:v>
      </x:c>
      <x:c r="R88" s="46" t="str">
        <x:v>نعم</x:v>
      </x:c>
      <x:c r="S88" s="46" t="str">
        <x:v>bar</x:v>
      </x:c>
      <x:c r="T88" s="46" t="str">
        <x:v>لا</x:v>
      </x:c>
      <x:c r="U88" s="46" t="str">
        <x:v>لا</x:v>
      </x:c>
      <x:c r="V88" s="46" t="str">
        <x:v>لا</x:v>
      </x:c>
      <x:c r="W88" s="96" t="n">
        <x:v>87</x:v>
      </x:c>
      <x:c r="X88" s="46" t="str">
        <x:v>ميلك شيك أساسي قابل للنكهات.</x:v>
      </x:c>
      <x:c r="Y88" s="46" t="str"/>
      <x:c r="Z88" s="46" t="str">
        <x:v>ينشأ غير متاح ومخفي حتى مراجعة الفريق.</x:v>
      </x:c>
    </x:row>
    <x:row r="89">
      <x:c r="A89" s="46" t="str">
        <x:v>CREATE_INACTIVE</x:v>
      </x:c>
      <x:c r="B89" s="46" t="str">
        <x:v>بحاجة مراجعة</x:v>
      </x:c>
      <x:c r="C89" s="46" t="str">
        <x:v>smoothie</x:v>
      </x:c>
      <x:c r="D89" s="46" t="str">
        <x:v>سموذي</x:v>
      </x:c>
      <x:c r="E89" s="46" t="str">
        <x:v>Smoothie</x:v>
      </x:c>
      <x:c r="F89" s="96"/>
      <x:c r="G89" s="46" t="str">
        <x:v>key</x:v>
      </x:c>
      <x:c r="H89" s="46" t="str">
        <x:v>مشروبات باردة</x:v>
      </x:c>
      <x:c r="I89" s="46" t="str">
        <x:v>drink</x:v>
      </x:c>
      <x:c r="J89" s="46" t="str">
        <x:v>beverage</x:v>
      </x:c>
      <x:c r="K89" s="46" t="str">
        <x:v>juice</x:v>
      </x:c>
      <x:c r="L89" s="92"/>
      <x:c r="M89" s="46" t="str">
        <x:v>لا</x:v>
      </x:c>
      <x:c r="N89" s="46" t="str">
        <x:v>لا</x:v>
      </x:c>
      <x:c r="O89" s="46" t="str">
        <x:v>لا</x:v>
      </x:c>
      <x:c r="P89" s="46" t="str">
        <x:v>لا</x:v>
      </x:c>
      <x:c r="Q89" s="46" t="str">
        <x:v>لا</x:v>
      </x:c>
      <x:c r="R89" s="46" t="str">
        <x:v>نعم</x:v>
      </x:c>
      <x:c r="S89" s="46" t="str">
        <x:v>bar</x:v>
      </x:c>
      <x:c r="T89" s="46" t="str">
        <x:v>لا</x:v>
      </x:c>
      <x:c r="U89" s="46" t="str">
        <x:v>لا</x:v>
      </x:c>
      <x:c r="V89" s="46" t="str">
        <x:v>لا</x:v>
      </x:c>
      <x:c r="W89" s="96" t="n">
        <x:v>88</x:v>
      </x:c>
      <x:c r="X89" s="46" t="str">
        <x:v>سموذي فواكه.</x:v>
      </x:c>
      <x:c r="Y89" s="46" t="str"/>
      <x:c r="Z89" s="46" t="str">
        <x:v>ينشأ غير متاح ومخفي حتى مراجعة الفريق.</x:v>
      </x:c>
    </x:row>
    <x:row r="90">
      <x:c r="A90" s="46" t="str">
        <x:v>CREATE_INACTIVE</x:v>
      </x:c>
      <x:c r="B90" s="46" t="str">
        <x:v>بحاجة مراجعة</x:v>
      </x:c>
      <x:c r="C90" s="46" t="str">
        <x:v>vodka_cocktail</x:v>
      </x:c>
      <x:c r="D90" s="46" t="str">
        <x:v>كوكتيل فودكا</x:v>
      </x:c>
      <x:c r="E90" s="46" t="str">
        <x:v>Vodka Cocktail</x:v>
      </x:c>
      <x:c r="F90" s="96"/>
      <x:c r="G90" s="46" t="str">
        <x:v>key</x:v>
      </x:c>
      <x:c r="H90" s="46" t="str">
        <x:v>مشروبات كحولية</x:v>
      </x:c>
      <x:c r="I90" s="46" t="str">
        <x:v>drink</x:v>
      </x:c>
      <x:c r="J90" s="46" t="str">
        <x:v>beverage</x:v>
      </x:c>
      <x:c r="K90" s="46" t="str">
        <x:v>cocktail</x:v>
      </x:c>
      <x:c r="L90" s="92"/>
      <x:c r="M90" s="46" t="str">
        <x:v>لا</x:v>
      </x:c>
      <x:c r="N90" s="46" t="str">
        <x:v>لا</x:v>
      </x:c>
      <x:c r="O90" s="46" t="str">
        <x:v>لا</x:v>
      </x:c>
      <x:c r="P90" s="46" t="str">
        <x:v>لا</x:v>
      </x:c>
      <x:c r="Q90" s="46" t="str">
        <x:v>لا</x:v>
      </x:c>
      <x:c r="R90" s="46" t="str">
        <x:v>نعم</x:v>
      </x:c>
      <x:c r="S90" s="46" t="str">
        <x:v>bar</x:v>
      </x:c>
      <x:c r="T90" s="46" t="str">
        <x:v>نعم</x:v>
      </x:c>
      <x:c r="U90" s="46" t="str">
        <x:v>نعم</x:v>
      </x:c>
      <x:c r="V90" s="46" t="str">
        <x:v>لا</x:v>
      </x:c>
      <x:c r="W90" s="96" t="n">
        <x:v>89</x:v>
      </x:c>
      <x:c r="X90" s="46" t="str">
        <x:v>كوكتيل فودكا أساسي.</x:v>
      </x:c>
      <x:c r="Y90" s="46" t="str"/>
      <x:c r="Z90" s="46" t="str">
        <x:v>ينشأ غير متاح ومخفي حتى مراجعة الفريق.</x:v>
      </x:c>
    </x:row>
    <x:row r="91">
      <x:c r="A91" s="46" t="str">
        <x:v>CREATE_INACTIVE</x:v>
      </x:c>
      <x:c r="B91" s="46" t="str">
        <x:v>بحاجة مراجعة</x:v>
      </x:c>
      <x:c r="C91" s="46" t="str">
        <x:v>mojito</x:v>
      </x:c>
      <x:c r="D91" s="46" t="str">
        <x:v>موهيتو</x:v>
      </x:c>
      <x:c r="E91" s="46" t="str">
        <x:v>Mojito</x:v>
      </x:c>
      <x:c r="F91" s="96"/>
      <x:c r="G91" s="46" t="str">
        <x:v>key</x:v>
      </x:c>
      <x:c r="H91" s="46" t="str">
        <x:v>مشروبات كحولية</x:v>
      </x:c>
      <x:c r="I91" s="46" t="str">
        <x:v>drink</x:v>
      </x:c>
      <x:c r="J91" s="46" t="str">
        <x:v>beverage</x:v>
      </x:c>
      <x:c r="K91" s="46" t="str">
        <x:v>cocktail</x:v>
      </x:c>
      <x:c r="L91" s="92"/>
      <x:c r="M91" s="46" t="str">
        <x:v>لا</x:v>
      </x:c>
      <x:c r="N91" s="46" t="str">
        <x:v>لا</x:v>
      </x:c>
      <x:c r="O91" s="46" t="str">
        <x:v>لا</x:v>
      </x:c>
      <x:c r="P91" s="46" t="str">
        <x:v>لا</x:v>
      </x:c>
      <x:c r="Q91" s="46" t="str">
        <x:v>لا</x:v>
      </x:c>
      <x:c r="R91" s="46" t="str">
        <x:v>نعم</x:v>
      </x:c>
      <x:c r="S91" s="46" t="str">
        <x:v>bar</x:v>
      </x:c>
      <x:c r="T91" s="46" t="str">
        <x:v>نعم</x:v>
      </x:c>
      <x:c r="U91" s="46" t="str">
        <x:v>نعم</x:v>
      </x:c>
      <x:c r="V91" s="46" t="str">
        <x:v>لا</x:v>
      </x:c>
      <x:c r="W91" s="96" t="n">
        <x:v>90</x:v>
      </x:c>
      <x:c r="X91" s="46" t="str">
        <x:v>روم وليمون ونعنع ومياه غازية.</x:v>
      </x:c>
      <x:c r="Y91" s="46" t="str"/>
      <x:c r="Z91" s="46" t="str">
        <x:v>ينشأ غير متاح ومخفي حتى مراجعة الفريق.</x:v>
      </x:c>
    </x:row>
    <x:row r="92">
      <x:c r="A92" s="46" t="str">
        <x:v>CREATE_INACTIVE</x:v>
      </x:c>
      <x:c r="B92" s="46" t="str">
        <x:v>بحاجة مراجعة</x:v>
      </x:c>
      <x:c r="C92" s="46" t="str">
        <x:v>whiskey_cocktail</x:v>
      </x:c>
      <x:c r="D92" s="46" t="str">
        <x:v>كوكتيل ويسكي</x:v>
      </x:c>
      <x:c r="E92" s="46" t="str">
        <x:v>Whiskey Cocktail</x:v>
      </x:c>
      <x:c r="F92" s="96"/>
      <x:c r="G92" s="46" t="str">
        <x:v>key</x:v>
      </x:c>
      <x:c r="H92" s="46" t="str">
        <x:v>مشروبات كحولية</x:v>
      </x:c>
      <x:c r="I92" s="46" t="str">
        <x:v>drink</x:v>
      </x:c>
      <x:c r="J92" s="46" t="str">
        <x:v>beverage</x:v>
      </x:c>
      <x:c r="K92" s="46" t="str">
        <x:v>cocktail</x:v>
      </x:c>
      <x:c r="L92" s="92"/>
      <x:c r="M92" s="46" t="str">
        <x:v>لا</x:v>
      </x:c>
      <x:c r="N92" s="46" t="str">
        <x:v>لا</x:v>
      </x:c>
      <x:c r="O92" s="46" t="str">
        <x:v>لا</x:v>
      </x:c>
      <x:c r="P92" s="46" t="str">
        <x:v>لا</x:v>
      </x:c>
      <x:c r="Q92" s="46" t="str">
        <x:v>لا</x:v>
      </x:c>
      <x:c r="R92" s="46" t="str">
        <x:v>نعم</x:v>
      </x:c>
      <x:c r="S92" s="46" t="str">
        <x:v>bar</x:v>
      </x:c>
      <x:c r="T92" s="46" t="str">
        <x:v>نعم</x:v>
      </x:c>
      <x:c r="U92" s="46" t="str">
        <x:v>نعم</x:v>
      </x:c>
      <x:c r="V92" s="46" t="str">
        <x:v>لا</x:v>
      </x:c>
      <x:c r="W92" s="96" t="n">
        <x:v>91</x:v>
      </x:c>
      <x:c r="X92" s="46" t="str">
        <x:v>كوكتيل ويسكي أساسي.</x:v>
      </x:c>
      <x:c r="Y92" s="46" t="str"/>
      <x:c r="Z92" s="46" t="str">
        <x:v>ينشأ غير متاح ومخفي حتى مراجعة الفريق.</x:v>
      </x:c>
    </x:row>
    <x:row r="93">
      <x:c r="A93" s="46" t="str">
        <x:v>CREATE_INACTIVE</x:v>
      </x:c>
      <x:c r="B93" s="46" t="str">
        <x:v>بحاجة مراجعة</x:v>
      </x:c>
      <x:c r="C93" s="46" t="str">
        <x:v>gin_basil</x:v>
      </x:c>
      <x:c r="D93" s="46" t="str">
        <x:v>جين حبق</x:v>
      </x:c>
      <x:c r="E93" s="46" t="str">
        <x:v>Gin Basil</x:v>
      </x:c>
      <x:c r="F93" s="96"/>
      <x:c r="G93" s="46" t="str">
        <x:v>key</x:v>
      </x:c>
      <x:c r="H93" s="46" t="str">
        <x:v>مشروبات كحولية</x:v>
      </x:c>
      <x:c r="I93" s="46" t="str">
        <x:v>drink</x:v>
      </x:c>
      <x:c r="J93" s="46" t="str">
        <x:v>beverage</x:v>
      </x:c>
      <x:c r="K93" s="46" t="str">
        <x:v>cocktail</x:v>
      </x:c>
      <x:c r="L93" s="92"/>
      <x:c r="M93" s="46" t="str">
        <x:v>لا</x:v>
      </x:c>
      <x:c r="N93" s="46" t="str">
        <x:v>لا</x:v>
      </x:c>
      <x:c r="O93" s="46" t="str">
        <x:v>لا</x:v>
      </x:c>
      <x:c r="P93" s="46" t="str">
        <x:v>لا</x:v>
      </x:c>
      <x:c r="Q93" s="46" t="str">
        <x:v>لا</x:v>
      </x:c>
      <x:c r="R93" s="46" t="str">
        <x:v>نعم</x:v>
      </x:c>
      <x:c r="S93" s="46" t="str">
        <x:v>bar</x:v>
      </x:c>
      <x:c r="T93" s="46" t="str">
        <x:v>نعم</x:v>
      </x:c>
      <x:c r="U93" s="46" t="str">
        <x:v>نعم</x:v>
      </x:c>
      <x:c r="V93" s="46" t="str">
        <x:v>لا</x:v>
      </x:c>
      <x:c r="W93" s="96" t="n">
        <x:v>92</x:v>
      </x:c>
      <x:c r="X93" s="46" t="str">
        <x:v>جين وتونيك وحبق.</x:v>
      </x:c>
      <x:c r="Y93" s="46" t="str"/>
      <x:c r="Z93" s="46" t="str">
        <x:v>ينشأ غير متاح ومخفي حتى مراجعة الفريق.</x:v>
      </x:c>
    </x:row>
    <x:row r="94">
      <x:c r="A94" s="46" t="str">
        <x:v>CREATE_INACTIVE</x:v>
      </x:c>
      <x:c r="B94" s="46" t="str">
        <x:v>بحاجة مراجعة</x:v>
      </x:c>
      <x:c r="C94" s="46" t="str">
        <x:v>wine_glass</x:v>
      </x:c>
      <x:c r="D94" s="46" t="str">
        <x:v>كأس نبيذ</x:v>
      </x:c>
      <x:c r="E94" s="46" t="str">
        <x:v>Wine Glass</x:v>
      </x:c>
      <x:c r="F94" s="96"/>
      <x:c r="G94" s="46" t="str">
        <x:v>key</x:v>
      </x:c>
      <x:c r="H94" s="46" t="str">
        <x:v>مشروبات كحولية</x:v>
      </x:c>
      <x:c r="I94" s="46" t="str">
        <x:v>drink</x:v>
      </x:c>
      <x:c r="J94" s="46" t="str">
        <x:v>beverage</x:v>
      </x:c>
      <x:c r="K94" s="46" t="str">
        <x:v>wine</x:v>
      </x:c>
      <x:c r="L94" s="92"/>
      <x:c r="M94" s="46" t="str">
        <x:v>لا</x:v>
      </x:c>
      <x:c r="N94" s="46" t="str">
        <x:v>لا</x:v>
      </x:c>
      <x:c r="O94" s="46" t="str">
        <x:v>لا</x:v>
      </x:c>
      <x:c r="P94" s="46" t="str">
        <x:v>لا</x:v>
      </x:c>
      <x:c r="Q94" s="46" t="str">
        <x:v>لا</x:v>
      </x:c>
      <x:c r="R94" s="46" t="str">
        <x:v>نعم</x:v>
      </x:c>
      <x:c r="S94" s="46" t="str">
        <x:v>bar</x:v>
      </x:c>
      <x:c r="T94" s="46" t="str">
        <x:v>نعم</x:v>
      </x:c>
      <x:c r="U94" s="46" t="str">
        <x:v>نعم</x:v>
      </x:c>
      <x:c r="V94" s="46" t="str">
        <x:v>لا</x:v>
      </x:c>
      <x:c r="W94" s="96" t="n">
        <x:v>93</x:v>
      </x:c>
      <x:c r="X94" s="46" t="str">
        <x:v>كأس نبيذ.</x:v>
      </x:c>
      <x:c r="Y94" s="46" t="str"/>
      <x:c r="Z94" s="46" t="str">
        <x:v>ينشأ غير متاح ومخفي حتى مراجعة الفريق.</x:v>
      </x:c>
    </x:row>
    <x:row r="95">
      <x:c r="A95" s="46" t="str">
        <x:v>CREATE_INACTIVE</x:v>
      </x:c>
      <x:c r="B95" s="46" t="str">
        <x:v>بحاجة مراجعة</x:v>
      </x:c>
      <x:c r="C95" s="46" t="str">
        <x:v>tequila_shot</x:v>
      </x:c>
      <x:c r="D95" s="46" t="str">
        <x:v>شوت تيكيلا</x:v>
      </x:c>
      <x:c r="E95" s="46" t="str">
        <x:v>Tequila Shot</x:v>
      </x:c>
      <x:c r="F95" s="96"/>
      <x:c r="G95" s="46" t="str">
        <x:v>key</x:v>
      </x:c>
      <x:c r="H95" s="46" t="str">
        <x:v>مشروبات كحولية</x:v>
      </x:c>
      <x:c r="I95" s="46" t="str">
        <x:v>drink</x:v>
      </x:c>
      <x:c r="J95" s="46" t="str">
        <x:v>beverage</x:v>
      </x:c>
      <x:c r="K95" s="46" t="str">
        <x:v>cocktail</x:v>
      </x:c>
      <x:c r="L95" s="92"/>
      <x:c r="M95" s="46" t="str">
        <x:v>لا</x:v>
      </x:c>
      <x:c r="N95" s="46" t="str">
        <x:v>لا</x:v>
      </x:c>
      <x:c r="O95" s="46" t="str">
        <x:v>لا</x:v>
      </x:c>
      <x:c r="P95" s="46" t="str">
        <x:v>لا</x:v>
      </x:c>
      <x:c r="Q95" s="46" t="str">
        <x:v>لا</x:v>
      </x:c>
      <x:c r="R95" s="46" t="str">
        <x:v>نعم</x:v>
      </x:c>
      <x:c r="S95" s="46" t="str">
        <x:v>bar</x:v>
      </x:c>
      <x:c r="T95" s="46" t="str">
        <x:v>نعم</x:v>
      </x:c>
      <x:c r="U95" s="46" t="str">
        <x:v>نعم</x:v>
      </x:c>
      <x:c r="V95" s="46" t="str">
        <x:v>لا</x:v>
      </x:c>
      <x:c r="W95" s="96" t="n">
        <x:v>94</x:v>
      </x:c>
      <x:c r="X95" s="46" t="str">
        <x:v>شوت تيكيلا.</x:v>
      </x:c>
      <x:c r="Y95" s="46" t="str"/>
      <x:c r="Z95" s="46" t="str">
        <x:v>ينشأ غير متاح ومخفي حتى مراجعة الفريق.</x:v>
      </x:c>
    </x:row>
    <x:row r="96">
      <x:c r="A96" s="46" t="str">
        <x:v>CREATE_INACTIVE</x:v>
      </x:c>
      <x:c r="B96" s="46" t="str">
        <x:v>بحاجة مراجعة</x:v>
      </x:c>
      <x:c r="C96" s="46" t="str">
        <x:v>olive_tabasco_shot</x:v>
      </x:c>
      <x:c r="D96" s="46" t="str">
        <x:v>شوت زيتونة وتاباسكو</x:v>
      </x:c>
      <x:c r="E96" s="46" t="str">
        <x:v>Olive Tabasco Shot</x:v>
      </x:c>
      <x:c r="F96" s="96"/>
      <x:c r="G96" s="46" t="str">
        <x:v>key</x:v>
      </x:c>
      <x:c r="H96" s="46" t="str">
        <x:v>مشروبات كحولية</x:v>
      </x:c>
      <x:c r="I96" s="46" t="str">
        <x:v>drink</x:v>
      </x:c>
      <x:c r="J96" s="46" t="str">
        <x:v>beverage</x:v>
      </x:c>
      <x:c r="K96" s="46" t="str">
        <x:v>cocktail</x:v>
      </x:c>
      <x:c r="L96" s="92"/>
      <x:c r="M96" s="46" t="str">
        <x:v>لا</x:v>
      </x:c>
      <x:c r="N96" s="46" t="str">
        <x:v>لا</x:v>
      </x:c>
      <x:c r="O96" s="46" t="str">
        <x:v>لا</x:v>
      </x:c>
      <x:c r="P96" s="46" t="str">
        <x:v>لا</x:v>
      </x:c>
      <x:c r="Q96" s="46" t="str">
        <x:v>لا</x:v>
      </x:c>
      <x:c r="R96" s="46" t="str">
        <x:v>نعم</x:v>
      </x:c>
      <x:c r="S96" s="46" t="str">
        <x:v>bar</x:v>
      </x:c>
      <x:c r="T96" s="46" t="str">
        <x:v>نعم</x:v>
      </x:c>
      <x:c r="U96" s="46" t="str">
        <x:v>نعم</x:v>
      </x:c>
      <x:c r="V96" s="46" t="str">
        <x:v>لا</x:v>
      </x:c>
      <x:c r="W96" s="96" t="n">
        <x:v>95</x:v>
      </x:c>
      <x:c r="X96" s="46" t="str">
        <x:v>شوت مع زيتونة وتاباسكو.</x:v>
      </x:c>
      <x:c r="Y96" s="46" t="str"/>
      <x:c r="Z96" s="46" t="str">
        <x:v>ينشأ غير متاح ومخفي حتى مراجعة الفريق.</x:v>
      </x:c>
    </x:row>
    <x:row r="97">
      <x:c r="A97" s="46" t="str">
        <x:v>CREATE_INACTIVE</x:v>
      </x:c>
      <x:c r="B97" s="46" t="str">
        <x:v>بحاجة مراجعة</x:v>
      </x:c>
      <x:c r="C97" s="46" t="str">
        <x:v>daily_maqluba_chicken</x:v>
      </x:c>
      <x:c r="D97" s="46" t="str">
        <x:v>مقلوبة دجاج</x:v>
      </x:c>
      <x:c r="E97" s="46" t="str">
        <x:v>Chicken Maqluba</x:v>
      </x:c>
      <x:c r="F97" s="96"/>
      <x:c r="G97" s="46" t="str">
        <x:v>key</x:v>
      </x:c>
      <x:c r="H97" s="46" t="str">
        <x:v>طبق اليوم</x:v>
      </x:c>
      <x:c r="I97" s="46" t="str">
        <x:v>food</x:v>
      </x:c>
      <x:c r="J97" s="46" t="str">
        <x:v>food</x:v>
      </x:c>
      <x:c r="K97" s="46" t="str">
        <x:v>daily_dish</x:v>
      </x:c>
      <x:c r="L97" s="92"/>
      <x:c r="M97" s="46" t="str">
        <x:v>لا</x:v>
      </x:c>
      <x:c r="N97" s="46" t="str">
        <x:v>لا</x:v>
      </x:c>
      <x:c r="O97" s="46" t="str">
        <x:v>لا</x:v>
      </x:c>
      <x:c r="P97" s="46" t="str">
        <x:v>لا</x:v>
      </x:c>
      <x:c r="Q97" s="46" t="str">
        <x:v>لا</x:v>
      </x:c>
      <x:c r="R97" s="46" t="str">
        <x:v>نعم</x:v>
      </x:c>
      <x:c r="S97" s="46" t="str">
        <x:v>kitchen</x:v>
      </x:c>
      <x:c r="T97" s="46" t="str">
        <x:v>لا</x:v>
      </x:c>
      <x:c r="U97" s="46" t="str">
        <x:v>لا</x:v>
      </x:c>
      <x:c r="V97" s="46" t="str">
        <x:v>لا</x:v>
      </x:c>
      <x:c r="W97" s="96" t="n">
        <x:v>96</x:v>
      </x:c>
      <x:c r="X97" s="46" t="str">
        <x:v>طبق يومي مقترح.</x:v>
      </x:c>
      <x:c r="Y97" s="46" t="str"/>
      <x:c r="Z97" s="46" t="str">
        <x:v>ينشأ غير متاح ومخفي حتى مراجعة الفريق.</x:v>
      </x:c>
    </x:row>
    <x:row r="98">
      <x:c r="A98" s="46" t="str">
        <x:v>CREATE_INACTIVE</x:v>
      </x:c>
      <x:c r="B98" s="46" t="str">
        <x:v>بحاجة مراجعة</x:v>
      </x:c>
      <x:c r="C98" s="46" t="str">
        <x:v>daily_mansaf</x:v>
      </x:c>
      <x:c r="D98" s="46" t="str">
        <x:v>منسف أردني</x:v>
      </x:c>
      <x:c r="E98" s="46" t="str">
        <x:v>Jordanian Mansaf</x:v>
      </x:c>
      <x:c r="F98" s="96"/>
      <x:c r="G98" s="46" t="str">
        <x:v>key</x:v>
      </x:c>
      <x:c r="H98" s="46" t="str">
        <x:v>طبق اليوم</x:v>
      </x:c>
      <x:c r="I98" s="46" t="str">
        <x:v>food</x:v>
      </x:c>
      <x:c r="J98" s="46" t="str">
        <x:v>food</x:v>
      </x:c>
      <x:c r="K98" s="46" t="str">
        <x:v>daily_dish</x:v>
      </x:c>
      <x:c r="L98" s="92"/>
      <x:c r="M98" s="46" t="str">
        <x:v>لا</x:v>
      </x:c>
      <x:c r="N98" s="46" t="str">
        <x:v>لا</x:v>
      </x:c>
      <x:c r="O98" s="46" t="str">
        <x:v>لا</x:v>
      </x:c>
      <x:c r="P98" s="46" t="str">
        <x:v>لا</x:v>
      </x:c>
      <x:c r="Q98" s="46" t="str">
        <x:v>لا</x:v>
      </x:c>
      <x:c r="R98" s="46" t="str">
        <x:v>نعم</x:v>
      </x:c>
      <x:c r="S98" s="46" t="str">
        <x:v>kitchen</x:v>
      </x:c>
      <x:c r="T98" s="46" t="str">
        <x:v>لا</x:v>
      </x:c>
      <x:c r="U98" s="46" t="str">
        <x:v>لا</x:v>
      </x:c>
      <x:c r="V98" s="46" t="str">
        <x:v>لا</x:v>
      </x:c>
      <x:c r="W98" s="96" t="n">
        <x:v>97</x:v>
      </x:c>
      <x:c r="X98" s="46" t="str">
        <x:v>طبق يومي مقترح.</x:v>
      </x:c>
      <x:c r="Y98" s="46" t="str"/>
      <x:c r="Z98" s="46" t="str">
        <x:v>ينشأ غير متاح ومخفي حتى مراجعة الفريق.</x:v>
      </x:c>
    </x:row>
    <x:row r="99">
      <x:c r="A99" s="46" t="str">
        <x:v>CREATE_INACTIVE</x:v>
      </x:c>
      <x:c r="B99" s="46" t="str">
        <x:v>بحاجة مراجعة</x:v>
      </x:c>
      <x:c r="C99" s="46" t="str">
        <x:v>daily_musakhan</x:v>
      </x:c>
      <x:c r="D99" s="46" t="str">
        <x:v>مسخن فلسطيني</x:v>
      </x:c>
      <x:c r="E99" s="46" t="str">
        <x:v>Palestinian Musakhan</x:v>
      </x:c>
      <x:c r="F99" s="96"/>
      <x:c r="G99" s="46" t="str">
        <x:v>key</x:v>
      </x:c>
      <x:c r="H99" s="46" t="str">
        <x:v>طبق اليوم</x:v>
      </x:c>
      <x:c r="I99" s="46" t="str">
        <x:v>food</x:v>
      </x:c>
      <x:c r="J99" s="46" t="str">
        <x:v>food</x:v>
      </x:c>
      <x:c r="K99" s="46" t="str">
        <x:v>daily_dish</x:v>
      </x:c>
      <x:c r="L99" s="92"/>
      <x:c r="M99" s="46" t="str">
        <x:v>لا</x:v>
      </x:c>
      <x:c r="N99" s="46" t="str">
        <x:v>لا</x:v>
      </x:c>
      <x:c r="O99" s="46" t="str">
        <x:v>لا</x:v>
      </x:c>
      <x:c r="P99" s="46" t="str">
        <x:v>لا</x:v>
      </x:c>
      <x:c r="Q99" s="46" t="str">
        <x:v>لا</x:v>
      </x:c>
      <x:c r="R99" s="46" t="str">
        <x:v>نعم</x:v>
      </x:c>
      <x:c r="S99" s="46" t="str">
        <x:v>kitchen</x:v>
      </x:c>
      <x:c r="T99" s="46" t="str">
        <x:v>لا</x:v>
      </x:c>
      <x:c r="U99" s="46" t="str">
        <x:v>لا</x:v>
      </x:c>
      <x:c r="V99" s="46" t="str">
        <x:v>لا</x:v>
      </x:c>
      <x:c r="W99" s="96" t="n">
        <x:v>98</x:v>
      </x:c>
      <x:c r="X99" s="46" t="str">
        <x:v>طبق يومي مقترح.</x:v>
      </x:c>
      <x:c r="Y99" s="46" t="str"/>
      <x:c r="Z99" s="46" t="str">
        <x:v>ينشأ غير متاح ومخفي حتى مراجعة الفريق.</x:v>
      </x:c>
    </x:row>
    <x:row r="100">
      <x:c r="A100" s="46" t="str">
        <x:v>CREATE_INACTIVE</x:v>
      </x:c>
      <x:c r="B100" s="46" t="str">
        <x:v>بحاجة مراجعة</x:v>
      </x:c>
      <x:c r="C100" s="46" t="str">
        <x:v>daily_kabsa_chicken</x:v>
      </x:c>
      <x:c r="D100" s="46" t="str">
        <x:v>كبسة دجاج</x:v>
      </x:c>
      <x:c r="E100" s="46" t="str">
        <x:v>Chicken Kabsa</x:v>
      </x:c>
      <x:c r="F100" s="96"/>
      <x:c r="G100" s="46" t="str">
        <x:v>key</x:v>
      </x:c>
      <x:c r="H100" s="46" t="str">
        <x:v>طبق اليوم</x:v>
      </x:c>
      <x:c r="I100" s="46" t="str">
        <x:v>food</x:v>
      </x:c>
      <x:c r="J100" s="46" t="str">
        <x:v>food</x:v>
      </x:c>
      <x:c r="K100" s="46" t="str">
        <x:v>daily_dish</x:v>
      </x:c>
      <x:c r="L100" s="92"/>
      <x:c r="M100" s="46" t="str">
        <x:v>لا</x:v>
      </x:c>
      <x:c r="N100" s="46" t="str">
        <x:v>لا</x:v>
      </x:c>
      <x:c r="O100" s="46" t="str">
        <x:v>لا</x:v>
      </x:c>
      <x:c r="P100" s="46" t="str">
        <x:v>لا</x:v>
      </x:c>
      <x:c r="Q100" s="46" t="str">
        <x:v>لا</x:v>
      </x:c>
      <x:c r="R100" s="46" t="str">
        <x:v>نعم</x:v>
      </x:c>
      <x:c r="S100" s="46" t="str">
        <x:v>kitchen</x:v>
      </x:c>
      <x:c r="T100" s="46" t="str">
        <x:v>لا</x:v>
      </x:c>
      <x:c r="U100" s="46" t="str">
        <x:v>لا</x:v>
      </x:c>
      <x:c r="V100" s="46" t="str">
        <x:v>لا</x:v>
      </x:c>
      <x:c r="W100" s="96" t="n">
        <x:v>99</x:v>
      </x:c>
      <x:c r="X100" s="46" t="str">
        <x:v>طبق يومي مقترح.</x:v>
      </x:c>
      <x:c r="Y100" s="46" t="str"/>
      <x:c r="Z100" s="46" t="str">
        <x:v>ينشأ غير متاح ومخفي حتى مراجعة الفريق.</x:v>
      </x:c>
    </x:row>
    <x:row r="101">
      <x:c r="A101" s="46" t="str">
        <x:v>CREATE_INACTIVE</x:v>
      </x:c>
      <x:c r="B101" s="46" t="str">
        <x:v>بحاجة مراجعة</x:v>
      </x:c>
      <x:c r="C101" s="46" t="str">
        <x:v>daily_chicken_biryani</x:v>
      </x:c>
      <x:c r="D101" s="46" t="str">
        <x:v>برياني دجاج</x:v>
      </x:c>
      <x:c r="E101" s="46" t="str">
        <x:v>Chicken Biryani</x:v>
      </x:c>
      <x:c r="F101" s="96"/>
      <x:c r="G101" s="46" t="str">
        <x:v>key</x:v>
      </x:c>
      <x:c r="H101" s="46" t="str">
        <x:v>طبق اليوم</x:v>
      </x:c>
      <x:c r="I101" s="46" t="str">
        <x:v>food</x:v>
      </x:c>
      <x:c r="J101" s="46" t="str">
        <x:v>food</x:v>
      </x:c>
      <x:c r="K101" s="46" t="str">
        <x:v>daily_dish</x:v>
      </x:c>
      <x:c r="L101" s="92"/>
      <x:c r="M101" s="46" t="str">
        <x:v>لا</x:v>
      </x:c>
      <x:c r="N101" s="46" t="str">
        <x:v>لا</x:v>
      </x:c>
      <x:c r="O101" s="46" t="str">
        <x:v>لا</x:v>
      </x:c>
      <x:c r="P101" s="46" t="str">
        <x:v>لا</x:v>
      </x:c>
      <x:c r="Q101" s="46" t="str">
        <x:v>لا</x:v>
      </x:c>
      <x:c r="R101" s="46" t="str">
        <x:v>نعم</x:v>
      </x:c>
      <x:c r="S101" s="46" t="str">
        <x:v>kitchen</x:v>
      </x:c>
      <x:c r="T101" s="46" t="str">
        <x:v>لا</x:v>
      </x:c>
      <x:c r="U101" s="46" t="str">
        <x:v>لا</x:v>
      </x:c>
      <x:c r="V101" s="46" t="str">
        <x:v>لا</x:v>
      </x:c>
      <x:c r="W101" s="96" t="n">
        <x:v>100</x:v>
      </x:c>
      <x:c r="X101" s="46" t="str">
        <x:v>طبق يومي مقترح.</x:v>
      </x:c>
      <x:c r="Y101" s="46" t="str"/>
      <x:c r="Z101" s="46" t="str">
        <x:v>ينشأ غير متاح ومخفي حتى مراجعة الفريق.</x:v>
      </x:c>
    </x:row>
    <x:row r="102">
      <x:c r="A102" s="46" t="str">
        <x:v>CREATE_INACTIVE</x:v>
      </x:c>
      <x:c r="B102" s="46" t="str">
        <x:v>بحاجة مراجعة</x:v>
      </x:c>
      <x:c r="C102" s="46" t="str">
        <x:v>daily_chicken_mandi</x:v>
      </x:c>
      <x:c r="D102" s="46" t="str">
        <x:v>مندي دجاج</x:v>
      </x:c>
      <x:c r="E102" s="46" t="str">
        <x:v>Chicken Mandi</x:v>
      </x:c>
      <x:c r="F102" s="96"/>
      <x:c r="G102" s="46" t="str">
        <x:v>key</x:v>
      </x:c>
      <x:c r="H102" s="46" t="str">
        <x:v>طبق اليوم</x:v>
      </x:c>
      <x:c r="I102" s="46" t="str">
        <x:v>food</x:v>
      </x:c>
      <x:c r="J102" s="46" t="str">
        <x:v>food</x:v>
      </x:c>
      <x:c r="K102" s="46" t="str">
        <x:v>daily_dish</x:v>
      </x:c>
      <x:c r="L102" s="92"/>
      <x:c r="M102" s="46" t="str">
        <x:v>لا</x:v>
      </x:c>
      <x:c r="N102" s="46" t="str">
        <x:v>لا</x:v>
      </x:c>
      <x:c r="O102" s="46" t="str">
        <x:v>لا</x:v>
      </x:c>
      <x:c r="P102" s="46" t="str">
        <x:v>لا</x:v>
      </x:c>
      <x:c r="Q102" s="46" t="str">
        <x:v>لا</x:v>
      </x:c>
      <x:c r="R102" s="46" t="str">
        <x:v>نعم</x:v>
      </x:c>
      <x:c r="S102" s="46" t="str">
        <x:v>kitchen</x:v>
      </x:c>
      <x:c r="T102" s="46" t="str">
        <x:v>لا</x:v>
      </x:c>
      <x:c r="U102" s="46" t="str">
        <x:v>لا</x:v>
      </x:c>
      <x:c r="V102" s="46" t="str">
        <x:v>لا</x:v>
      </x:c>
      <x:c r="W102" s="96" t="n">
        <x:v>101</x:v>
      </x:c>
      <x:c r="X102" s="46" t="str">
        <x:v>طبق يومي مقترح.</x:v>
      </x:c>
      <x:c r="Y102" s="46" t="str"/>
      <x:c r="Z102" s="46" t="str">
        <x:v>ينشأ غير متاح ومخفي حتى مراجعة الفريق.</x:v>
      </x:c>
    </x:row>
    <x:row r="103">
      <x:c r="A103" s="46" t="str">
        <x:v>CREATE_INACTIVE</x:v>
      </x:c>
      <x:c r="B103" s="46" t="str">
        <x:v>بحاجة مراجعة</x:v>
      </x:c>
      <x:c r="C103" s="46" t="str">
        <x:v>daily_butter_chicken</x:v>
      </x:c>
      <x:c r="D103" s="46" t="str">
        <x:v>دجاج بالزبدة</x:v>
      </x:c>
      <x:c r="E103" s="46" t="str">
        <x:v>Butter Chicken</x:v>
      </x:c>
      <x:c r="F103" s="96"/>
      <x:c r="G103" s="46" t="str">
        <x:v>key</x:v>
      </x:c>
      <x:c r="H103" s="46" t="str">
        <x:v>طبق اليوم</x:v>
      </x:c>
      <x:c r="I103" s="46" t="str">
        <x:v>food</x:v>
      </x:c>
      <x:c r="J103" s="46" t="str">
        <x:v>food</x:v>
      </x:c>
      <x:c r="K103" s="46" t="str">
        <x:v>daily_dish</x:v>
      </x:c>
      <x:c r="L103" s="92"/>
      <x:c r="M103" s="46" t="str">
        <x:v>لا</x:v>
      </x:c>
      <x:c r="N103" s="46" t="str">
        <x:v>لا</x:v>
      </x:c>
      <x:c r="O103" s="46" t="str">
        <x:v>لا</x:v>
      </x:c>
      <x:c r="P103" s="46" t="str">
        <x:v>لا</x:v>
      </x:c>
      <x:c r="Q103" s="46" t="str">
        <x:v>لا</x:v>
      </x:c>
      <x:c r="R103" s="46" t="str">
        <x:v>نعم</x:v>
      </x:c>
      <x:c r="S103" s="46" t="str">
        <x:v>kitchen</x:v>
      </x:c>
      <x:c r="T103" s="46" t="str">
        <x:v>لا</x:v>
      </x:c>
      <x:c r="U103" s="46" t="str">
        <x:v>لا</x:v>
      </x:c>
      <x:c r="V103" s="46" t="str">
        <x:v>لا</x:v>
      </x:c>
      <x:c r="W103" s="96" t="n">
        <x:v>102</x:v>
      </x:c>
      <x:c r="X103" s="46" t="str">
        <x:v>طبق يومي مقترح.</x:v>
      </x:c>
      <x:c r="Y103" s="46" t="str"/>
      <x:c r="Z103" s="46" t="str">
        <x:v>ينشأ غير متاح ومخفي حتى مراجعة الفريق.</x:v>
      </x:c>
    </x:row>
    <x:row r="104">
      <x:c r="A104" s="46" t="str">
        <x:v>CREATE_INACTIVE</x:v>
      </x:c>
      <x:c r="B104" s="46" t="str">
        <x:v>بحاجة مراجعة</x:v>
      </x:c>
      <x:c r="C104" s="46" t="str">
        <x:v>daily_shish_barak</x:v>
      </x:c>
      <x:c r="D104" s="46" t="str">
        <x:v>شيش برك</x:v>
      </x:c>
      <x:c r="E104" s="46" t="str">
        <x:v>Shish Barak</x:v>
      </x:c>
      <x:c r="F104" s="96"/>
      <x:c r="G104" s="46" t="str">
        <x:v>key</x:v>
      </x:c>
      <x:c r="H104" s="46" t="str">
        <x:v>طبق اليوم</x:v>
      </x:c>
      <x:c r="I104" s="46" t="str">
        <x:v>food</x:v>
      </x:c>
      <x:c r="J104" s="46" t="str">
        <x:v>food</x:v>
      </x:c>
      <x:c r="K104" s="46" t="str">
        <x:v>daily_dish</x:v>
      </x:c>
      <x:c r="L104" s="92"/>
      <x:c r="M104" s="46" t="str">
        <x:v>لا</x:v>
      </x:c>
      <x:c r="N104" s="46" t="str">
        <x:v>لا</x:v>
      </x:c>
      <x:c r="O104" s="46" t="str">
        <x:v>لا</x:v>
      </x:c>
      <x:c r="P104" s="46" t="str">
        <x:v>لا</x:v>
      </x:c>
      <x:c r="Q104" s="46" t="str">
        <x:v>لا</x:v>
      </x:c>
      <x:c r="R104" s="46" t="str">
        <x:v>نعم</x:v>
      </x:c>
      <x:c r="S104" s="46" t="str">
        <x:v>kitchen</x:v>
      </x:c>
      <x:c r="T104" s="46" t="str">
        <x:v>لا</x:v>
      </x:c>
      <x:c r="U104" s="46" t="str">
        <x:v>لا</x:v>
      </x:c>
      <x:c r="V104" s="46" t="str">
        <x:v>لا</x:v>
      </x:c>
      <x:c r="W104" s="96" t="n">
        <x:v>103</x:v>
      </x:c>
      <x:c r="X104" s="46" t="str">
        <x:v>طبق يومي مقترح.</x:v>
      </x:c>
      <x:c r="Y104" s="46" t="str"/>
      <x:c r="Z104" s="46" t="str">
        <x:v>ينشأ غير متاح ومخفي حتى مراجعة الفريق.</x:v>
      </x:c>
    </x:row>
    <x:row r="105">
      <x:c r="A105" s="46" t="str">
        <x:v>CREATE_INACTIVE</x:v>
      </x:c>
      <x:c r="B105" s="46" t="str">
        <x:v>بحاجة مراجعة</x:v>
      </x:c>
      <x:c r="C105" s="46" t="str">
        <x:v>daily_dawood_basha</x:v>
      </x:c>
      <x:c r="D105" s="46" t="str">
        <x:v>داوود باشا</x:v>
      </x:c>
      <x:c r="E105" s="46" t="str">
        <x:v>Dawood Basha</x:v>
      </x:c>
      <x:c r="F105" s="96"/>
      <x:c r="G105" s="46" t="str">
        <x:v>key</x:v>
      </x:c>
      <x:c r="H105" s="46" t="str">
        <x:v>طبق اليوم</x:v>
      </x:c>
      <x:c r="I105" s="46" t="str">
        <x:v>food</x:v>
      </x:c>
      <x:c r="J105" s="46" t="str">
        <x:v>food</x:v>
      </x:c>
      <x:c r="K105" s="46" t="str">
        <x:v>daily_dish</x:v>
      </x:c>
      <x:c r="L105" s="92"/>
      <x:c r="M105" s="46" t="str">
        <x:v>لا</x:v>
      </x:c>
      <x:c r="N105" s="46" t="str">
        <x:v>لا</x:v>
      </x:c>
      <x:c r="O105" s="46" t="str">
        <x:v>لا</x:v>
      </x:c>
      <x:c r="P105" s="46" t="str">
        <x:v>لا</x:v>
      </x:c>
      <x:c r="Q105" s="46" t="str">
        <x:v>لا</x:v>
      </x:c>
      <x:c r="R105" s="46" t="str">
        <x:v>نعم</x:v>
      </x:c>
      <x:c r="S105" s="46" t="str">
        <x:v>kitchen</x:v>
      </x:c>
      <x:c r="T105" s="46" t="str">
        <x:v>لا</x:v>
      </x:c>
      <x:c r="U105" s="46" t="str">
        <x:v>لا</x:v>
      </x:c>
      <x:c r="V105" s="46" t="str">
        <x:v>لا</x:v>
      </x:c>
      <x:c r="W105" s="96" t="n">
        <x:v>104</x:v>
      </x:c>
      <x:c r="X105" s="46" t="str">
        <x:v>طبق يومي مقترح.</x:v>
      </x:c>
      <x:c r="Y105" s="46" t="str"/>
      <x:c r="Z105" s="46" t="str">
        <x:v>ينشأ غير متاح ومخفي حتى مراجعة الفريق.</x:v>
      </x:c>
    </x:row>
    <x:row r="106">
      <x:c r="A106" s="46" t="str">
        <x:v>CREATE_INACTIVE</x:v>
      </x:c>
      <x:c r="B106" s="46" t="str">
        <x:v>بحاجة مراجعة</x:v>
      </x:c>
      <x:c r="C106" s="46" t="str">
        <x:v>daily_kibbeh_tray</x:v>
      </x:c>
      <x:c r="D106" s="46" t="str">
        <x:v>كبة بالصينية</x:v>
      </x:c>
      <x:c r="E106" s="46" t="str">
        <x:v>Kibbeh Tray</x:v>
      </x:c>
      <x:c r="F106" s="96"/>
      <x:c r="G106" s="46" t="str">
        <x:v>key</x:v>
      </x:c>
      <x:c r="H106" s="46" t="str">
        <x:v>طبق اليوم</x:v>
      </x:c>
      <x:c r="I106" s="46" t="str">
        <x:v>food</x:v>
      </x:c>
      <x:c r="J106" s="46" t="str">
        <x:v>food</x:v>
      </x:c>
      <x:c r="K106" s="46" t="str">
        <x:v>daily_dish</x:v>
      </x:c>
      <x:c r="L106" s="92"/>
      <x:c r="M106" s="46" t="str">
        <x:v>لا</x:v>
      </x:c>
      <x:c r="N106" s="46" t="str">
        <x:v>لا</x:v>
      </x:c>
      <x:c r="O106" s="46" t="str">
        <x:v>لا</x:v>
      </x:c>
      <x:c r="P106" s="46" t="str">
        <x:v>لا</x:v>
      </x:c>
      <x:c r="Q106" s="46" t="str">
        <x:v>لا</x:v>
      </x:c>
      <x:c r="R106" s="46" t="str">
        <x:v>نعم</x:v>
      </x:c>
      <x:c r="S106" s="46" t="str">
        <x:v>kitchen</x:v>
      </x:c>
      <x:c r="T106" s="46" t="str">
        <x:v>لا</x:v>
      </x:c>
      <x:c r="U106" s="46" t="str">
        <x:v>لا</x:v>
      </x:c>
      <x:c r="V106" s="46" t="str">
        <x:v>لا</x:v>
      </x:c>
      <x:c r="W106" s="96" t="n">
        <x:v>105</x:v>
      </x:c>
      <x:c r="X106" s="46" t="str">
        <x:v>طبق يومي مقترح.</x:v>
      </x:c>
      <x:c r="Y106" s="46" t="str"/>
      <x:c r="Z106" s="46" t="str">
        <x:v>ينشأ غير متاح ومخفي حتى مراجعة الفريق.</x:v>
      </x:c>
    </x:row>
    <x:row r="107">
      <x:c r="A107" s="46" t="str">
        <x:v>CREATE_INACTIVE</x:v>
      </x:c>
      <x:c r="B107" s="46" t="str">
        <x:v>بحاجة مراجعة</x:v>
      </x:c>
      <x:c r="C107" s="46" t="str">
        <x:v>daily_chicken_tray</x:v>
      </x:c>
      <x:c r="D107" s="46" t="str">
        <x:v>صينية دجاج</x:v>
      </x:c>
      <x:c r="E107" s="46" t="str">
        <x:v>Chicken Tray</x:v>
      </x:c>
      <x:c r="F107" s="96"/>
      <x:c r="G107" s="46" t="str">
        <x:v>key</x:v>
      </x:c>
      <x:c r="H107" s="46" t="str">
        <x:v>طبق اليوم</x:v>
      </x:c>
      <x:c r="I107" s="46" t="str">
        <x:v>food</x:v>
      </x:c>
      <x:c r="J107" s="46" t="str">
        <x:v>food</x:v>
      </x:c>
      <x:c r="K107" s="46" t="str">
        <x:v>daily_dish</x:v>
      </x:c>
      <x:c r="L107" s="92"/>
      <x:c r="M107" s="46" t="str">
        <x:v>لا</x:v>
      </x:c>
      <x:c r="N107" s="46" t="str">
        <x:v>لا</x:v>
      </x:c>
      <x:c r="O107" s="46" t="str">
        <x:v>لا</x:v>
      </x:c>
      <x:c r="P107" s="46" t="str">
        <x:v>لا</x:v>
      </x:c>
      <x:c r="Q107" s="46" t="str">
        <x:v>لا</x:v>
      </x:c>
      <x:c r="R107" s="46" t="str">
        <x:v>نعم</x:v>
      </x:c>
      <x:c r="S107" s="46" t="str">
        <x:v>kitchen</x:v>
      </x:c>
      <x:c r="T107" s="46" t="str">
        <x:v>لا</x:v>
      </x:c>
      <x:c r="U107" s="46" t="str">
        <x:v>لا</x:v>
      </x:c>
      <x:c r="V107" s="46" t="str">
        <x:v>لا</x:v>
      </x:c>
      <x:c r="W107" s="96" t="n">
        <x:v>106</x:v>
      </x:c>
      <x:c r="X107" s="46" t="str">
        <x:v>طبق يومي مقترح.</x:v>
      </x:c>
      <x:c r="Y107" s="46" t="str"/>
      <x:c r="Z107" s="46" t="str">
        <x:v>ينشأ غير متاح ومخفي حتى مراجعة الفريق.</x:v>
      </x:c>
    </x:row>
    <x:row r="108">
      <x:c r="A108" s="46" t="str">
        <x:v>CREATE_INACTIVE</x:v>
      </x:c>
      <x:c r="B108" s="46" t="str">
        <x:v>بحاجة مراجعة</x:v>
      </x:c>
      <x:c r="C108" s="46" t="str">
        <x:v>daily_loubieh_oil</x:v>
      </x:c>
      <x:c r="D108" s="46" t="str">
        <x:v>لوبيا بزيت</x:v>
      </x:c>
      <x:c r="E108" s="46" t="str">
        <x:v>Green Beans in Olive Oil</x:v>
      </x:c>
      <x:c r="F108" s="96"/>
      <x:c r="G108" s="46" t="str">
        <x:v>key</x:v>
      </x:c>
      <x:c r="H108" s="46" t="str">
        <x:v>طبق اليوم</x:v>
      </x:c>
      <x:c r="I108" s="46" t="str">
        <x:v>food</x:v>
      </x:c>
      <x:c r="J108" s="46" t="str">
        <x:v>food</x:v>
      </x:c>
      <x:c r="K108" s="46" t="str">
        <x:v>daily_dish</x:v>
      </x:c>
      <x:c r="L108" s="92"/>
      <x:c r="M108" s="46" t="str">
        <x:v>لا</x:v>
      </x:c>
      <x:c r="N108" s="46" t="str">
        <x:v>لا</x:v>
      </x:c>
      <x:c r="O108" s="46" t="str">
        <x:v>لا</x:v>
      </x:c>
      <x:c r="P108" s="46" t="str">
        <x:v>لا</x:v>
      </x:c>
      <x:c r="Q108" s="46" t="str">
        <x:v>لا</x:v>
      </x:c>
      <x:c r="R108" s="46" t="str">
        <x:v>نعم</x:v>
      </x:c>
      <x:c r="S108" s="46" t="str">
        <x:v>kitchen</x:v>
      </x:c>
      <x:c r="T108" s="46" t="str">
        <x:v>لا</x:v>
      </x:c>
      <x:c r="U108" s="46" t="str">
        <x:v>لا</x:v>
      </x:c>
      <x:c r="V108" s="46" t="str">
        <x:v>لا</x:v>
      </x:c>
      <x:c r="W108" s="96" t="n">
        <x:v>107</x:v>
      </x:c>
      <x:c r="X108" s="46" t="str">
        <x:v>طبق يومي نباتي مقترح.</x:v>
      </x:c>
      <x:c r="Y108" s="46" t="str"/>
      <x:c r="Z108" s="46" t="str">
        <x:v>ينشأ غير متاح ومخفي حتى مراجعة الفريق.</x:v>
      </x:c>
    </x:row>
    <x:row r="109">
      <x:c r="A109" s="46" t="str">
        <x:v>CREATE_INACTIVE</x:v>
      </x:c>
      <x:c r="B109" s="46" t="str">
        <x:v>بحاجة مراجعة</x:v>
      </x:c>
      <x:c r="C109" s="46" t="str">
        <x:v>daily_spicy_fish</x:v>
      </x:c>
      <x:c r="D109" s="46" t="str">
        <x:v>سمكة حارة</x:v>
      </x:c>
      <x:c r="E109" s="46" t="str">
        <x:v>Spicy Fish</x:v>
      </x:c>
      <x:c r="F109" s="96"/>
      <x:c r="G109" s="46" t="str">
        <x:v>key</x:v>
      </x:c>
      <x:c r="H109" s="46" t="str">
        <x:v>طبق اليوم</x:v>
      </x:c>
      <x:c r="I109" s="46" t="str">
        <x:v>food</x:v>
      </x:c>
      <x:c r="J109" s="46" t="str">
        <x:v>food</x:v>
      </x:c>
      <x:c r="K109" s="46" t="str">
        <x:v>daily_dish</x:v>
      </x:c>
      <x:c r="L109" s="92"/>
      <x:c r="M109" s="46" t="str">
        <x:v>لا</x:v>
      </x:c>
      <x:c r="N109" s="46" t="str">
        <x:v>لا</x:v>
      </x:c>
      <x:c r="O109" s="46" t="str">
        <x:v>لا</x:v>
      </x:c>
      <x:c r="P109" s="46" t="str">
        <x:v>لا</x:v>
      </x:c>
      <x:c r="Q109" s="46" t="str">
        <x:v>لا</x:v>
      </x:c>
      <x:c r="R109" s="46" t="str">
        <x:v>نعم</x:v>
      </x:c>
      <x:c r="S109" s="46" t="str">
        <x:v>kitchen</x:v>
      </x:c>
      <x:c r="T109" s="46" t="str">
        <x:v>لا</x:v>
      </x:c>
      <x:c r="U109" s="46" t="str">
        <x:v>لا</x:v>
      </x:c>
      <x:c r="V109" s="46" t="str">
        <x:v>لا</x:v>
      </x:c>
      <x:c r="W109" s="96" t="n">
        <x:v>108</x:v>
      </x:c>
      <x:c r="X109" s="46" t="str">
        <x:v>طبق يومي مقترح.</x:v>
      </x:c>
      <x:c r="Y109" s="46" t="str"/>
      <x:c r="Z109" s="46" t="str">
        <x:v>ينشأ غير متاح ومخفي حتى مراجعة الفريق.</x:v>
      </x:c>
    </x:row>
    <x:row r="110">
      <x:c r="A110" s="46" t="str">
        <x:v>CREATE_INACTIVE</x:v>
      </x:c>
      <x:c r="B110" s="46" t="str">
        <x:v>بحاجة مراجعة</x:v>
      </x:c>
      <x:c r="C110" s="46" t="str">
        <x:v>daily_moghrabieh</x:v>
      </x:c>
      <x:c r="D110" s="46" t="str">
        <x:v>مغربية</x:v>
      </x:c>
      <x:c r="E110" s="46" t="str">
        <x:v>Moghrabieh</x:v>
      </x:c>
      <x:c r="F110" s="96"/>
      <x:c r="G110" s="46" t="str">
        <x:v>key</x:v>
      </x:c>
      <x:c r="H110" s="46" t="str">
        <x:v>طبق اليوم</x:v>
      </x:c>
      <x:c r="I110" s="46" t="str">
        <x:v>food</x:v>
      </x:c>
      <x:c r="J110" s="46" t="str">
        <x:v>food</x:v>
      </x:c>
      <x:c r="K110" s="46" t="str">
        <x:v>daily_dish</x:v>
      </x:c>
      <x:c r="L110" s="92"/>
      <x:c r="M110" s="46" t="str">
        <x:v>لا</x:v>
      </x:c>
      <x:c r="N110" s="46" t="str">
        <x:v>لا</x:v>
      </x:c>
      <x:c r="O110" s="46" t="str">
        <x:v>لا</x:v>
      </x:c>
      <x:c r="P110" s="46" t="str">
        <x:v>لا</x:v>
      </x:c>
      <x:c r="Q110" s="46" t="str">
        <x:v>لا</x:v>
      </x:c>
      <x:c r="R110" s="46" t="str">
        <x:v>نعم</x:v>
      </x:c>
      <x:c r="S110" s="46" t="str">
        <x:v>kitchen</x:v>
      </x:c>
      <x:c r="T110" s="46" t="str">
        <x:v>لا</x:v>
      </x:c>
      <x:c r="U110" s="46" t="str">
        <x:v>لا</x:v>
      </x:c>
      <x:c r="V110" s="46" t="str">
        <x:v>لا</x:v>
      </x:c>
      <x:c r="W110" s="96" t="n">
        <x:v>109</x:v>
      </x:c>
      <x:c r="X110" s="46" t="str">
        <x:v>طبق يومي مقترح.</x:v>
      </x:c>
      <x:c r="Y110" s="46" t="str"/>
      <x:c r="Z110" s="46" t="str">
        <x:v>ينشأ غير متاح ومخفي حتى مراجعة الفريق.</x:v>
      </x:c>
    </x:row>
    <x:row r="111">
      <x:c r="A111" s="46" t="str">
        <x:v>CREATE_INACTIVE</x:v>
      </x:c>
      <x:c r="B111" s="46" t="str">
        <x:v>بحاجة مراجعة</x:v>
      </x:c>
      <x:c r="C111" s="46" t="str">
        <x:v>daily_freekeh_chicken</x:v>
      </x:c>
      <x:c r="D111" s="46" t="str">
        <x:v>فريكة بالدجاج</x:v>
      </x:c>
      <x:c r="E111" s="46" t="str">
        <x:v>Chicken Freekeh</x:v>
      </x:c>
      <x:c r="F111" s="96"/>
      <x:c r="G111" s="46" t="str">
        <x:v>key</x:v>
      </x:c>
      <x:c r="H111" s="46" t="str">
        <x:v>طبق اليوم</x:v>
      </x:c>
      <x:c r="I111" s="46" t="str">
        <x:v>food</x:v>
      </x:c>
      <x:c r="J111" s="46" t="str">
        <x:v>food</x:v>
      </x:c>
      <x:c r="K111" s="46" t="str">
        <x:v>daily_dish</x:v>
      </x:c>
      <x:c r="L111" s="92"/>
      <x:c r="M111" s="46" t="str">
        <x:v>لا</x:v>
      </x:c>
      <x:c r="N111" s="46" t="str">
        <x:v>لا</x:v>
      </x:c>
      <x:c r="O111" s="46" t="str">
        <x:v>لا</x:v>
      </x:c>
      <x:c r="P111" s="46" t="str">
        <x:v>لا</x:v>
      </x:c>
      <x:c r="Q111" s="46" t="str">
        <x:v>لا</x:v>
      </x:c>
      <x:c r="R111" s="46" t="str">
        <x:v>نعم</x:v>
      </x:c>
      <x:c r="S111" s="46" t="str">
        <x:v>kitchen</x:v>
      </x:c>
      <x:c r="T111" s="46" t="str">
        <x:v>لا</x:v>
      </x:c>
      <x:c r="U111" s="46" t="str">
        <x:v>لا</x:v>
      </x:c>
      <x:c r="V111" s="46" t="str">
        <x:v>لا</x:v>
      </x:c>
      <x:c r="W111" s="96" t="n">
        <x:v>110</x:v>
      </x:c>
      <x:c r="X111" s="46" t="str">
        <x:v>طبق يومي مقترح.</x:v>
      </x:c>
      <x:c r="Y111" s="46" t="str"/>
      <x:c r="Z111" s="46" t="str">
        <x:v>ينشأ غير متاح ومخفي حتى مراجعة الفريق.</x:v>
      </x:c>
    </x:row>
    <x:row r="112">
      <x:c r="A112" s="46" t="str">
        <x:v>CREATE_INACTIVE</x:v>
      </x:c>
      <x:c r="B112" s="46" t="str">
        <x:v>بحاجة مراجعة</x:v>
      </x:c>
      <x:c r="C112" s="46" t="str">
        <x:v>daily_lasagna</x:v>
      </x:c>
      <x:c r="D112" s="46" t="str">
        <x:v>لازانيا</x:v>
      </x:c>
      <x:c r="E112" s="46" t="str">
        <x:v>Lasagna</x:v>
      </x:c>
      <x:c r="F112" s="96"/>
      <x:c r="G112" s="46" t="str">
        <x:v>key</x:v>
      </x:c>
      <x:c r="H112" s="46" t="str">
        <x:v>طبق اليوم</x:v>
      </x:c>
      <x:c r="I112" s="46" t="str">
        <x:v>food</x:v>
      </x:c>
      <x:c r="J112" s="46" t="str">
        <x:v>food</x:v>
      </x:c>
      <x:c r="K112" s="46" t="str">
        <x:v>daily_dish</x:v>
      </x:c>
      <x:c r="L112" s="92"/>
      <x:c r="M112" s="46" t="str">
        <x:v>لا</x:v>
      </x:c>
      <x:c r="N112" s="46" t="str">
        <x:v>لا</x:v>
      </x:c>
      <x:c r="O112" s="46" t="str">
        <x:v>لا</x:v>
      </x:c>
      <x:c r="P112" s="46" t="str">
        <x:v>لا</x:v>
      </x:c>
      <x:c r="Q112" s="46" t="str">
        <x:v>لا</x:v>
      </x:c>
      <x:c r="R112" s="46" t="str">
        <x:v>نعم</x:v>
      </x:c>
      <x:c r="S112" s="46" t="str">
        <x:v>kitchen</x:v>
      </x:c>
      <x:c r="T112" s="46" t="str">
        <x:v>لا</x:v>
      </x:c>
      <x:c r="U112" s="46" t="str">
        <x:v>لا</x:v>
      </x:c>
      <x:c r="V112" s="46" t="str">
        <x:v>لا</x:v>
      </x:c>
      <x:c r="W112" s="96" t="n">
        <x:v>111</x:v>
      </x:c>
      <x:c r="X112" s="46" t="str">
        <x:v>طبق يومي مقترح.</x:v>
      </x:c>
      <x:c r="Y112" s="46" t="str"/>
      <x:c r="Z112" s="46" t="str">
        <x:v>ينشأ غير متاح ومخفي حتى مراجعة الفريق.</x:v>
      </x:c>
    </x:row>
    <x:row r="113">
      <x:c r="A113" s="46" t="str">
        <x:v>CREATE_INACTIVE</x:v>
      </x:c>
      <x:c r="B113" s="46" t="str">
        <x:v>بحاجة مراجعة</x:v>
      </x:c>
      <x:c r="C113" s="46" t="str">
        <x:v>daily_fried_noodles</x:v>
      </x:c>
      <x:c r="D113" s="46" t="str">
        <x:v>نودلز مقلية</x:v>
      </x:c>
      <x:c r="E113" s="46" t="str">
        <x:v>Fried Noodles</x:v>
      </x:c>
      <x:c r="F113" s="96"/>
      <x:c r="G113" s="46" t="str">
        <x:v>key</x:v>
      </x:c>
      <x:c r="H113" s="46" t="str">
        <x:v>طبق اليوم</x:v>
      </x:c>
      <x:c r="I113" s="46" t="str">
        <x:v>food</x:v>
      </x:c>
      <x:c r="J113" s="46" t="str">
        <x:v>food</x:v>
      </x:c>
      <x:c r="K113" s="46" t="str">
        <x:v>daily_dish</x:v>
      </x:c>
      <x:c r="L113" s="92"/>
      <x:c r="M113" s="46" t="str">
        <x:v>لا</x:v>
      </x:c>
      <x:c r="N113" s="46" t="str">
        <x:v>لا</x:v>
      </x:c>
      <x:c r="O113" s="46" t="str">
        <x:v>لا</x:v>
      </x:c>
      <x:c r="P113" s="46" t="str">
        <x:v>لا</x:v>
      </x:c>
      <x:c r="Q113" s="46" t="str">
        <x:v>لا</x:v>
      </x:c>
      <x:c r="R113" s="46" t="str">
        <x:v>نعم</x:v>
      </x:c>
      <x:c r="S113" s="46" t="str">
        <x:v>kitchen</x:v>
      </x:c>
      <x:c r="T113" s="46" t="str">
        <x:v>لا</x:v>
      </x:c>
      <x:c r="U113" s="46" t="str">
        <x:v>لا</x:v>
      </x:c>
      <x:c r="V113" s="46" t="str">
        <x:v>لا</x:v>
      </x:c>
      <x:c r="W113" s="96" t="n">
        <x:v>112</x:v>
      </x:c>
      <x:c r="X113" s="46" t="str">
        <x:v>طبق يومي مقترح.</x:v>
      </x:c>
      <x:c r="Y113" s="46" t="str"/>
      <x:c r="Z113" s="46" t="str">
        <x:v>ينشأ غير متاح ومخفي حتى مراجعة الفريق.</x:v>
      </x:c>
    </x:row>
    <x:row r="114">
      <x:c r="A114" s="46" t="str">
        <x:v>CREATE_INACTIVE</x:v>
      </x:c>
      <x:c r="B114" s="46" t="str">
        <x:v>بحاجة مراجعة</x:v>
      </x:c>
      <x:c r="C114" s="46" t="str">
        <x:v>daily_soup</x:v>
      </x:c>
      <x:c r="D114" s="46" t="str">
        <x:v>شوربة اليوم</x:v>
      </x:c>
      <x:c r="E114" s="46" t="str">
        <x:v>Soup of the Day</x:v>
      </x:c>
      <x:c r="F114" s="96"/>
      <x:c r="G114" s="46" t="str">
        <x:v>key</x:v>
      </x:c>
      <x:c r="H114" s="46" t="str">
        <x:v>طبق اليوم</x:v>
      </x:c>
      <x:c r="I114" s="46" t="str">
        <x:v>food</x:v>
      </x:c>
      <x:c r="J114" s="46" t="str">
        <x:v>food</x:v>
      </x:c>
      <x:c r="K114" s="46" t="str">
        <x:v>daily_dish</x:v>
      </x:c>
      <x:c r="L114" s="92"/>
      <x:c r="M114" s="46" t="str">
        <x:v>لا</x:v>
      </x:c>
      <x:c r="N114" s="46" t="str">
        <x:v>لا</x:v>
      </x:c>
      <x:c r="O114" s="46" t="str">
        <x:v>لا</x:v>
      </x:c>
      <x:c r="P114" s="46" t="str">
        <x:v>لا</x:v>
      </x:c>
      <x:c r="Q114" s="46" t="str">
        <x:v>لا</x:v>
      </x:c>
      <x:c r="R114" s="46" t="str">
        <x:v>نعم</x:v>
      </x:c>
      <x:c r="S114" s="46" t="str">
        <x:v>kitchen</x:v>
      </x:c>
      <x:c r="T114" s="46" t="str">
        <x:v>لا</x:v>
      </x:c>
      <x:c r="U114" s="46" t="str">
        <x:v>لا</x:v>
      </x:c>
      <x:c r="V114" s="46" t="str">
        <x:v>لا</x:v>
      </x:c>
      <x:c r="W114" s="96" t="n">
        <x:v>113</x:v>
      </x:c>
      <x:c r="X114" s="46" t="str">
        <x:v>شوربة يومية متغيرة.</x:v>
      </x:c>
      <x:c r="Y114" s="46" t="str"/>
      <x:c r="Z114" s="46" t="str">
        <x:v>ينشأ غير متاح ومخفي حتى مراجعة الفريق.</x:v>
      </x:c>
    </x:row>
    <x:row r="115">
      <x:c r="A115" s="46" t="str">
        <x:v>CREATE_INACTIVE</x:v>
      </x:c>
      <x:c r="B115" s="46" t="str">
        <x:v>بحاجة مراجعة</x:v>
      </x:c>
      <x:c r="C115" s="46" t="str">
        <x:v>snack_popcorn</x:v>
      </x:c>
      <x:c r="D115" s="46" t="str">
        <x:v>فشار</x:v>
      </x:c>
      <x:c r="E115" s="46" t="str">
        <x:v>Popcorn</x:v>
      </x:c>
      <x:c r="F115" s="96"/>
      <x:c r="G115" s="46" t="str">
        <x:v>key</x:v>
      </x:c>
      <x:c r="H115" s="46" t="str">
        <x:v>سناكات وحلويات</x:v>
      </x:c>
      <x:c r="I115" s="46" t="str">
        <x:v>food</x:v>
      </x:c>
      <x:c r="J115" s="46" t="str">
        <x:v>food</x:v>
      </x:c>
      <x:c r="K115" s="46" t="str">
        <x:v>snack</x:v>
      </x:c>
      <x:c r="L115" s="92"/>
      <x:c r="M115" s="46" t="str">
        <x:v>لا</x:v>
      </x:c>
      <x:c r="N115" s="46" t="str">
        <x:v>لا</x:v>
      </x:c>
      <x:c r="O115" s="46" t="str">
        <x:v>لا</x:v>
      </x:c>
      <x:c r="P115" s="46" t="str">
        <x:v>لا</x:v>
      </x:c>
      <x:c r="Q115" s="46" t="str">
        <x:v>لا</x:v>
      </x:c>
      <x:c r="R115" s="46" t="str">
        <x:v>نعم</x:v>
      </x:c>
      <x:c r="S115" s="46" t="str">
        <x:v>kitchen</x:v>
      </x:c>
      <x:c r="T115" s="46" t="str">
        <x:v>لا</x:v>
      </x:c>
      <x:c r="U115" s="46" t="str">
        <x:v>لا</x:v>
      </x:c>
      <x:c r="V115" s="46" t="str">
        <x:v>لا</x:v>
      </x:c>
      <x:c r="W115" s="96" t="n">
        <x:v>114</x:v>
      </x:c>
      <x:c r="X115" s="46" t="str">
        <x:v>فشار بسيط.</x:v>
      </x:c>
      <x:c r="Y115" s="46" t="str"/>
      <x:c r="Z115" s="46" t="str">
        <x:v>ينشأ غير متاح ومخفي حتى مراجعة الفريق.</x:v>
      </x:c>
    </x:row>
    <x:row r="116">
      <x:c r="A116" s="46" t="str">
        <x:v>CREATE_INACTIVE</x:v>
      </x:c>
      <x:c r="B116" s="46" t="str">
        <x:v>بحاجة مراجعة</x:v>
      </x:c>
      <x:c r="C116" s="46" t="str">
        <x:v>snack_corn_cup</x:v>
      </x:c>
      <x:c r="D116" s="46" t="str">
        <x:v>كاسة ذرة</x:v>
      </x:c>
      <x:c r="E116" s="46" t="str">
        <x:v>Corn Cup</x:v>
      </x:c>
      <x:c r="F116" s="96"/>
      <x:c r="G116" s="46" t="str">
        <x:v>key</x:v>
      </x:c>
      <x:c r="H116" s="46" t="str">
        <x:v>سناكات وحلويات</x:v>
      </x:c>
      <x:c r="I116" s="46" t="str">
        <x:v>food</x:v>
      </x:c>
      <x:c r="J116" s="46" t="str">
        <x:v>food</x:v>
      </x:c>
      <x:c r="K116" s="46" t="str">
        <x:v>snack</x:v>
      </x:c>
      <x:c r="L116" s="92"/>
      <x:c r="M116" s="46" t="str">
        <x:v>لا</x:v>
      </x:c>
      <x:c r="N116" s="46" t="str">
        <x:v>لا</x:v>
      </x:c>
      <x:c r="O116" s="46" t="str">
        <x:v>لا</x:v>
      </x:c>
      <x:c r="P116" s="46" t="str">
        <x:v>لا</x:v>
      </x:c>
      <x:c r="Q116" s="46" t="str">
        <x:v>لا</x:v>
      </x:c>
      <x:c r="R116" s="46" t="str">
        <x:v>نعم</x:v>
      </x:c>
      <x:c r="S116" s="46" t="str">
        <x:v>kitchen</x:v>
      </x:c>
      <x:c r="T116" s="46" t="str">
        <x:v>لا</x:v>
      </x:c>
      <x:c r="U116" s="46" t="str">
        <x:v>لا</x:v>
      </x:c>
      <x:c r="V116" s="46" t="str">
        <x:v>لا</x:v>
      </x:c>
      <x:c r="W116" s="96" t="n">
        <x:v>115</x:v>
      </x:c>
      <x:c r="X116" s="46" t="str">
        <x:v>ذرة مع إضافات بسيطة.</x:v>
      </x:c>
      <x:c r="Y116" s="46" t="str"/>
      <x:c r="Z116" s="46" t="str">
        <x:v>ينشأ غير متاح ومخفي حتى مراجعة الفريق.</x:v>
      </x:c>
    </x:row>
    <x:row r="117">
      <x:c r="A117" s="46" t="str">
        <x:v>CREATE_INACTIVE</x:v>
      </x:c>
      <x:c r="B117" s="46" t="str">
        <x:v>بحاجة مراجعة</x:v>
      </x:c>
      <x:c r="C117" s="46" t="str">
        <x:v>snack_fries</x:v>
      </x:c>
      <x:c r="D117" s="46" t="str">
        <x:v>بطاطا مقلية</x:v>
      </x:c>
      <x:c r="E117" s="46" t="str">
        <x:v>French Fries</x:v>
      </x:c>
      <x:c r="F117" s="96"/>
      <x:c r="G117" s="46" t="str">
        <x:v>key</x:v>
      </x:c>
      <x:c r="H117" s="46" t="str">
        <x:v>سناكات وحلويات</x:v>
      </x:c>
      <x:c r="I117" s="46" t="str">
        <x:v>food</x:v>
      </x:c>
      <x:c r="J117" s="46" t="str">
        <x:v>food</x:v>
      </x:c>
      <x:c r="K117" s="46" t="str">
        <x:v>snack</x:v>
      </x:c>
      <x:c r="L117" s="92"/>
      <x:c r="M117" s="46" t="str">
        <x:v>لا</x:v>
      </x:c>
      <x:c r="N117" s="46" t="str">
        <x:v>لا</x:v>
      </x:c>
      <x:c r="O117" s="46" t="str">
        <x:v>لا</x:v>
      </x:c>
      <x:c r="P117" s="46" t="str">
        <x:v>لا</x:v>
      </x:c>
      <x:c r="Q117" s="46" t="str">
        <x:v>لا</x:v>
      </x:c>
      <x:c r="R117" s="46" t="str">
        <x:v>نعم</x:v>
      </x:c>
      <x:c r="S117" s="46" t="str">
        <x:v>kitchen</x:v>
      </x:c>
      <x:c r="T117" s="46" t="str">
        <x:v>لا</x:v>
      </x:c>
      <x:c r="U117" s="46" t="str">
        <x:v>لا</x:v>
      </x:c>
      <x:c r="V117" s="46" t="str">
        <x:v>لا</x:v>
      </x:c>
      <x:c r="W117" s="96" t="n">
        <x:v>116</x:v>
      </x:c>
      <x:c r="X117" s="46" t="str">
        <x:v>بطاطا مقلية.</x:v>
      </x:c>
      <x:c r="Y117" s="46" t="str"/>
      <x:c r="Z117" s="46" t="str">
        <x:v>ينشأ غير متاح ومخفي حتى مراجعة الفريق.</x:v>
      </x:c>
    </x:row>
    <x:row r="118">
      <x:c r="A118" s="47" t="str">
        <x:v>CREATE_INACTIVE</x:v>
      </x:c>
      <x:c r="B118" s="47" t="str">
        <x:v>بحاجة مراجعة</x:v>
      </x:c>
      <x:c r="C118" s="47" t="str">
        <x:v>dessert_ice_cream</x:v>
      </x:c>
      <x:c r="D118" s="47" t="str">
        <x:v>آيس كريم</x:v>
      </x:c>
      <x:c r="E118" s="47" t="str">
        <x:v>Ice Cream</x:v>
      </x:c>
      <x:c r="F118" s="97"/>
      <x:c r="G118" s="47" t="str">
        <x:v>key</x:v>
      </x:c>
      <x:c r="H118" s="47" t="str">
        <x:v>سناكات وحلويات</x:v>
      </x:c>
      <x:c r="I118" s="47" t="str">
        <x:v>food</x:v>
      </x:c>
      <x:c r="J118" s="47" t="str">
        <x:v>food</x:v>
      </x:c>
      <x:c r="K118" s="47" t="str">
        <x:v>snack</x:v>
      </x:c>
      <x:c r="L118" s="93"/>
      <x:c r="M118" s="47" t="str">
        <x:v>لا</x:v>
      </x:c>
      <x:c r="N118" s="47" t="str">
        <x:v>لا</x:v>
      </x:c>
      <x:c r="O118" s="47" t="str">
        <x:v>لا</x:v>
      </x:c>
      <x:c r="P118" s="47" t="str">
        <x:v>لا</x:v>
      </x:c>
      <x:c r="Q118" s="47" t="str">
        <x:v>لا</x:v>
      </x:c>
      <x:c r="R118" s="47" t="str">
        <x:v>نعم</x:v>
      </x:c>
      <x:c r="S118" s="47" t="str">
        <x:v>kitchen</x:v>
      </x:c>
      <x:c r="T118" s="47" t="str">
        <x:v>لا</x:v>
      </x:c>
      <x:c r="U118" s="47" t="str">
        <x:v>لا</x:v>
      </x:c>
      <x:c r="V118" s="47" t="str">
        <x:v>لا</x:v>
      </x:c>
      <x:c r="W118" s="97" t="n">
        <x:v>117</x:v>
      </x:c>
      <x:c r="X118" s="47" t="str">
        <x:v>حصة آيس كريم.</x:v>
      </x:c>
      <x:c r="Y118" s="47" t="str"/>
      <x:c r="Z118" s="47" t="str">
        <x:v>ينشأ غير متاح ومخفي حتى مراجعة الفريق.</x:v>
      </x:c>
    </x:row>
  </x:sheetData>
  <x:conditionalFormatting sqref="A2:A118">
    <x:cfRule type="expression" dxfId="0" priority="1">
      <x:formula>A2="CREATE_INACTIVE"</x:formula>
    </x:cfRule>
    <x:cfRule type="expression" dxfId="1" priority="2">
      <x:formula>A2="UPDATE_KEY_ONLY"</x:formula>
    </x:cfRule>
    <x:cfRule type="expression" dxfId="2" priority="3">
      <x:formula>A2="MATCH_ONLY"</x:formula>
    </x:cfRule>
  </x:conditionalFormatting>
  <x:conditionalFormatting sqref="B2:B118">
    <x:cfRule type="expression" dxfId="3" priority="4">
      <x:formula>B2="بحاجة مراجعة"</x:formula>
    </x:cfRule>
  </x:conditionalFormatting>
  <x:dataValidations count="15">
    <x:dataValidation type="list" sqref="A2:A118">
      <x:formula1>"MATCH_ONLY,UPDATE_KEY_ONLY,CREATE_INACTIVE,SKIP"</x:formula1>
    </x:dataValidation>
    <x:dataValidation type="list" sqref="B2:B118">
      <x:formula1>"موجود في النظام,بحاجة مراجعة,مراجع"</x:formula1>
    </x:dataValidation>
    <x:dataValidation type="list" sqref="G2:G118">
      <x:formula1>"key,name_ar"</x:formula1>
    </x:dataValidation>
    <x:dataValidation type="list" sqref="M2:M118">
      <x:formula1>"نعم,لا"</x:formula1>
    </x:dataValidation>
    <x:dataValidation type="list" sqref="N2:N118">
      <x:formula1>"نعم,لا"</x:formula1>
    </x:dataValidation>
    <x:dataValidation type="list" sqref="O2:O118">
      <x:formula1>"نعم,لا"</x:formula1>
    </x:dataValidation>
    <x:dataValidation type="list" sqref="P2:P118">
      <x:formula1>"نعم,لا"</x:formula1>
    </x:dataValidation>
    <x:dataValidation type="list" sqref="Q2:Q118">
      <x:formula1>"نعم,لا"</x:formula1>
    </x:dataValidation>
    <x:dataValidation type="list" sqref="R2:R118">
      <x:formula1>"نعم,لا"</x:formula1>
    </x:dataValidation>
    <x:dataValidation type="list" sqref="T2:T118">
      <x:formula1>"نعم,لا"</x:formula1>
    </x:dataValidation>
    <x:dataValidation type="list" sqref="U2:U118">
      <x:formula1>"نعم,لا"</x:formula1>
    </x:dataValidation>
    <x:dataValidation type="list" sqref="V2:V118">
      <x:formula1>"نعم,لا"</x:formula1>
    </x:dataValidation>
    <x:dataValidation type="list" sqref="I2:I118">
      <x:formula1>"food,drink,service,internet,event,membership,other"</x:formula1>
    </x:dataValidation>
    <x:dataValidation type="list" sqref="J2:J118">
      <x:formula1>"food,beverage,service,event_ticket,reservation,membership,retail,addon"</x:formula1>
    </x:dataValidation>
    <x:dataValidation type="list" sqref="S2:S118">
      <x:formula1>"bar,kitchen"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86775a33f84d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27" hidden="0" customWidth="1"/>
    <x:col min="5" max="5" width="25" hidden="0" customWidth="1"/>
    <x:col min="6" max="6" width="22" hidden="0" customWidth="1"/>
    <x:col min="7" max="7" width="13" hidden="0" customWidth="1"/>
    <x:col min="8" max="8" width="14" hidden="0" customWidth="1"/>
    <x:col min="9" max="9" width="14" hidden="0" customWidth="1"/>
    <x:col min="10" max="10" width="18" hidden="0" customWidth="1"/>
    <x:col min="11" max="11" width="20" hidden="0" customWidth="1"/>
    <x:col min="12" max="12" width="9" hidden="0" customWidth="1"/>
    <x:col min="13" max="13" width="42" hidden="0" customWidth="1"/>
  </x:cols>
  <x:sheetData>
    <x:row r="1" ht="36" customHeight="1">
      <x:c r="A1" s="81" t="str">
        <x:v>إجراء الاستيراد</x:v>
      </x:c>
      <x:c r="B1" s="82" t="str">
        <x:v>حالة المراجعة</x:v>
      </x:c>
      <x:c r="C1" s="82" t="str">
        <x:v>Code</x:v>
      </x:c>
      <x:c r="D1" s="82" t="str">
        <x:v>مادة مخزون</x:v>
      </x:c>
      <x:c r="E1" s="82" t="str">
        <x:v>Name EN</x:v>
      </x:c>
      <x:c r="F1" s="82" t="str">
        <x:v>نوع المادة</x:v>
      </x:c>
      <x:c r="G1" s="82" t="str">
        <x:v>وحدة القياس</x:v>
      </x:c>
      <x:c r="H1" s="82" t="str">
        <x:v>الكمية الحالية</x:v>
      </x:c>
      <x:c r="I1" s="82" t="str">
        <x:v>حد التنبيه</x:v>
      </x:c>
      <x:c r="J1" s="82" t="str">
        <x:v>الكلفة التقديرية للوحدة</x:v>
      </x:c>
      <x:c r="K1" s="82" t="str">
        <x:v>المورد المفضل</x:v>
      </x:c>
      <x:c r="L1" s="82" t="str">
        <x:v>نشط</x:v>
      </x:c>
      <x:c r="M1" s="83" t="str">
        <x:v>ملاحظات</x:v>
      </x:c>
    </x:row>
    <x:row r="2">
      <x:c r="A2" s="46" t="str">
        <x:v>MATCH_ONLY</x:v>
      </x:c>
      <x:c r="B2" s="46" t="str">
        <x:v>موجود في النظام</x:v>
      </x:c>
      <x:c r="C2" s="46" t="str">
        <x:v>ING-VEG-POTATO</x:v>
      </x:c>
      <x:c r="D2" s="46" t="str">
        <x:v>بطاطا</x:v>
      </x:c>
      <x:c r="E2" s="46" t="str">
        <x:v>Potato</x:v>
      </x:c>
      <x:c r="F2" s="46" t="str">
        <x:v>مكوّن</x:v>
      </x:c>
      <x:c r="G2" s="46" t="str">
        <x:v>كغ</x:v>
      </x:c>
      <x:c r="H2" s="46"/>
      <x:c r="I2" s="46"/>
      <x:c r="J2" s="100" t="n">
        <x:v>7000</x:v>
      </x:c>
      <x:c r="K2" s="46"/>
      <x:c r="L2" s="46" t="str">
        <x:v>نعم</x:v>
      </x:c>
      <x:c r="M2" s="46" t="str">
        <x:v>مرجع سعر المشروع: 7,000 ل.س/كغ.</x:v>
      </x:c>
    </x:row>
    <x:row r="3">
      <x:c r="A3" s="46" t="str">
        <x:v>MATCH_ONLY</x:v>
      </x:c>
      <x:c r="B3" s="46" t="str">
        <x:v>موجود في النظام</x:v>
      </x:c>
      <x:c r="C3" s="46" t="str">
        <x:v>ING-VEG-ONION</x:v>
      </x:c>
      <x:c r="D3" s="46" t="str">
        <x:v>بصل</x:v>
      </x:c>
      <x:c r="E3" s="46" t="str">
        <x:v>Onion</x:v>
      </x:c>
      <x:c r="F3" s="46" t="str">
        <x:v>مكوّن</x:v>
      </x:c>
      <x:c r="G3" s="46" t="str">
        <x:v>كغ</x:v>
      </x:c>
      <x:c r="H3" s="46"/>
      <x:c r="I3" s="46"/>
      <x:c r="J3" s="100" t="n">
        <x:v>12000</x:v>
      </x:c>
      <x:c r="K3" s="46"/>
      <x:c r="L3" s="46" t="str">
        <x:v>نعم</x:v>
      </x:c>
      <x:c r="M3" s="46" t="str">
        <x:v>مرجع سعر المشروع: 12,000 ل.س/كغ.</x:v>
      </x:c>
    </x:row>
    <x:row r="4">
      <x:c r="A4" s="46" t="str">
        <x:v>MATCH_ONLY</x:v>
      </x:c>
      <x:c r="B4" s="46" t="str">
        <x:v>موجود في النظام</x:v>
      </x:c>
      <x:c r="C4" s="46" t="str">
        <x:v>ING-VEG-ZUCCHINI</x:v>
      </x:c>
      <x:c r="D4" s="46" t="str">
        <x:v>كوسا</x:v>
      </x:c>
      <x:c r="E4" s="46" t="str">
        <x:v>Zucchini</x:v>
      </x:c>
      <x:c r="F4" s="46" t="str">
        <x:v>مكوّن</x:v>
      </x:c>
      <x:c r="G4" s="46" t="str">
        <x:v>كغ</x:v>
      </x:c>
      <x:c r="H4" s="46"/>
      <x:c r="I4" s="46"/>
      <x:c r="J4" s="100" t="n">
        <x:v>8000</x:v>
      </x:c>
      <x:c r="K4" s="46"/>
      <x:c r="L4" s="46" t="str">
        <x:v>نعم</x:v>
      </x:c>
      <x:c r="M4" s="46" t="str">
        <x:v>مرجع سعر المشروع: 8,000 ل.س/كغ.</x:v>
      </x:c>
    </x:row>
    <x:row r="5">
      <x:c r="A5" s="46" t="str">
        <x:v>MATCH_ONLY</x:v>
      </x:c>
      <x:c r="B5" s="46" t="str">
        <x:v>موجود في النظام</x:v>
      </x:c>
      <x:c r="C5" s="46" t="str">
        <x:v>ING-FRT-LEMON</x:v>
      </x:c>
      <x:c r="D5" s="46" t="str">
        <x:v>ليمون</x:v>
      </x:c>
      <x:c r="E5" s="46" t="str">
        <x:v>Lemon</x:v>
      </x:c>
      <x:c r="F5" s="46" t="str">
        <x:v>مكوّن</x:v>
      </x:c>
      <x:c r="G5" s="46" t="str">
        <x:v>كغ</x:v>
      </x:c>
      <x:c r="H5" s="46"/>
      <x:c r="I5" s="46"/>
      <x:c r="J5" s="100" t="n">
        <x:v>30000</x:v>
      </x:c>
      <x:c r="K5" s="46"/>
      <x:c r="L5" s="46" t="str">
        <x:v>نعم</x:v>
      </x:c>
      <x:c r="M5" s="46" t="str">
        <x:v>مرجع سعر المشروع: 30,000 ل.س/كغ.</x:v>
      </x:c>
    </x:row>
    <x:row r="6">
      <x:c r="A6" s="46" t="str">
        <x:v>MATCH_ONLY</x:v>
      </x:c>
      <x:c r="B6" s="46" t="str">
        <x:v>موجود في النظام</x:v>
      </x:c>
      <x:c r="C6" s="46" t="str">
        <x:v>ING-VEG-TOMATO</x:v>
      </x:c>
      <x:c r="D6" s="46" t="str">
        <x:v>بندورة</x:v>
      </x:c>
      <x:c r="E6" s="46" t="str">
        <x:v>Tomato</x:v>
      </x:c>
      <x:c r="F6" s="46" t="str">
        <x:v>مكوّن</x:v>
      </x:c>
      <x:c r="G6" s="46" t="str">
        <x:v>كغ</x:v>
      </x:c>
      <x:c r="H6" s="46"/>
      <x:c r="I6" s="46"/>
      <x:c r="J6" s="100" t="n">
        <x:v>9000</x:v>
      </x:c>
      <x:c r="K6" s="46"/>
      <x:c r="L6" s="46" t="str">
        <x:v>نعم</x:v>
      </x:c>
      <x:c r="M6" s="46" t="str">
        <x:v>مرجع سعر المشروع: 9,000 ل.س/كغ.</x:v>
      </x:c>
    </x:row>
    <x:row r="7">
      <x:c r="A7" s="46" t="str">
        <x:v>MATCH_ONLY</x:v>
      </x:c>
      <x:c r="B7" s="46" t="str">
        <x:v>موجود في النظام</x:v>
      </x:c>
      <x:c r="C7" s="46" t="str">
        <x:v>ING-VEG-GREENBEAN</x:v>
      </x:c>
      <x:c r="D7" s="46" t="str">
        <x:v>فاصوليا خضراء</x:v>
      </x:c>
      <x:c r="E7" s="46" t="str">
        <x:v>Green Beans</x:v>
      </x:c>
      <x:c r="F7" s="46" t="str">
        <x:v>مكوّن</x:v>
      </x:c>
      <x:c r="G7" s="46" t="str">
        <x:v>كغ</x:v>
      </x:c>
      <x:c r="H7" s="46"/>
      <x:c r="I7" s="46"/>
      <x:c r="J7" s="100" t="n">
        <x:v>15500</x:v>
      </x:c>
      <x:c r="K7" s="46"/>
      <x:c r="L7" s="46" t="str">
        <x:v>نعم</x:v>
      </x:c>
      <x:c r="M7" s="46" t="str">
        <x:v>مرجع سعر المشروع: 15,500 ل.س/كغ.</x:v>
      </x:c>
    </x:row>
    <x:row r="8">
      <x:c r="A8" s="46" t="str">
        <x:v>MATCH_ONLY</x:v>
      </x:c>
      <x:c r="B8" s="46" t="str">
        <x:v>موجود في النظام</x:v>
      </x:c>
      <x:c r="C8" s="46" t="str">
        <x:v>ING-VEG-RADISH</x:v>
      </x:c>
      <x:c r="D8" s="46" t="str">
        <x:v>فجل</x:v>
      </x:c>
      <x:c r="E8" s="46" t="str">
        <x:v>Radish</x:v>
      </x:c>
      <x:c r="F8" s="46" t="str">
        <x:v>مكوّن</x:v>
      </x:c>
      <x:c r="G8" s="46" t="str">
        <x:v>عبوة</x:v>
      </x:c>
      <x:c r="H8" s="46"/>
      <x:c r="I8" s="46"/>
      <x:c r="J8" s="100" t="n">
        <x:v>2000</x:v>
      </x:c>
      <x:c r="K8" s="46"/>
      <x:c r="L8" s="46" t="str">
        <x:v>نعم</x:v>
      </x:c>
      <x:c r="M8" s="46" t="str">
        <x:v>العبوة المقصودة جرزة، نحو 4–5 حبات.</x:v>
      </x:c>
    </x:row>
    <x:row r="9">
      <x:c r="A9" s="46" t="str">
        <x:v>MATCH_ONLY</x:v>
      </x:c>
      <x:c r="B9" s="46" t="str">
        <x:v>موجود في النظام</x:v>
      </x:c>
      <x:c r="C9" s="46" t="str">
        <x:v>ING-VEG-EGGPLANT</x:v>
      </x:c>
      <x:c r="D9" s="46" t="str">
        <x:v>باذنجان</x:v>
      </x:c>
      <x:c r="E9" s="46" t="str">
        <x:v>Eggplant</x:v>
      </x:c>
      <x:c r="F9" s="46" t="str">
        <x:v>مكوّن</x:v>
      </x:c>
      <x:c r="G9" s="46" t="str">
        <x:v>كغ</x:v>
      </x:c>
      <x:c r="H9" s="46"/>
      <x:c r="I9" s="46"/>
      <x:c r="J9" s="100" t="n">
        <x:v>5000</x:v>
      </x:c>
      <x:c r="K9" s="46"/>
      <x:c r="L9" s="46" t="str">
        <x:v>نعم</x:v>
      </x:c>
      <x:c r="M9" s="46" t="str">
        <x:v>مرجع سعر المشروع: 5,000 ل.س/كغ.</x:v>
      </x:c>
    </x:row>
    <x:row r="10">
      <x:c r="A10" s="46" t="str">
        <x:v>MATCH_ONLY</x:v>
      </x:c>
      <x:c r="B10" s="46" t="str">
        <x:v>موجود في النظام</x:v>
      </x:c>
      <x:c r="C10" s="46" t="str">
        <x:v>ING-VEG-HOTPEPPER</x:v>
      </x:c>
      <x:c r="D10" s="46" t="str">
        <x:v>فليفلة حارة</x:v>
      </x:c>
      <x:c r="E10" s="46" t="str">
        <x:v>Hot Pepper</x:v>
      </x:c>
      <x:c r="F10" s="46" t="str">
        <x:v>مكوّن</x:v>
      </x:c>
      <x:c r="G10" s="46" t="str">
        <x:v>كغ</x:v>
      </x:c>
      <x:c r="H10" s="46"/>
      <x:c r="I10" s="46"/>
      <x:c r="J10" s="100" t="n">
        <x:v>10000</x:v>
      </x:c>
      <x:c r="K10" s="46"/>
      <x:c r="L10" s="46" t="str">
        <x:v>نعم</x:v>
      </x:c>
      <x:c r="M10" s="46" t="str">
        <x:v>مرجع سعر المشروع: 10,000 ل.س/كغ.</x:v>
      </x:c>
    </x:row>
    <x:row r="11">
      <x:c r="A11" s="46" t="str">
        <x:v>MATCH_ONLY</x:v>
      </x:c>
      <x:c r="B11" s="46" t="str">
        <x:v>موجود في النظام</x:v>
      </x:c>
      <x:c r="C11" s="46" t="str">
        <x:v>ING-VEG-BELLPEPPER</x:v>
      </x:c>
      <x:c r="D11" s="46" t="str">
        <x:v>فليفلة حلوة</x:v>
      </x:c>
      <x:c r="E11" s="46" t="str">
        <x:v>Bell Pepper</x:v>
      </x:c>
      <x:c r="F11" s="46" t="str">
        <x:v>مكوّن</x:v>
      </x:c>
      <x:c r="G11" s="46" t="str">
        <x:v>كغ</x:v>
      </x:c>
      <x:c r="H11" s="46"/>
      <x:c r="I11" s="46"/>
      <x:c r="J11" s="100" t="n">
        <x:v>9000</x:v>
      </x:c>
      <x:c r="K11" s="46"/>
      <x:c r="L11" s="46" t="str">
        <x:v>نعم</x:v>
      </x:c>
      <x:c r="M11" s="46" t="str">
        <x:v>مرجع سعر المشروع: 9,000 ل.س/كغ.</x:v>
      </x:c>
    </x:row>
    <x:row r="12">
      <x:c r="A12" s="46" t="str">
        <x:v>MATCH_ONLY</x:v>
      </x:c>
      <x:c r="B12" s="46" t="str">
        <x:v>موجود في النظام</x:v>
      </x:c>
      <x:c r="C12" s="46" t="str">
        <x:v>ING-VEG-CUCUMBER</x:v>
      </x:c>
      <x:c r="D12" s="46" t="str">
        <x:v>خيار / بعجور</x:v>
      </x:c>
      <x:c r="E12" s="46" t="str">
        <x:v>Cucumber</x:v>
      </x:c>
      <x:c r="F12" s="46" t="str">
        <x:v>مكوّن</x:v>
      </x:c>
      <x:c r="G12" s="46" t="str">
        <x:v>كغ</x:v>
      </x:c>
      <x:c r="H12" s="46"/>
      <x:c r="I12" s="46"/>
      <x:c r="J12" s="100" t="n">
        <x:v>5000</x:v>
      </x:c>
      <x:c r="K12" s="46"/>
      <x:c r="L12" s="46" t="str">
        <x:v>نعم</x:v>
      </x:c>
      <x:c r="M12" s="46" t="str">
        <x:v>مرجع السعر سُجّل باسم بعجور: 5,000 ل.س/كغ.</x:v>
      </x:c>
    </x:row>
    <x:row r="13">
      <x:c r="A13" s="46" t="str">
        <x:v>MATCH_ONLY</x:v>
      </x:c>
      <x:c r="B13" s="46" t="str">
        <x:v>موجود في النظام</x:v>
      </x:c>
      <x:c r="C13" s="46" t="str">
        <x:v>ING-VEG-GREENPEAS</x:v>
      </x:c>
      <x:c r="D13" s="46" t="str">
        <x:v>بازيلا خضراء</x:v>
      </x:c>
      <x:c r="E13" s="46" t="str">
        <x:v>Green Peas</x:v>
      </x:c>
      <x:c r="F13" s="46" t="str">
        <x:v>مكوّن</x:v>
      </x:c>
      <x:c r="G13" s="46" t="str">
        <x:v>كغ</x:v>
      </x:c>
      <x:c r="H13" s="46"/>
      <x:c r="I13" s="46"/>
      <x:c r="J13" s="100" t="n">
        <x:v>8000</x:v>
      </x:c>
      <x:c r="K13" s="46"/>
      <x:c r="L13" s="46" t="str">
        <x:v>نعم</x:v>
      </x:c>
      <x:c r="M13" s="46" t="str">
        <x:v>مرجع سعر المشروع: 8,000 ل.س/كغ.</x:v>
      </x:c>
    </x:row>
    <x:row r="14">
      <x:c r="A14" s="46" t="str">
        <x:v>MATCH_ONLY</x:v>
      </x:c>
      <x:c r="B14" s="46" t="str">
        <x:v>موجود في النظام</x:v>
      </x:c>
      <x:c r="C14" s="46" t="str">
        <x:v>ING-VEG-REDCABBAGE</x:v>
      </x:c>
      <x:c r="D14" s="46" t="str">
        <x:v>ملفوف أحمر</x:v>
      </x:c>
      <x:c r="E14" s="46" t="str">
        <x:v>Red Cabbage</x:v>
      </x:c>
      <x:c r="F14" s="46" t="str">
        <x:v>مكوّن</x:v>
      </x:c>
      <x:c r="G14" s="46" t="str">
        <x:v>كغ</x:v>
      </x:c>
      <x:c r="H14" s="46"/>
      <x:c r="I14" s="46"/>
      <x:c r="J14" s="100" t="n">
        <x:v>6000</x:v>
      </x:c>
      <x:c r="K14" s="46"/>
      <x:c r="L14" s="46" t="str">
        <x:v>نعم</x:v>
      </x:c>
      <x:c r="M14" s="46" t="str">
        <x:v>مرجع سعر المشروع: 6,000 ل.س/كغ.</x:v>
      </x:c>
    </x:row>
    <x:row r="15">
      <x:c r="A15" s="46" t="str">
        <x:v>MATCH_ONLY</x:v>
      </x:c>
      <x:c r="B15" s="46" t="str">
        <x:v>موجود في النظام</x:v>
      </x:c>
      <x:c r="C15" s="46" t="str">
        <x:v>ING-VEG-GREENCABBAGE</x:v>
      </x:c>
      <x:c r="D15" s="46" t="str">
        <x:v>ملفوف أخضر</x:v>
      </x:c>
      <x:c r="E15" s="46" t="str">
        <x:v>Green Cabbage</x:v>
      </x:c>
      <x:c r="F15" s="46" t="str">
        <x:v>مكوّن</x:v>
      </x:c>
      <x:c r="G15" s="46" t="str">
        <x:v>كغ</x:v>
      </x:c>
      <x:c r="H15" s="46"/>
      <x:c r="I15" s="46"/>
      <x:c r="J15" s="100" t="n">
        <x:v>5000</x:v>
      </x:c>
      <x:c r="K15" s="46"/>
      <x:c r="L15" s="46" t="str">
        <x:v>نعم</x:v>
      </x:c>
      <x:c r="M15" s="46" t="str">
        <x:v>مرجع سعر المشروع: 5,000 ل.س/كغ.</x:v>
      </x:c>
    </x:row>
    <x:row r="16">
      <x:c r="A16" s="46" t="str">
        <x:v>MATCH_ONLY</x:v>
      </x:c>
      <x:c r="B16" s="46" t="str">
        <x:v>موجود في النظام</x:v>
      </x:c>
      <x:c r="C16" s="46" t="str">
        <x:v>ING-VEG-LETTUCE</x:v>
      </x:c>
      <x:c r="D16" s="46" t="str">
        <x:v>خس</x:v>
      </x:c>
      <x:c r="E16" s="46" t="str">
        <x:v>Lettuce</x:v>
      </x:c>
      <x:c r="F16" s="46" t="str">
        <x:v>مكوّن</x:v>
      </x:c>
      <x:c r="G16" s="46" t="str">
        <x:v>عبوة</x:v>
      </x:c>
      <x:c r="H16" s="46"/>
      <x:c r="I16" s="46"/>
      <x:c r="J16" s="100" t="n">
        <x:v>8000</x:v>
      </x:c>
      <x:c r="K16" s="46"/>
      <x:c r="L16" s="46" t="str">
        <x:v>نعم</x:v>
      </x:c>
      <x:c r="M16" s="46" t="str">
        <x:v>العبوة المقصودة جرزة خس.</x:v>
      </x:c>
    </x:row>
    <x:row r="17">
      <x:c r="A17" s="46" t="str">
        <x:v>MATCH_ONLY</x:v>
      </x:c>
      <x:c r="B17" s="46" t="str">
        <x:v>موجود في النظام</x:v>
      </x:c>
      <x:c r="C17" s="46" t="str">
        <x:v>ING-VEG-CARROT</x:v>
      </x:c>
      <x:c r="D17" s="46" t="str">
        <x:v>جزر</x:v>
      </x:c>
      <x:c r="E17" s="46" t="str">
        <x:v>Carrot</x:v>
      </x:c>
      <x:c r="F17" s="46" t="str">
        <x:v>مكوّن</x:v>
      </x:c>
      <x:c r="G17" s="46" t="str">
        <x:v>كغ</x:v>
      </x:c>
      <x:c r="H17" s="46"/>
      <x:c r="I17" s="46"/>
      <x:c r="J17" s="100" t="n">
        <x:v>9000</x:v>
      </x:c>
      <x:c r="K17" s="46"/>
      <x:c r="L17" s="46" t="str">
        <x:v>نعم</x:v>
      </x:c>
      <x:c r="M17" s="46" t="str">
        <x:v>مرجع سعر المشروع: 9,000 ل.س/كغ.</x:v>
      </x:c>
    </x:row>
    <x:row r="18">
      <x:c r="A18" s="46" t="str">
        <x:v>MATCH_ONLY</x:v>
      </x:c>
      <x:c r="B18" s="46" t="str">
        <x:v>موجود في النظام</x:v>
      </x:c>
      <x:c r="C18" s="46" t="str">
        <x:v>ING-VEG-BEET</x:v>
      </x:c>
      <x:c r="D18" s="46" t="str">
        <x:v>شمندر</x:v>
      </x:c>
      <x:c r="E18" s="46" t="str">
        <x:v>Beetroot</x:v>
      </x:c>
      <x:c r="F18" s="46" t="str">
        <x:v>مكوّن</x:v>
      </x:c>
      <x:c r="G18" s="46" t="str">
        <x:v>كغ</x:v>
      </x:c>
      <x:c r="H18" s="46"/>
      <x:c r="I18" s="46"/>
      <x:c r="J18" s="100"/>
      <x:c r="K18" s="46"/>
      <x:c r="L18" s="46" t="str">
        <x:v>نعم</x:v>
      </x:c>
      <x:c r="M18" s="46" t="str">
        <x:v>مطابقة فقط؛ لا تغيير على الرصيد الحالي.</x:v>
      </x:c>
    </x:row>
    <x:row r="19">
      <x:c r="A19" s="46" t="str">
        <x:v>MATCH_ONLY</x:v>
      </x:c>
      <x:c r="B19" s="46" t="str">
        <x:v>موجود في النظام</x:v>
      </x:c>
      <x:c r="C19" s="46" t="str">
        <x:v>ING-VEG-SPINACH</x:v>
      </x:c>
      <x:c r="D19" s="46" t="str">
        <x:v>سبانخ</x:v>
      </x:c>
      <x:c r="E19" s="46" t="str">
        <x:v>Spinach</x:v>
      </x:c>
      <x:c r="F19" s="46" t="str">
        <x:v>مكوّن</x:v>
      </x:c>
      <x:c r="G19" s="46" t="str">
        <x:v>كغ</x:v>
      </x:c>
      <x:c r="H19" s="46"/>
      <x:c r="I19" s="46"/>
      <x:c r="J19" s="100"/>
      <x:c r="K19" s="46"/>
      <x:c r="L19" s="46" t="str">
        <x:v>نعم</x:v>
      </x:c>
      <x:c r="M19" s="46" t="str">
        <x:v>مطابقة فقط؛ لا تغيير على الرصيد الحالي.</x:v>
      </x:c>
    </x:row>
    <x:row r="20">
      <x:c r="A20" s="46" t="str">
        <x:v>MATCH_ONLY</x:v>
      </x:c>
      <x:c r="B20" s="46" t="str">
        <x:v>موجود في النظام</x:v>
      </x:c>
      <x:c r="C20" s="46" t="str">
        <x:v>ING-HERB-CELERY</x:v>
      </x:c>
      <x:c r="D20" s="46" t="str">
        <x:v>كرفس</x:v>
      </x:c>
      <x:c r="E20" s="46" t="str">
        <x:v>Celery</x:v>
      </x:c>
      <x:c r="F20" s="46" t="str">
        <x:v>مكوّن</x:v>
      </x:c>
      <x:c r="G20" s="46" t="str">
        <x:v>عبوة</x:v>
      </x:c>
      <x:c r="H20" s="46"/>
      <x:c r="I20" s="46"/>
      <x:c r="J20" s="100"/>
      <x:c r="K20" s="46"/>
      <x:c r="L20" s="46" t="str">
        <x:v>نعم</x:v>
      </x:c>
      <x:c r="M20" s="46" t="str">
        <x:v>مطابقة فقط؛ لا تغيير على الرصيد الحالي.</x:v>
      </x:c>
    </x:row>
    <x:row r="21">
      <x:c r="A21" s="46" t="str">
        <x:v>MATCH_ONLY</x:v>
      </x:c>
      <x:c r="B21" s="46" t="str">
        <x:v>موجود في النظام</x:v>
      </x:c>
      <x:c r="C21" s="46" t="str">
        <x:v>ING-HERB-SPRINGONION</x:v>
      </x:c>
      <x:c r="D21" s="46" t="str">
        <x:v>بصل أخضر</x:v>
      </x:c>
      <x:c r="E21" s="46" t="str">
        <x:v>Spring Onion</x:v>
      </x:c>
      <x:c r="F21" s="46" t="str">
        <x:v>مكوّن</x:v>
      </x:c>
      <x:c r="G21" s="46" t="str">
        <x:v>عبوة</x:v>
      </x:c>
      <x:c r="H21" s="46"/>
      <x:c r="I21" s="46"/>
      <x:c r="J21" s="100"/>
      <x:c r="K21" s="46"/>
      <x:c r="L21" s="46" t="str">
        <x:v>نعم</x:v>
      </x:c>
      <x:c r="M21" s="46" t="str">
        <x:v>مطابقة فقط؛ لا تغيير على الرصيد الحالي.</x:v>
      </x:c>
    </x:row>
    <x:row r="22">
      <x:c r="A22" s="46" t="str">
        <x:v>MATCH_ONLY</x:v>
      </x:c>
      <x:c r="B22" s="46" t="str">
        <x:v>موجود في النظام</x:v>
      </x:c>
      <x:c r="C22" s="46" t="str">
        <x:v>ING-VEG-GARLIC</x:v>
      </x:c>
      <x:c r="D22" s="46" t="str">
        <x:v>ثوم طازج</x:v>
      </x:c>
      <x:c r="E22" s="46" t="str">
        <x:v>Fresh Garlic</x:v>
      </x:c>
      <x:c r="F22" s="46" t="str">
        <x:v>مكوّن</x:v>
      </x:c>
      <x:c r="G22" s="46" t="str">
        <x:v>كغ</x:v>
      </x:c>
      <x:c r="H22" s="46"/>
      <x:c r="I22" s="46"/>
      <x:c r="J22" s="100" t="n">
        <x:v>8000</x:v>
      </x:c>
      <x:c r="K22" s="46"/>
      <x:c r="L22" s="46" t="str">
        <x:v>نعم</x:v>
      </x:c>
      <x:c r="M22" s="46" t="str">
        <x:v>مرجع سعر المشروع: 8,000 ل.س/كغ.</x:v>
      </x:c>
    </x:row>
    <x:row r="23">
      <x:c r="A23" s="46" t="str">
        <x:v>MATCH_ONLY</x:v>
      </x:c>
      <x:c r="B23" s="46" t="str">
        <x:v>موجود في النظام</x:v>
      </x:c>
      <x:c r="C23" s="46" t="str">
        <x:v>ING-VEG-MUSHROOM</x:v>
      </x:c>
      <x:c r="D23" s="46" t="str">
        <x:v>فطر طازج</x:v>
      </x:c>
      <x:c r="E23" s="46" t="str">
        <x:v>Fresh Mushroom</x:v>
      </x:c>
      <x:c r="F23" s="46" t="str">
        <x:v>مكوّن</x:v>
      </x:c>
      <x:c r="G23" s="46" t="str">
        <x:v>كغ</x:v>
      </x:c>
      <x:c r="H23" s="46"/>
      <x:c r="I23" s="46"/>
      <x:c r="J23" s="100"/>
      <x:c r="K23" s="46"/>
      <x:c r="L23" s="46" t="str">
        <x:v>نعم</x:v>
      </x:c>
      <x:c r="M23" s="46" t="str">
        <x:v>مطابقة فقط؛ لا تغيير على الرصيد الحالي.</x:v>
      </x:c>
    </x:row>
    <x:row r="24">
      <x:c r="A24" s="46" t="str">
        <x:v>MATCH_ONLY</x:v>
      </x:c>
      <x:c r="B24" s="46" t="str">
        <x:v>موجود في النظام</x:v>
      </x:c>
      <x:c r="C24" s="46" t="str">
        <x:v>ING-VEG-SWEETCORN</x:v>
      </x:c>
      <x:c r="D24" s="46" t="str">
        <x:v>ذرة حلوة</x:v>
      </x:c>
      <x:c r="E24" s="46" t="str">
        <x:v>Sweet Corn</x:v>
      </x:c>
      <x:c r="F24" s="46" t="str">
        <x:v>مكوّن</x:v>
      </x:c>
      <x:c r="G24" s="46" t="str">
        <x:v>كغ</x:v>
      </x:c>
      <x:c r="H24" s="46"/>
      <x:c r="I24" s="46"/>
      <x:c r="J24" s="100"/>
      <x:c r="K24" s="46"/>
      <x:c r="L24" s="46" t="str">
        <x:v>نعم</x:v>
      </x:c>
      <x:c r="M24" s="46" t="str">
        <x:v>مطابقة فقط؛ لا تغيير على الرصيد الحالي.</x:v>
      </x:c>
    </x:row>
    <x:row r="25">
      <x:c r="A25" s="46" t="str">
        <x:v>MATCH_ONLY</x:v>
      </x:c>
      <x:c r="B25" s="46" t="str">
        <x:v>موجود في النظام</x:v>
      </x:c>
      <x:c r="C25" s="46" t="str">
        <x:v>ING-VEG-CORNCOB</x:v>
      </x:c>
      <x:c r="D25" s="46" t="str">
        <x:v>عرانيس ذرة</x:v>
      </x:c>
      <x:c r="E25" s="46" t="str">
        <x:v>Corn on the Cob</x:v>
      </x:c>
      <x:c r="F25" s="46" t="str">
        <x:v>مكوّن</x:v>
      </x:c>
      <x:c r="G25" s="46" t="str">
        <x:v>قطعة</x:v>
      </x:c>
      <x:c r="H25" s="46"/>
      <x:c r="I25" s="46"/>
      <x:c r="J25" s="100"/>
      <x:c r="K25" s="46"/>
      <x:c r="L25" s="46" t="str">
        <x:v>نعم</x:v>
      </x:c>
      <x:c r="M25" s="46" t="str">
        <x:v>مطابقة فقط؛ لا تغيير على الرصيد الحالي.</x:v>
      </x:c>
    </x:row>
    <x:row r="26">
      <x:c r="A26" s="46" t="str">
        <x:v>MATCH_ONLY</x:v>
      </x:c>
      <x:c r="B26" s="46" t="str">
        <x:v>موجود في النظام</x:v>
      </x:c>
      <x:c r="C26" s="46" t="str">
        <x:v>ING-VEG-GRAPELEAF</x:v>
      </x:c>
      <x:c r="D26" s="46" t="str">
        <x:v>ورق عنب</x:v>
      </x:c>
      <x:c r="E26" s="46" t="str">
        <x:v>Grape Leaves</x:v>
      </x:c>
      <x:c r="F26" s="46" t="str">
        <x:v>مكوّن</x:v>
      </x:c>
      <x:c r="G26" s="46" t="str">
        <x:v>كغ</x:v>
      </x:c>
      <x:c r="H26" s="46"/>
      <x:c r="I26" s="46"/>
      <x:c r="J26" s="100"/>
      <x:c r="K26" s="46"/>
      <x:c r="L26" s="46" t="str">
        <x:v>نعم</x:v>
      </x:c>
      <x:c r="M26" s="46" t="str">
        <x:v>مطابقة فقط؛ لا تغيير على الرصيد الحالي.</x:v>
      </x:c>
    </x:row>
    <x:row r="27">
      <x:c r="A27" s="46" t="str">
        <x:v>MATCH_ONLY</x:v>
      </x:c>
      <x:c r="B27" s="46" t="str">
        <x:v>موجود في النظام</x:v>
      </x:c>
      <x:c r="C27" s="46" t="str">
        <x:v>ING-HERB-MINT</x:v>
      </x:c>
      <x:c r="D27" s="46" t="str">
        <x:v>نعنع طازج</x:v>
      </x:c>
      <x:c r="E27" s="46" t="str">
        <x:v>Fresh Mint</x:v>
      </x:c>
      <x:c r="F27" s="46" t="str">
        <x:v>مكوّن</x:v>
      </x:c>
      <x:c r="G27" s="46" t="str">
        <x:v>عبوة</x:v>
      </x:c>
      <x:c r="H27" s="46"/>
      <x:c r="I27" s="46"/>
      <x:c r="J27" s="100" t="n">
        <x:v>1500</x:v>
      </x:c>
      <x:c r="K27" s="46"/>
      <x:c r="L27" s="46" t="str">
        <x:v>نعم</x:v>
      </x:c>
      <x:c r="M27" s="46" t="str">
        <x:v>سُجّل السعر لجرزة نعنع أو بقدونس: 1,500 ل.س.</x:v>
      </x:c>
    </x:row>
    <x:row r="28">
      <x:c r="A28" s="46" t="str">
        <x:v>MATCH_ONLY</x:v>
      </x:c>
      <x:c r="B28" s="46" t="str">
        <x:v>موجود في النظام</x:v>
      </x:c>
      <x:c r="C28" s="46" t="str">
        <x:v>ING-HERB-PARSLEY</x:v>
      </x:c>
      <x:c r="D28" s="46" t="str">
        <x:v>بقدونس</x:v>
      </x:c>
      <x:c r="E28" s="46" t="str">
        <x:v>Parsley</x:v>
      </x:c>
      <x:c r="F28" s="46" t="str">
        <x:v>مكوّن</x:v>
      </x:c>
      <x:c r="G28" s="46" t="str">
        <x:v>عبوة</x:v>
      </x:c>
      <x:c r="H28" s="46"/>
      <x:c r="I28" s="46"/>
      <x:c r="J28" s="100" t="n">
        <x:v>1500</x:v>
      </x:c>
      <x:c r="K28" s="46"/>
      <x:c r="L28" s="46" t="str">
        <x:v>نعم</x:v>
      </x:c>
      <x:c r="M28" s="46" t="str">
        <x:v>سُجّل السعر لجرزة نعنع أو بقدونس: 1,500 ل.س.</x:v>
      </x:c>
    </x:row>
    <x:row r="29">
      <x:c r="A29" s="46" t="str">
        <x:v>MATCH_ONLY</x:v>
      </x:c>
      <x:c r="B29" s="46" t="str">
        <x:v>موجود في النظام</x:v>
      </x:c>
      <x:c r="C29" s="46" t="str">
        <x:v>ING-HERB-CILANTRO</x:v>
      </x:c>
      <x:c r="D29" s="46" t="str">
        <x:v>كزبرة خضراء</x:v>
      </x:c>
      <x:c r="E29" s="46" t="str">
        <x:v>Fresh Coriander</x:v>
      </x:c>
      <x:c r="F29" s="46" t="str">
        <x:v>مكوّن</x:v>
      </x:c>
      <x:c r="G29" s="46" t="str">
        <x:v>عبوة</x:v>
      </x:c>
      <x:c r="H29" s="46"/>
      <x:c r="I29" s="46"/>
      <x:c r="J29" s="100"/>
      <x:c r="K29" s="46"/>
      <x:c r="L29" s="46" t="str">
        <x:v>نعم</x:v>
      </x:c>
      <x:c r="M29" s="46" t="str">
        <x:v>مطابقة فقط؛ لا تغيير على الرصيد الحالي.</x:v>
      </x:c>
    </x:row>
    <x:row r="30">
      <x:c r="A30" s="46" t="str">
        <x:v>MATCH_ONLY</x:v>
      </x:c>
      <x:c r="B30" s="46" t="str">
        <x:v>موجود في النظام</x:v>
      </x:c>
      <x:c r="C30" s="46" t="str">
        <x:v>ING-HERB-BASIL</x:v>
      </x:c>
      <x:c r="D30" s="46" t="str">
        <x:v>حبق / ريحان</x:v>
      </x:c>
      <x:c r="E30" s="46" t="str">
        <x:v>Fresh Basil</x:v>
      </x:c>
      <x:c r="F30" s="46" t="str">
        <x:v>مكوّن</x:v>
      </x:c>
      <x:c r="G30" s="46" t="str">
        <x:v>عبوة</x:v>
      </x:c>
      <x:c r="H30" s="46"/>
      <x:c r="I30" s="46"/>
      <x:c r="J30" s="100"/>
      <x:c r="K30" s="46"/>
      <x:c r="L30" s="46" t="str">
        <x:v>نعم</x:v>
      </x:c>
      <x:c r="M30" s="46" t="str">
        <x:v>أساسي لسندويشات حبق ومشروب الجن بالحبق.</x:v>
      </x:c>
    </x:row>
    <x:row r="31">
      <x:c r="A31" s="46" t="str">
        <x:v>MATCH_ONLY</x:v>
      </x:c>
      <x:c r="B31" s="46" t="str">
        <x:v>موجود في النظام</x:v>
      </x:c>
      <x:c r="C31" s="46" t="str">
        <x:v>ING-HERB-WILDTHYME</x:v>
      </x:c>
      <x:c r="D31" s="46" t="str">
        <x:v>زعتر بري طازج</x:v>
      </x:c>
      <x:c r="E31" s="46" t="str">
        <x:v>Fresh Wild Thyme</x:v>
      </x:c>
      <x:c r="F31" s="46" t="str">
        <x:v>مكوّن</x:v>
      </x:c>
      <x:c r="G31" s="46" t="str">
        <x:v>عبوة</x:v>
      </x:c>
      <x:c r="H31" s="46"/>
      <x:c r="I31" s="46"/>
      <x:c r="J31" s="100" t="n">
        <x:v>3000</x:v>
      </x:c>
      <x:c r="K31" s="46"/>
      <x:c r="L31" s="46" t="str">
        <x:v>نعم</x:v>
      </x:c>
      <x:c r="M31" s="46" t="str">
        <x:v>مرجع سعر المشروع: 3,000 ل.س/جرزة.</x:v>
      </x:c>
    </x:row>
    <x:row r="32">
      <x:c r="A32" s="46" t="str">
        <x:v>MATCH_ONLY</x:v>
      </x:c>
      <x:c r="B32" s="46" t="str">
        <x:v>موجود في النظام</x:v>
      </x:c>
      <x:c r="C32" s="46" t="str">
        <x:v>ING-HERB-TARRAGON</x:v>
      </x:c>
      <x:c r="D32" s="46" t="str">
        <x:v>ترخون</x:v>
      </x:c>
      <x:c r="E32" s="46" t="str">
        <x:v>Tarragon</x:v>
      </x:c>
      <x:c r="F32" s="46" t="str">
        <x:v>مكوّن</x:v>
      </x:c>
      <x:c r="G32" s="46" t="str">
        <x:v>عبوة</x:v>
      </x:c>
      <x:c r="H32" s="46"/>
      <x:c r="I32" s="46"/>
      <x:c r="J32" s="100" t="n">
        <x:v>3000</x:v>
      </x:c>
      <x:c r="K32" s="46"/>
      <x:c r="L32" s="46" t="str">
        <x:v>نعم</x:v>
      </x:c>
      <x:c r="M32" s="46" t="str">
        <x:v>مرجع سعر المشروع: 3,000 ل.س/جرزة.</x:v>
      </x:c>
    </x:row>
    <x:row r="33">
      <x:c r="A33" s="46" t="str">
        <x:v>MATCH_ONLY</x:v>
      </x:c>
      <x:c r="B33" s="46" t="str">
        <x:v>موجود في النظام</x:v>
      </x:c>
      <x:c r="C33" s="46" t="str">
        <x:v>ING-HERB-DILL</x:v>
      </x:c>
      <x:c r="D33" s="46" t="str">
        <x:v>شبت</x:v>
      </x:c>
      <x:c r="E33" s="46" t="str">
        <x:v>Dill</x:v>
      </x:c>
      <x:c r="F33" s="46" t="str">
        <x:v>مكوّن</x:v>
      </x:c>
      <x:c r="G33" s="46" t="str">
        <x:v>عبوة</x:v>
      </x:c>
      <x:c r="H33" s="46"/>
      <x:c r="I33" s="46"/>
      <x:c r="J33" s="100"/>
      <x:c r="K33" s="46"/>
      <x:c r="L33" s="46" t="str">
        <x:v>نعم</x:v>
      </x:c>
      <x:c r="M33" s="46" t="str">
        <x:v>مطابقة فقط؛ لا تغيير على الرصيد الحالي.</x:v>
      </x:c>
    </x:row>
    <x:row r="34">
      <x:c r="A34" s="46" t="str">
        <x:v>MATCH_ONLY</x:v>
      </x:c>
      <x:c r="B34" s="46" t="str">
        <x:v>موجود في النظام</x:v>
      </x:c>
      <x:c r="C34" s="46" t="str">
        <x:v>ING-FRT-APPLE</x:v>
      </x:c>
      <x:c r="D34" s="46" t="str">
        <x:v>تفاح</x:v>
      </x:c>
      <x:c r="E34" s="46" t="str">
        <x:v>Apple</x:v>
      </x:c>
      <x:c r="F34" s="46" t="str">
        <x:v>مكوّن</x:v>
      </x:c>
      <x:c r="G34" s="46" t="str">
        <x:v>كغ</x:v>
      </x:c>
      <x:c r="H34" s="46"/>
      <x:c r="I34" s="46"/>
      <x:c r="J34" s="100"/>
      <x:c r="K34" s="46"/>
      <x:c r="L34" s="46" t="str">
        <x:v>نعم</x:v>
      </x:c>
      <x:c r="M34" s="46" t="str">
        <x:v>للعصير، شاي التفاح، السموذي والحلويات.</x:v>
      </x:c>
    </x:row>
    <x:row r="35">
      <x:c r="A35" s="46" t="str">
        <x:v>MATCH_ONLY</x:v>
      </x:c>
      <x:c r="B35" s="46" t="str">
        <x:v>موجود في النظام</x:v>
      </x:c>
      <x:c r="C35" s="46" t="str">
        <x:v>ING-FRT-WATERMELON</x:v>
      </x:c>
      <x:c r="D35" s="46" t="str">
        <x:v>بطيخ أحمر</x:v>
      </x:c>
      <x:c r="E35" s="46" t="str">
        <x:v>Watermelon</x:v>
      </x:c>
      <x:c r="F35" s="46" t="str">
        <x:v>مكوّن</x:v>
      </x:c>
      <x:c r="G35" s="46" t="str">
        <x:v>كغ</x:v>
      </x:c>
      <x:c r="H35" s="46"/>
      <x:c r="I35" s="46"/>
      <x:c r="J35" s="100"/>
      <x:c r="K35" s="46"/>
      <x:c r="L35" s="46" t="str">
        <x:v>نعم</x:v>
      </x:c>
      <x:c r="M35" s="46" t="str">
        <x:v>لعصير البطيخ.</x:v>
      </x:c>
    </x:row>
    <x:row r="36">
      <x:c r="A36" s="46" t="str">
        <x:v>MATCH_ONLY</x:v>
      </x:c>
      <x:c r="B36" s="46" t="str">
        <x:v>موجود في النظام</x:v>
      </x:c>
      <x:c r="C36" s="46" t="str">
        <x:v>ING-FRT-POMEGRANATE</x:v>
      </x:c>
      <x:c r="D36" s="46" t="str">
        <x:v>رمان</x:v>
      </x:c>
      <x:c r="E36" s="46" t="str">
        <x:v>Pomegranate</x:v>
      </x:c>
      <x:c r="F36" s="46" t="str">
        <x:v>مكوّن</x:v>
      </x:c>
      <x:c r="G36" s="46" t="str">
        <x:v>كغ</x:v>
      </x:c>
      <x:c r="H36" s="46"/>
      <x:c r="I36" s="46"/>
      <x:c r="J36" s="100"/>
      <x:c r="K36" s="46"/>
      <x:c r="L36" s="46" t="str">
        <x:v>نعم</x:v>
      </x:c>
      <x:c r="M36" s="46" t="str">
        <x:v>مطابقة فقط؛ لا تغيير على الرصيد الحالي.</x:v>
      </x:c>
    </x:row>
    <x:row r="37">
      <x:c r="A37" s="46" t="str">
        <x:v>MATCH_ONLY</x:v>
      </x:c>
      <x:c r="B37" s="46" t="str">
        <x:v>موجود في النظام</x:v>
      </x:c>
      <x:c r="C37" s="46" t="str">
        <x:v>ING-FRT-ORANGE</x:v>
      </x:c>
      <x:c r="D37" s="46" t="str">
        <x:v>برتقال</x:v>
      </x:c>
      <x:c r="E37" s="46" t="str">
        <x:v>Orange</x:v>
      </x:c>
      <x:c r="F37" s="46" t="str">
        <x:v>مكوّن</x:v>
      </x:c>
      <x:c r="G37" s="46" t="str">
        <x:v>كغ</x:v>
      </x:c>
      <x:c r="H37" s="46"/>
      <x:c r="I37" s="46"/>
      <x:c r="J37" s="100"/>
      <x:c r="K37" s="46"/>
      <x:c r="L37" s="46" t="str">
        <x:v>نعم</x:v>
      </x:c>
      <x:c r="M37" s="46" t="str">
        <x:v>مطابقة فقط؛ لا تغيير على الرصيد الحالي.</x:v>
      </x:c>
    </x:row>
    <x:row r="38">
      <x:c r="A38" s="46" t="str">
        <x:v>MATCH_ONLY</x:v>
      </x:c>
      <x:c r="B38" s="46" t="str">
        <x:v>موجود في النظام</x:v>
      </x:c>
      <x:c r="C38" s="46" t="str">
        <x:v>ING-FRT-BANANA</x:v>
      </x:c>
      <x:c r="D38" s="46" t="str">
        <x:v>موز</x:v>
      </x:c>
      <x:c r="E38" s="46" t="str">
        <x:v>Banana</x:v>
      </x:c>
      <x:c r="F38" s="46" t="str">
        <x:v>مكوّن</x:v>
      </x:c>
      <x:c r="G38" s="46" t="str">
        <x:v>كغ</x:v>
      </x:c>
      <x:c r="H38" s="46"/>
      <x:c r="I38" s="46"/>
      <x:c r="J38" s="100"/>
      <x:c r="K38" s="46"/>
      <x:c r="L38" s="46" t="str">
        <x:v>نعم</x:v>
      </x:c>
      <x:c r="M38" s="46" t="str">
        <x:v>للميلك شيك والسموذي.</x:v>
      </x:c>
    </x:row>
    <x:row r="39">
      <x:c r="A39" s="46" t="str">
        <x:v>MATCH_ONLY</x:v>
      </x:c>
      <x:c r="B39" s="46" t="str">
        <x:v>موجود في النظام</x:v>
      </x:c>
      <x:c r="C39" s="46" t="str">
        <x:v>ING-FRT-STRAWBERRY</x:v>
      </x:c>
      <x:c r="D39" s="46" t="str">
        <x:v>فريز</x:v>
      </x:c>
      <x:c r="E39" s="46" t="str">
        <x:v>Strawberry</x:v>
      </x:c>
      <x:c r="F39" s="46" t="str">
        <x:v>مكوّن</x:v>
      </x:c>
      <x:c r="G39" s="46" t="str">
        <x:v>كغ</x:v>
      </x:c>
      <x:c r="H39" s="46"/>
      <x:c r="I39" s="46"/>
      <x:c r="J39" s="100"/>
      <x:c r="K39" s="46"/>
      <x:c r="L39" s="46" t="str">
        <x:v>نعم</x:v>
      </x:c>
      <x:c r="M39" s="46" t="str">
        <x:v>للميلك شيك والسموذي.</x:v>
      </x:c>
    </x:row>
    <x:row r="40">
      <x:c r="A40" s="46" t="str">
        <x:v>MATCH_ONLY</x:v>
      </x:c>
      <x:c r="B40" s="46" t="str">
        <x:v>موجود في النظام</x:v>
      </x:c>
      <x:c r="C40" s="46" t="str">
        <x:v>ING-FRT-APRICOT</x:v>
      </x:c>
      <x:c r="D40" s="46" t="str">
        <x:v>مشمش</x:v>
      </x:c>
      <x:c r="E40" s="46" t="str">
        <x:v>Apricot</x:v>
      </x:c>
      <x:c r="F40" s="46" t="str">
        <x:v>مكوّن</x:v>
      </x:c>
      <x:c r="G40" s="46" t="str">
        <x:v>كغ</x:v>
      </x:c>
      <x:c r="H40" s="46"/>
      <x:c r="I40" s="46"/>
      <x:c r="J40" s="100"/>
      <x:c r="K40" s="46"/>
      <x:c r="L40" s="46" t="str">
        <x:v>نعم</x:v>
      </x:c>
      <x:c r="M40" s="46" t="str">
        <x:v>مطابقة فقط؛ لا تغيير على الرصيد الحالي.</x:v>
      </x:c>
    </x:row>
    <x:row r="41">
      <x:c r="A41" s="46" t="str">
        <x:v>MATCH_ONLY</x:v>
      </x:c>
      <x:c r="B41" s="46" t="str">
        <x:v>موجود في النظام</x:v>
      </x:c>
      <x:c r="C41" s="46" t="str">
        <x:v>ING-FRT-FIG</x:v>
      </x:c>
      <x:c r="D41" s="46" t="str">
        <x:v>تين</x:v>
      </x:c>
      <x:c r="E41" s="46" t="str">
        <x:v>Fig</x:v>
      </x:c>
      <x:c r="F41" s="46" t="str">
        <x:v>مكوّن</x:v>
      </x:c>
      <x:c r="G41" s="46" t="str">
        <x:v>كغ</x:v>
      </x:c>
      <x:c r="H41" s="46"/>
      <x:c r="I41" s="46"/>
      <x:c r="J41" s="100"/>
      <x:c r="K41" s="46"/>
      <x:c r="L41" s="46" t="str">
        <x:v>نعم</x:v>
      </x:c>
      <x:c r="M41" s="46" t="str">
        <x:v>مطابقة فقط؛ لا تغيير على الرصيد الحالي.</x:v>
      </x:c>
    </x:row>
    <x:row r="42">
      <x:c r="A42" s="46" t="str">
        <x:v>MATCH_ONLY</x:v>
      </x:c>
      <x:c r="B42" s="46" t="str">
        <x:v>موجود في النظام</x:v>
      </x:c>
      <x:c r="C42" s="46" t="str">
        <x:v>ING-FRT-GRAPES</x:v>
      </x:c>
      <x:c r="D42" s="46" t="str">
        <x:v>عنب</x:v>
      </x:c>
      <x:c r="E42" s="46" t="str">
        <x:v>Grapes</x:v>
      </x:c>
      <x:c r="F42" s="46" t="str">
        <x:v>مكوّن</x:v>
      </x:c>
      <x:c r="G42" s="46" t="str">
        <x:v>كغ</x:v>
      </x:c>
      <x:c r="H42" s="46"/>
      <x:c r="I42" s="46"/>
      <x:c r="J42" s="100"/>
      <x:c r="K42" s="46"/>
      <x:c r="L42" s="46" t="str">
        <x:v>نعم</x:v>
      </x:c>
      <x:c r="M42" s="46" t="str">
        <x:v>للعصير، الجلاب، الدبس والمنتجات الموسمية.</x:v>
      </x:c>
    </x:row>
    <x:row r="43">
      <x:c r="A43" s="46" t="str">
        <x:v>MATCH_ONLY</x:v>
      </x:c>
      <x:c r="B43" s="46" t="str">
        <x:v>موجود في النظام</x:v>
      </x:c>
      <x:c r="C43" s="46" t="str">
        <x:v>ING-DAIRY-YOGURT-PAST</x:v>
      </x:c>
      <x:c r="D43" s="46" t="str">
        <x:v>لبن مبستر</x:v>
      </x:c>
      <x:c r="E43" s="46" t="str">
        <x:v>Pasteurized Yogurt</x:v>
      </x:c>
      <x:c r="F43" s="46" t="str">
        <x:v>مكوّن</x:v>
      </x:c>
      <x:c r="G43" s="46" t="str">
        <x:v>كغ</x:v>
      </x:c>
      <x:c r="H43" s="46"/>
      <x:c r="I43" s="46"/>
      <x:c r="J43" s="100" t="n">
        <x:v>15000</x:v>
      </x:c>
      <x:c r="K43" s="46"/>
      <x:c r="L43" s="46" t="str">
        <x:v>نعم</x:v>
      </x:c>
      <x:c r="M43" s="46" t="str">
        <x:v>مرجع سعر المشروع: 15,000 ل.س/كغ.</x:v>
      </x:c>
    </x:row>
    <x:row r="44">
      <x:c r="A44" s="46" t="str">
        <x:v>MATCH_ONLY</x:v>
      </x:c>
      <x:c r="B44" s="46" t="str">
        <x:v>موجود في النظام</x:v>
      </x:c>
      <x:c r="C44" s="46" t="str">
        <x:v>ING-DAIRY-YOGURT-LOCAL</x:v>
      </x:c>
      <x:c r="D44" s="46" t="str">
        <x:v>لبن بلدي</x:v>
      </x:c>
      <x:c r="E44" s="46" t="str">
        <x:v>Local Yogurt</x:v>
      </x:c>
      <x:c r="F44" s="46" t="str">
        <x:v>مكوّن</x:v>
      </x:c>
      <x:c r="G44" s="46" t="str">
        <x:v>عبوة</x:v>
      </x:c>
      <x:c r="H44" s="46"/>
      <x:c r="I44" s="46"/>
      <x:c r="J44" s="100" t="n">
        <x:v>10000</x:v>
      </x:c>
      <x:c r="K44" s="46"/>
      <x:c r="L44" s="46" t="str">
        <x:v>نعم</x:v>
      </x:c>
      <x:c r="M44" s="46" t="str">
        <x:v>عبوة 700 غ.</x:v>
      </x:c>
    </x:row>
    <x:row r="45">
      <x:c r="A45" s="46" t="str">
        <x:v>MATCH_ONLY</x:v>
      </x:c>
      <x:c r="B45" s="46" t="str">
        <x:v>موجود في النظام</x:v>
      </x:c>
      <x:c r="C45" s="46" t="str">
        <x:v>ING-DAIRY-MILK</x:v>
      </x:c>
      <x:c r="D45" s="46" t="str">
        <x:v>حليب</x:v>
      </x:c>
      <x:c r="E45" s="46" t="str">
        <x:v>Milk</x:v>
      </x:c>
      <x:c r="F45" s="46" t="str">
        <x:v>مكوّن</x:v>
      </x:c>
      <x:c r="G45" s="46" t="str">
        <x:v>لتر</x:v>
      </x:c>
      <x:c r="H45" s="46"/>
      <x:c r="I45" s="46"/>
      <x:c r="J45" s="100" t="n">
        <x:v>15000</x:v>
      </x:c>
      <x:c r="K45" s="46"/>
      <x:c r="L45" s="46" t="str">
        <x:v>نعم</x:v>
      </x:c>
      <x:c r="M45" s="46" t="str">
        <x:v>مرجع سعر المشروع: 15,000 ل.س/لتر.</x:v>
      </x:c>
    </x:row>
    <x:row r="46">
      <x:c r="A46" s="46" t="str">
        <x:v>MATCH_ONLY</x:v>
      </x:c>
      <x:c r="B46" s="46" t="str">
        <x:v>موجود في النظام</x:v>
      </x:c>
      <x:c r="C46" s="46" t="str">
        <x:v>ING-DAIRY-COOKCREAM</x:v>
      </x:c>
      <x:c r="D46" s="46" t="str">
        <x:v>كريمة طبخ</x:v>
      </x:c>
      <x:c r="E46" s="46" t="str">
        <x:v>Cooking Cream</x:v>
      </x:c>
      <x:c r="F46" s="46" t="str">
        <x:v>مكوّن</x:v>
      </x:c>
      <x:c r="G46" s="46" t="str">
        <x:v>لتر</x:v>
      </x:c>
      <x:c r="H46" s="46"/>
      <x:c r="I46" s="46"/>
      <x:c r="J46" s="100"/>
      <x:c r="K46" s="46"/>
      <x:c r="L46" s="46" t="str">
        <x:v>نعم</x:v>
      </x:c>
      <x:c r="M46" s="46" t="str">
        <x:v>مطابقة فقط؛ لا تغيير على الرصيد الحالي.</x:v>
      </x:c>
    </x:row>
    <x:row r="47">
      <x:c r="A47" s="46" t="str">
        <x:v>MATCH_ONLY</x:v>
      </x:c>
      <x:c r="B47" s="46" t="str">
        <x:v>موجود في النظام</x:v>
      </x:c>
      <x:c r="C47" s="46" t="str">
        <x:v>ING-DAIRY-WHIPCREAM</x:v>
      </x:c>
      <x:c r="D47" s="46" t="str">
        <x:v>كريمة خفق</x:v>
      </x:c>
      <x:c r="E47" s="46" t="str">
        <x:v>Whipping Cream</x:v>
      </x:c>
      <x:c r="F47" s="46" t="str">
        <x:v>مكوّن</x:v>
      </x:c>
      <x:c r="G47" s="46" t="str">
        <x:v>لتر</x:v>
      </x:c>
      <x:c r="H47" s="46"/>
      <x:c r="I47" s="46"/>
      <x:c r="J47" s="100"/>
      <x:c r="K47" s="46"/>
      <x:c r="L47" s="46" t="str">
        <x:v>نعم</x:v>
      </x:c>
      <x:c r="M47" s="46" t="str">
        <x:v>مطابقة فقط؛ لا تغيير على الرصيد الحالي.</x:v>
      </x:c>
    </x:row>
    <x:row r="48">
      <x:c r="A48" s="46" t="str">
        <x:v>MATCH_ONLY</x:v>
      </x:c>
      <x:c r="B48" s="46" t="str">
        <x:v>موجود في النظام</x:v>
      </x:c>
      <x:c r="C48" s="46" t="str">
        <x:v>ING-DAIRY-BUTTER</x:v>
      </x:c>
      <x:c r="D48" s="46" t="str">
        <x:v>زبدة</x:v>
      </x:c>
      <x:c r="E48" s="46" t="str">
        <x:v>Butter</x:v>
      </x:c>
      <x:c r="F48" s="46" t="str">
        <x:v>مكوّن</x:v>
      </x:c>
      <x:c r="G48" s="46" t="str">
        <x:v>كغ</x:v>
      </x:c>
      <x:c r="H48" s="46"/>
      <x:c r="I48" s="46"/>
      <x:c r="J48" s="100"/>
      <x:c r="K48" s="46"/>
      <x:c r="L48" s="46" t="str">
        <x:v>نعم</x:v>
      </x:c>
      <x:c r="M48" s="46" t="str">
        <x:v>مطابقة فقط؛ لا تغيير على الرصيد الحالي.</x:v>
      </x:c>
    </x:row>
    <x:row r="49">
      <x:c r="A49" s="46" t="str">
        <x:v>MATCH_ONLY</x:v>
      </x:c>
      <x:c r="B49" s="46" t="str">
        <x:v>موجود في النظام</x:v>
      </x:c>
      <x:c r="C49" s="46" t="str">
        <x:v>ING-DAIRY-GHEE</x:v>
      </x:c>
      <x:c r="D49" s="46" t="str">
        <x:v>سمنة</x:v>
      </x:c>
      <x:c r="E49" s="46" t="str">
        <x:v>Ghee</x:v>
      </x:c>
      <x:c r="F49" s="46" t="str">
        <x:v>مكوّن</x:v>
      </x:c>
      <x:c r="G49" s="46" t="str">
        <x:v>كغ</x:v>
      </x:c>
      <x:c r="H49" s="46"/>
      <x:c r="I49" s="46"/>
      <x:c r="J49" s="100"/>
      <x:c r="K49" s="46"/>
      <x:c r="L49" s="46" t="str">
        <x:v>نعم</x:v>
      </x:c>
      <x:c r="M49" s="46" t="str">
        <x:v>مطابقة فقط؛ لا تغيير على الرصيد الحالي.</x:v>
      </x:c>
    </x:row>
    <x:row r="50">
      <x:c r="A50" s="46" t="str">
        <x:v>MATCH_ONLY</x:v>
      </x:c>
      <x:c r="B50" s="46" t="str">
        <x:v>موجود في النظام</x:v>
      </x:c>
      <x:c r="C50" s="46" t="str">
        <x:v>ING-DAIRY-EGG</x:v>
      </x:c>
      <x:c r="D50" s="46" t="str">
        <x:v>بيض</x:v>
      </x:c>
      <x:c r="E50" s="46" t="str">
        <x:v>Egg</x:v>
      </x:c>
      <x:c r="F50" s="46" t="str">
        <x:v>مكوّن</x:v>
      </x:c>
      <x:c r="G50" s="46" t="str">
        <x:v>قطعة</x:v>
      </x:c>
      <x:c r="H50" s="46"/>
      <x:c r="I50" s="46"/>
      <x:c r="J50" s="100" t="n">
        <x:v>1500</x:v>
      </x:c>
      <x:c r="K50" s="46"/>
      <x:c r="L50" s="46" t="str">
        <x:v>نعم</x:v>
      </x:c>
      <x:c r="M50" s="46" t="str">
        <x:v>صحن 30 بيضة = 45,000 ل.س؛ الكلفة المحسوبة للبيضة 1,500 ل.س.</x:v>
      </x:c>
    </x:row>
    <x:row r="51">
      <x:c r="A51" s="46" t="str">
        <x:v>MATCH_ONLY</x:v>
      </x:c>
      <x:c r="B51" s="46" t="str">
        <x:v>موجود في النظام</x:v>
      </x:c>
      <x:c r="C51" s="46" t="str">
        <x:v>ING-CHEESE-WHITE</x:v>
      </x:c>
      <x:c r="D51" s="46" t="str">
        <x:v>جبنة بيضاء</x:v>
      </x:c>
      <x:c r="E51" s="46" t="str">
        <x:v>White Cheese</x:v>
      </x:c>
      <x:c r="F51" s="46" t="str">
        <x:v>مكوّن</x:v>
      </x:c>
      <x:c r="G51" s="46" t="str">
        <x:v>كغ</x:v>
      </x:c>
      <x:c r="H51" s="46"/>
      <x:c r="I51" s="46"/>
      <x:c r="J51" s="100"/>
      <x:c r="K51" s="46"/>
      <x:c r="L51" s="46" t="str">
        <x:v>نعم</x:v>
      </x:c>
      <x:c r="M51" s="46" t="str">
        <x:v>لسندويش حبق، الفطور والمازات.</x:v>
      </x:c>
    </x:row>
    <x:row r="52">
      <x:c r="A52" s="46" t="str">
        <x:v>MATCH_ONLY</x:v>
      </x:c>
      <x:c r="B52" s="46" t="str">
        <x:v>موجود في النظام</x:v>
      </x:c>
      <x:c r="C52" s="46" t="str">
        <x:v>ING-CHEESE-BURGER</x:v>
      </x:c>
      <x:c r="D52" s="46" t="str">
        <x:v>جبنة برغر</x:v>
      </x:c>
      <x:c r="E52" s="46" t="str">
        <x:v>Burger Cheese</x:v>
      </x:c>
      <x:c r="F52" s="46" t="str">
        <x:v>مكوّن</x:v>
      </x:c>
      <x:c r="G52" s="46" t="str">
        <x:v>عبوة</x:v>
      </x:c>
      <x:c r="H52" s="46"/>
      <x:c r="I52" s="46"/>
      <x:c r="J52" s="100" t="n">
        <x:v>20000</x:v>
      </x:c>
      <x:c r="K52" s="46"/>
      <x:c r="L52" s="46" t="str">
        <x:v>نعم</x:v>
      </x:c>
      <x:c r="M52" s="46" t="str">
        <x:v>وزن العبوة غير محدد في المرجع.</x:v>
      </x:c>
    </x:row>
    <x:row r="53">
      <x:c r="A53" s="46" t="str">
        <x:v>MATCH_ONLY</x:v>
      </x:c>
      <x:c r="B53" s="46" t="str">
        <x:v>موجود في النظام</x:v>
      </x:c>
      <x:c r="C53" s="46" t="str">
        <x:v>ING-CHEESE-MOZZARELLA</x:v>
      </x:c>
      <x:c r="D53" s="46" t="str">
        <x:v>جبنة موزاريلا</x:v>
      </x:c>
      <x:c r="E53" s="46" t="str">
        <x:v>Mozzarella</x:v>
      </x:c>
      <x:c r="F53" s="46" t="str">
        <x:v>مكوّن</x:v>
      </x:c>
      <x:c r="G53" s="46" t="str">
        <x:v>كغ</x:v>
      </x:c>
      <x:c r="H53" s="46"/>
      <x:c r="I53" s="46"/>
      <x:c r="J53" s="100"/>
      <x:c r="K53" s="46"/>
      <x:c r="L53" s="46" t="str">
        <x:v>نعم</x:v>
      </x:c>
      <x:c r="M53" s="46" t="str">
        <x:v>مطابقة فقط؛ لا تغيير على الرصيد الحالي.</x:v>
      </x:c>
    </x:row>
    <x:row r="54">
      <x:c r="A54" s="46" t="str">
        <x:v>MATCH_ONLY</x:v>
      </x:c>
      <x:c r="B54" s="46" t="str">
        <x:v>موجود في النظام</x:v>
      </x:c>
      <x:c r="C54" s="46" t="str">
        <x:v>ING-CHEESE-HALLOUMI</x:v>
      </x:c>
      <x:c r="D54" s="46" t="str">
        <x:v>جبنة حلوم</x:v>
      </x:c>
      <x:c r="E54" s="46" t="str">
        <x:v>Halloumi</x:v>
      </x:c>
      <x:c r="F54" s="46" t="str">
        <x:v>مكوّن</x:v>
      </x:c>
      <x:c r="G54" s="46" t="str">
        <x:v>كغ</x:v>
      </x:c>
      <x:c r="H54" s="46"/>
      <x:c r="I54" s="46"/>
      <x:c r="J54" s="100"/>
      <x:c r="K54" s="46"/>
      <x:c r="L54" s="46" t="str">
        <x:v>نعم</x:v>
      </x:c>
      <x:c r="M54" s="46" t="str">
        <x:v>لـ Crunchy Halloumi Dog والسندويشات.</x:v>
      </x:c>
    </x:row>
    <x:row r="55">
      <x:c r="A55" s="46" t="str">
        <x:v>MATCH_ONLY</x:v>
      </x:c>
      <x:c r="B55" s="46" t="str">
        <x:v>موجود في النظام</x:v>
      </x:c>
      <x:c r="C55" s="46" t="str">
        <x:v>ING-DAIRY-LABNEH</x:v>
      </x:c>
      <x:c r="D55" s="46" t="str">
        <x:v>لبنة</x:v>
      </x:c>
      <x:c r="E55" s="46" t="str">
        <x:v>Labneh</x:v>
      </x:c>
      <x:c r="F55" s="46" t="str">
        <x:v>مكوّن</x:v>
      </x:c>
      <x:c r="G55" s="46" t="str">
        <x:v>كغ</x:v>
      </x:c>
      <x:c r="H55" s="46"/>
      <x:c r="I55" s="46"/>
      <x:c r="J55" s="100"/>
      <x:c r="K55" s="46"/>
      <x:c r="L55" s="46" t="str">
        <x:v>نعم</x:v>
      </x:c>
      <x:c r="M55" s="46" t="str">
        <x:v>مطابقة فقط؛ لا تغيير على الرصيد الحالي.</x:v>
      </x:c>
    </x:row>
    <x:row r="56">
      <x:c r="A56" s="46" t="str">
        <x:v>MATCH_ONLY</x:v>
      </x:c>
      <x:c r="B56" s="46" t="str">
        <x:v>موجود في النظام</x:v>
      </x:c>
      <x:c r="C56" s="46" t="str">
        <x:v>ING-CHEESE-CREAM</x:v>
      </x:c>
      <x:c r="D56" s="46" t="str">
        <x:v>جبنة كريمية</x:v>
      </x:c>
      <x:c r="E56" s="46" t="str">
        <x:v>Cream Cheese</x:v>
      </x:c>
      <x:c r="F56" s="46" t="str">
        <x:v>مكوّن</x:v>
      </x:c>
      <x:c r="G56" s="46" t="str">
        <x:v>كغ</x:v>
      </x:c>
      <x:c r="H56" s="46"/>
      <x:c r="I56" s="46"/>
      <x:c r="J56" s="100"/>
      <x:c r="K56" s="46"/>
      <x:c r="L56" s="46" t="str">
        <x:v>نعم</x:v>
      </x:c>
      <x:c r="M56" s="46" t="str">
        <x:v>مطابقة فقط؛ لا تغيير على الرصيد الحالي.</x:v>
      </x:c>
    </x:row>
    <x:row r="57">
      <x:c r="A57" s="46" t="str">
        <x:v>MATCH_ONLY</x:v>
      </x:c>
      <x:c r="B57" s="46" t="str">
        <x:v>موجود في النظام</x:v>
      </x:c>
      <x:c r="C57" s="46" t="str">
        <x:v>ING-CHEESE-PARMESAN</x:v>
      </x:c>
      <x:c r="D57" s="46" t="str">
        <x:v>جبنة بارميزان</x:v>
      </x:c>
      <x:c r="E57" s="46" t="str">
        <x:v>Parmesan</x:v>
      </x:c>
      <x:c r="F57" s="46" t="str">
        <x:v>مكوّن</x:v>
      </x:c>
      <x:c r="G57" s="46" t="str">
        <x:v>كغ</x:v>
      </x:c>
      <x:c r="H57" s="46"/>
      <x:c r="I57" s="46"/>
      <x:c r="J57" s="100"/>
      <x:c r="K57" s="46"/>
      <x:c r="L57" s="46" t="str">
        <x:v>نعم</x:v>
      </x:c>
      <x:c r="M57" s="46" t="str">
        <x:v>مطابقة فقط؛ لا تغيير على الرصيد الحالي.</x:v>
      </x:c>
    </x:row>
    <x:row r="58">
      <x:c r="A58" s="46" t="str">
        <x:v>MATCH_ONLY</x:v>
      </x:c>
      <x:c r="B58" s="46" t="str">
        <x:v>موجود في النظام</x:v>
      </x:c>
      <x:c r="C58" s="46" t="str">
        <x:v>ING-DAIRY-ICECREAM-VAN</x:v>
      </x:c>
      <x:c r="D58" s="46" t="str">
        <x:v>آيس كريم فانيلا</x:v>
      </x:c>
      <x:c r="E58" s="46" t="str">
        <x:v>Vanilla Ice Cream</x:v>
      </x:c>
      <x:c r="F58" s="46" t="str">
        <x:v>مكوّن</x:v>
      </x:c>
      <x:c r="G58" s="46" t="str">
        <x:v>كغ</x:v>
      </x:c>
      <x:c r="H58" s="46"/>
      <x:c r="I58" s="46"/>
      <x:c r="J58" s="100"/>
      <x:c r="K58" s="46"/>
      <x:c r="L58" s="46" t="str">
        <x:v>نعم</x:v>
      </x:c>
      <x:c r="M58" s="46" t="str">
        <x:v>للميلك شيك والحلويات.</x:v>
      </x:c>
    </x:row>
    <x:row r="59">
      <x:c r="A59" s="46" t="str">
        <x:v>MATCH_ONLY</x:v>
      </x:c>
      <x:c r="B59" s="46" t="str">
        <x:v>موجود في النظام</x:v>
      </x:c>
      <x:c r="C59" s="46" t="str">
        <x:v>DRK-AYRAN-READY</x:v>
      </x:c>
      <x:c r="D59" s="46" t="str">
        <x:v>شنينة جاهزة</x:v>
      </x:c>
      <x:c r="E59" s="46" t="str">
        <x:v>Ready Ayran</x:v>
      </x:c>
      <x:c r="F59" s="46" t="str">
        <x:v>مشروبات ومستلزمات</x:v>
      </x:c>
      <x:c r="G59" s="46" t="str">
        <x:v>لتر</x:v>
      </x:c>
      <x:c r="H59" s="46"/>
      <x:c r="I59" s="46"/>
      <x:c r="J59" s="100"/>
      <x:c r="K59" s="46"/>
      <x:c r="L59" s="46" t="str">
        <x:v>نعم</x:v>
      </x:c>
      <x:c r="M59" s="46" t="str">
        <x:v>يمكن تحضيرها داخلياً من اللبن والماء والملح بدل شرائها.</x:v>
      </x:c>
    </x:row>
    <x:row r="60">
      <x:c r="A60" s="46" t="str">
        <x:v>MATCH_ONLY</x:v>
      </x:c>
      <x:c r="B60" s="46" t="str">
        <x:v>موجود في النظام</x:v>
      </x:c>
      <x:c r="C60" s="46" t="str">
        <x:v>ING-MEAT-CHICKENBREAST</x:v>
      </x:c>
      <x:c r="D60" s="46" t="str">
        <x:v>صدر دجاج</x:v>
      </x:c>
      <x:c r="E60" s="46" t="str">
        <x:v>Chicken Breast</x:v>
      </x:c>
      <x:c r="F60" s="46" t="str">
        <x:v>مكوّن</x:v>
      </x:c>
      <x:c r="G60" s="46" t="str">
        <x:v>كغ</x:v>
      </x:c>
      <x:c r="H60" s="46"/>
      <x:c r="I60" s="46"/>
      <x:c r="J60" s="100" t="n">
        <x:v>35000</x:v>
      </x:c>
      <x:c r="K60" s="46"/>
      <x:c r="L60" s="46" t="str">
        <x:v>نعم</x:v>
      </x:c>
      <x:c r="M60" s="46" t="str">
        <x:v>السعر الذي ناقشناه للدجاج: نحو 35,000 ل.س/كغ.</x:v>
      </x:c>
    </x:row>
    <x:row r="61">
      <x:c r="A61" s="46" t="str">
        <x:v>MATCH_ONLY</x:v>
      </x:c>
      <x:c r="B61" s="46" t="str">
        <x:v>موجود في النظام</x:v>
      </x:c>
      <x:c r="C61" s="46" t="str">
        <x:v>ING-MEAT-WHOLECHICKEN</x:v>
      </x:c>
      <x:c r="D61" s="46" t="str">
        <x:v>دجاج كامل</x:v>
      </x:c>
      <x:c r="E61" s="46" t="str">
        <x:v>Whole Chicken</x:v>
      </x:c>
      <x:c r="F61" s="46" t="str">
        <x:v>مكوّن</x:v>
      </x:c>
      <x:c r="G61" s="46" t="str">
        <x:v>كغ</x:v>
      </x:c>
      <x:c r="H61" s="46"/>
      <x:c r="I61" s="46"/>
      <x:c r="J61" s="100"/>
      <x:c r="K61" s="46"/>
      <x:c r="L61" s="46" t="str">
        <x:v>نعم</x:v>
      </x:c>
      <x:c r="M61" s="46" t="str">
        <x:v>مطابقة فقط؛ لا تغيير على الرصيد الحالي.</x:v>
      </x:c>
    </x:row>
    <x:row r="62">
      <x:c r="A62" s="46" t="str">
        <x:v>MATCH_ONLY</x:v>
      </x:c>
      <x:c r="B62" s="46" t="str">
        <x:v>موجود في النظام</x:v>
      </x:c>
      <x:c r="C62" s="46" t="str">
        <x:v>ING-MEAT-BEEF-CUBES</x:v>
      </x:c>
      <x:c r="D62" s="46" t="str">
        <x:v>لحم بقر مكعبات</x:v>
      </x:c>
      <x:c r="E62" s="46" t="str">
        <x:v>Beef Cubes</x:v>
      </x:c>
      <x:c r="F62" s="46" t="str">
        <x:v>مكوّن</x:v>
      </x:c>
      <x:c r="G62" s="46" t="str">
        <x:v>كغ</x:v>
      </x:c>
      <x:c r="H62" s="46"/>
      <x:c r="I62" s="46"/>
      <x:c r="J62" s="100"/>
      <x:c r="K62" s="46"/>
      <x:c r="L62" s="46" t="str">
        <x:v>نعم</x:v>
      </x:c>
      <x:c r="M62" s="46" t="str">
        <x:v>مطابقة فقط؛ لا تغيير على الرصيد الحالي.</x:v>
      </x:c>
    </x:row>
    <x:row r="63">
      <x:c r="A63" s="46" t="str">
        <x:v>MATCH_ONLY</x:v>
      </x:c>
      <x:c r="B63" s="46" t="str">
        <x:v>موجود في النظام</x:v>
      </x:c>
      <x:c r="C63" s="46" t="str">
        <x:v>ING-MEAT-BEEF-GROUND</x:v>
      </x:c>
      <x:c r="D63" s="46" t="str">
        <x:v>لحم بقر مفروم</x:v>
      </x:c>
      <x:c r="E63" s="46" t="str">
        <x:v>Ground Beef</x:v>
      </x:c>
      <x:c r="F63" s="46" t="str">
        <x:v>مكوّن</x:v>
      </x:c>
      <x:c r="G63" s="46" t="str">
        <x:v>كغ</x:v>
      </x:c>
      <x:c r="H63" s="46"/>
      <x:c r="I63" s="46"/>
      <x:c r="J63" s="100"/>
      <x:c r="K63" s="46"/>
      <x:c r="L63" s="46" t="str">
        <x:v>نعم</x:v>
      </x:c>
      <x:c r="M63" s="46" t="str">
        <x:v>مطابقة فقط؛ لا تغيير على الرصيد الحالي.</x:v>
      </x:c>
    </x:row>
    <x:row r="64">
      <x:c r="A64" s="46" t="str">
        <x:v>MATCH_ONLY</x:v>
      </x:c>
      <x:c r="B64" s="46" t="str">
        <x:v>موجود في النظام</x:v>
      </x:c>
      <x:c r="C64" s="46" t="str">
        <x:v>ING-MEAT-LAMB-CUBES</x:v>
      </x:c>
      <x:c r="D64" s="46" t="str">
        <x:v>لحم غنم مكعبات</x:v>
      </x:c>
      <x:c r="E64" s="46" t="str">
        <x:v>Lamb Cubes</x:v>
      </x:c>
      <x:c r="F64" s="46" t="str">
        <x:v>مكوّن</x:v>
      </x:c>
      <x:c r="G64" s="46" t="str">
        <x:v>كغ</x:v>
      </x:c>
      <x:c r="H64" s="46"/>
      <x:c r="I64" s="46"/>
      <x:c r="J64" s="100"/>
      <x:c r="K64" s="46"/>
      <x:c r="L64" s="46" t="str">
        <x:v>نعم</x:v>
      </x:c>
      <x:c r="M64" s="46" t="str">
        <x:v>مطابقة فقط؛ لا تغيير على الرصيد الحالي.</x:v>
      </x:c>
    </x:row>
    <x:row r="65">
      <x:c r="A65" s="46" t="str">
        <x:v>MATCH_ONLY</x:v>
      </x:c>
      <x:c r="B65" s="46" t="str">
        <x:v>موجود في النظام</x:v>
      </x:c>
      <x:c r="C65" s="46" t="str">
        <x:v>ING-MEAT-LAMB-GROUND</x:v>
      </x:c>
      <x:c r="D65" s="46" t="str">
        <x:v>لحم غنم مفروم</x:v>
      </x:c>
      <x:c r="E65" s="46" t="str">
        <x:v>Ground Lamb</x:v>
      </x:c>
      <x:c r="F65" s="46" t="str">
        <x:v>مكوّن</x:v>
      </x:c>
      <x:c r="G65" s="46" t="str">
        <x:v>كغ</x:v>
      </x:c>
      <x:c r="H65" s="46"/>
      <x:c r="I65" s="46"/>
      <x:c r="J65" s="100"/>
      <x:c r="K65" s="46"/>
      <x:c r="L65" s="46" t="str">
        <x:v>نعم</x:v>
      </x:c>
      <x:c r="M65" s="46" t="str">
        <x:v>مطابقة فقط؛ لا تغيير على الرصيد الحالي.</x:v>
      </x:c>
    </x:row>
    <x:row r="66">
      <x:c r="A66" s="46" t="str">
        <x:v>MATCH_ONLY</x:v>
      </x:c>
      <x:c r="B66" s="46" t="str">
        <x:v>موجود في النظام</x:v>
      </x:c>
      <x:c r="C66" s="46" t="str">
        <x:v>ING-MEAT-LAMB-LEG</x:v>
      </x:c>
      <x:c r="D66" s="46" t="str">
        <x:v>فخذ خروف</x:v>
      </x:c>
      <x:c r="E66" s="46" t="str">
        <x:v>Lamb Leg</x:v>
      </x:c>
      <x:c r="F66" s="46" t="str">
        <x:v>مكوّن</x:v>
      </x:c>
      <x:c r="G66" s="46" t="str">
        <x:v>كغ</x:v>
      </x:c>
      <x:c r="H66" s="46"/>
      <x:c r="I66" s="46"/>
      <x:c r="J66" s="100"/>
      <x:c r="K66" s="46"/>
      <x:c r="L66" s="46" t="str">
        <x:v>نعم</x:v>
      </x:c>
      <x:c r="M66" s="46" t="str">
        <x:v>مطابقة فقط؛ لا تغيير على الرصيد الحالي.</x:v>
      </x:c>
    </x:row>
    <x:row r="67">
      <x:c r="A67" s="46" t="str">
        <x:v>MATCH_ONLY</x:v>
      </x:c>
      <x:c r="B67" s="46" t="str">
        <x:v>موجود في النظام</x:v>
      </x:c>
      <x:c r="C67" s="46" t="str">
        <x:v>ING-MEAT-BEEF-STEAK</x:v>
      </x:c>
      <x:c r="D67" s="46" t="str">
        <x:v>ستيك بقر</x:v>
      </x:c>
      <x:c r="E67" s="46" t="str">
        <x:v>Beef Steak</x:v>
      </x:c>
      <x:c r="F67" s="46" t="str">
        <x:v>مكوّن</x:v>
      </x:c>
      <x:c r="G67" s="46" t="str">
        <x:v>كغ</x:v>
      </x:c>
      <x:c r="H67" s="46"/>
      <x:c r="I67" s="46"/>
      <x:c r="J67" s="100"/>
      <x:c r="K67" s="46"/>
      <x:c r="L67" s="46" t="str">
        <x:v>نعم</x:v>
      </x:c>
      <x:c r="M67" s="46" t="str">
        <x:v>مطابقة فقط؛ لا تغيير على الرصيد الحالي.</x:v>
      </x:c>
    </x:row>
    <x:row r="68">
      <x:c r="A68" s="46" t="str">
        <x:v>MATCH_ONLY</x:v>
      </x:c>
      <x:c r="B68" s="46" t="str">
        <x:v>موجود في النظام</x:v>
      </x:c>
      <x:c r="C68" s="46" t="str">
        <x:v>ING-MEAT-HOTDOG</x:v>
      </x:c>
      <x:c r="D68" s="46" t="str">
        <x:v>نقانق هوت دوغ</x:v>
      </x:c>
      <x:c r="E68" s="46" t="str">
        <x:v>Hot Dog Sausage</x:v>
      </x:c>
      <x:c r="F68" s="46" t="str">
        <x:v>مكوّن</x:v>
      </x:c>
      <x:c r="G68" s="46" t="str">
        <x:v>قطعة</x:v>
      </x:c>
      <x:c r="H68" s="46"/>
      <x:c r="I68" s="46"/>
      <x:c r="J68" s="100" t="n">
        <x:v>4000</x:v>
      </x:c>
      <x:c r="K68" s="46"/>
      <x:c r="L68" s="46" t="str">
        <x:v>نعم</x:v>
      </x:c>
      <x:c r="M68" s="46" t="str">
        <x:v>الكلفة التقريبية التي ناقشناها: 4,000 ل.س للحبة.</x:v>
      </x:c>
    </x:row>
    <x:row r="69">
      <x:c r="A69" s="46" t="str">
        <x:v>MATCH_ONLY</x:v>
      </x:c>
      <x:c r="B69" s="46" t="str">
        <x:v>موجود في النظام</x:v>
      </x:c>
      <x:c r="C69" s="46" t="str">
        <x:v>ING-MEAT-SUJUK</x:v>
      </x:c>
      <x:c r="D69" s="46" t="str">
        <x:v>سجق حار</x:v>
      </x:c>
      <x:c r="E69" s="46" t="str">
        <x:v>Spicy Sausage</x:v>
      </x:c>
      <x:c r="F69" s="46" t="str">
        <x:v>مكوّن</x:v>
      </x:c>
      <x:c r="G69" s="46" t="str">
        <x:v>كغ</x:v>
      </x:c>
      <x:c r="H69" s="46"/>
      <x:c r="I69" s="46"/>
      <x:c r="J69" s="100"/>
      <x:c r="K69" s="46"/>
      <x:c r="L69" s="46" t="str">
        <x:v>نعم</x:v>
      </x:c>
      <x:c r="M69" s="46" t="str">
        <x:v>مطابقة فقط؛ لا تغيير على الرصيد الحالي.</x:v>
      </x:c>
    </x:row>
    <x:row r="70">
      <x:c r="A70" s="46" t="str">
        <x:v>MATCH_ONLY</x:v>
      </x:c>
      <x:c r="B70" s="46" t="str">
        <x:v>موجود في النظام</x:v>
      </x:c>
      <x:c r="C70" s="46" t="str">
        <x:v>ING-FISH-FILLET</x:v>
      </x:c>
      <x:c r="D70" s="46" t="str">
        <x:v>فيليه سمك</x:v>
      </x:c>
      <x:c r="E70" s="46" t="str">
        <x:v>Fish Fillet</x:v>
      </x:c>
      <x:c r="F70" s="46" t="str">
        <x:v>مكوّن</x:v>
      </x:c>
      <x:c r="G70" s="46" t="str">
        <x:v>كغ</x:v>
      </x:c>
      <x:c r="H70" s="46"/>
      <x:c r="I70" s="46"/>
      <x:c r="J70" s="100"/>
      <x:c r="K70" s="46"/>
      <x:c r="L70" s="46" t="str">
        <x:v>نعم</x:v>
      </x:c>
      <x:c r="M70" s="46" t="str">
        <x:v>مطابقة فقط؛ لا تغيير على الرصيد الحالي.</x:v>
      </x:c>
    </x:row>
    <x:row r="71">
      <x:c r="A71" s="46" t="str">
        <x:v>MATCH_ONLY</x:v>
      </x:c>
      <x:c r="B71" s="46" t="str">
        <x:v>موجود في النظام</x:v>
      </x:c>
      <x:c r="C71" s="46" t="str">
        <x:v>ING-FISH-WHOLE</x:v>
      </x:c>
      <x:c r="D71" s="46" t="str">
        <x:v>سمك كامل</x:v>
      </x:c>
      <x:c r="E71" s="46" t="str">
        <x:v>Whole Fish</x:v>
      </x:c>
      <x:c r="F71" s="46" t="str">
        <x:v>مكوّن</x:v>
      </x:c>
      <x:c r="G71" s="46" t="str">
        <x:v>كغ</x:v>
      </x:c>
      <x:c r="H71" s="46"/>
      <x:c r="I71" s="46"/>
      <x:c r="J71" s="100"/>
      <x:c r="K71" s="46"/>
      <x:c r="L71" s="46" t="str">
        <x:v>نعم</x:v>
      </x:c>
      <x:c r="M71" s="46" t="str">
        <x:v>مطابقة فقط؛ لا تغيير على الرصيد الحالي.</x:v>
      </x:c>
    </x:row>
    <x:row r="72">
      <x:c r="A72" s="46" t="str">
        <x:v>MATCH_ONLY</x:v>
      </x:c>
      <x:c r="B72" s="46" t="str">
        <x:v>موجود في النظام</x:v>
      </x:c>
      <x:c r="C72" s="46" t="str">
        <x:v>ING-OFFAL-TRIPE</x:v>
      </x:c>
      <x:c r="D72" s="46" t="str">
        <x:v>كروش</x:v>
      </x:c>
      <x:c r="E72" s="46" t="str">
        <x:v>Tripe</x:v>
      </x:c>
      <x:c r="F72" s="46" t="str">
        <x:v>مكوّن</x:v>
      </x:c>
      <x:c r="G72" s="46" t="str">
        <x:v>كغ</x:v>
      </x:c>
      <x:c r="H72" s="46"/>
      <x:c r="I72" s="46"/>
      <x:c r="J72" s="100"/>
      <x:c r="K72" s="46"/>
      <x:c r="L72" s="46" t="str">
        <x:v>نعم</x:v>
      </x:c>
      <x:c r="M72" s="46" t="str">
        <x:v>مطابقة فقط؛ لا تغيير على الرصيد الحالي.</x:v>
      </x:c>
    </x:row>
    <x:row r="73">
      <x:c r="A73" s="46" t="str">
        <x:v>MATCH_ONLY</x:v>
      </x:c>
      <x:c r="B73" s="46" t="str">
        <x:v>موجود في النظام</x:v>
      </x:c>
      <x:c r="C73" s="46" t="str">
        <x:v>ING-OFFAL-INTESTINE</x:v>
      </x:c>
      <x:c r="D73" s="46" t="str">
        <x:v>فوارغ</x:v>
      </x:c>
      <x:c r="E73" s="46" t="str">
        <x:v>Stuffed Intestine Casing</x:v>
      </x:c>
      <x:c r="F73" s="46" t="str">
        <x:v>مكوّن</x:v>
      </x:c>
      <x:c r="G73" s="46" t="str">
        <x:v>كغ</x:v>
      </x:c>
      <x:c r="H73" s="46"/>
      <x:c r="I73" s="46"/>
      <x:c r="J73" s="100"/>
      <x:c r="K73" s="46"/>
      <x:c r="L73" s="46" t="str">
        <x:v>نعم</x:v>
      </x:c>
      <x:c r="M73" s="46" t="str">
        <x:v>مطابقة فقط؛ لا تغيير على الرصيد الحالي.</x:v>
      </x:c>
    </x:row>
    <x:row r="74">
      <x:c r="A74" s="46" t="str">
        <x:v>MATCH_ONLY</x:v>
      </x:c>
      <x:c r="B74" s="46" t="str">
        <x:v>موجود في النظام</x:v>
      </x:c>
      <x:c r="C74" s="46" t="str">
        <x:v>ING-PREP-FALAFEL</x:v>
      </x:c>
      <x:c r="D74" s="46" t="str">
        <x:v>فلافل جاهزة</x:v>
      </x:c>
      <x:c r="E74" s="46" t="str">
        <x:v>Prepared Falafel</x:v>
      </x:c>
      <x:c r="F74" s="46" t="str">
        <x:v>مكوّن</x:v>
      </x:c>
      <x:c r="G74" s="46" t="str">
        <x:v>قطعة</x:v>
      </x:c>
      <x:c r="H74" s="46"/>
      <x:c r="I74" s="46"/>
      <x:c r="J74" s="100"/>
      <x:c r="K74" s="46"/>
      <x:c r="L74" s="46" t="str">
        <x:v>نعم</x:v>
      </x:c>
      <x:c r="M74" s="46" t="str">
        <x:v>يُضاف فقط إن كانت تُشترى جاهزة؛ وإلا تُدار كوصفة/دفعة إنتاج.</x:v>
      </x:c>
    </x:row>
    <x:row r="75">
      <x:c r="A75" s="46" t="str">
        <x:v>MATCH_ONLY</x:v>
      </x:c>
      <x:c r="B75" s="46" t="str">
        <x:v>موجود في النظام</x:v>
      </x:c>
      <x:c r="C75" s="46" t="str">
        <x:v>ING-PREP-HUMMUS</x:v>
      </x:c>
      <x:c r="D75" s="46" t="str">
        <x:v>حمص جاهز</x:v>
      </x:c>
      <x:c r="E75" s="46" t="str">
        <x:v>Prepared Hummus</x:v>
      </x:c>
      <x:c r="F75" s="46" t="str">
        <x:v>مكوّن</x:v>
      </x:c>
      <x:c r="G75" s="46" t="str">
        <x:v>كغ</x:v>
      </x:c>
      <x:c r="H75" s="46"/>
      <x:c r="I75" s="46"/>
      <x:c r="J75" s="100"/>
      <x:c r="K75" s="46"/>
      <x:c r="L75" s="46" t="str">
        <x:v>نعم</x:v>
      </x:c>
      <x:c r="M75" s="46" t="str">
        <x:v>يُضاف فقط إن كان يُشترى جاهزاً؛ وإلا يُدار كوصفة/دفعة إنتاج.</x:v>
      </x:c>
    </x:row>
    <x:row r="76">
      <x:c r="A76" s="46" t="str">
        <x:v>MATCH_ONLY</x:v>
      </x:c>
      <x:c r="B76" s="46" t="str">
        <x:v>موجود في النظام</x:v>
      </x:c>
      <x:c r="C76" s="46" t="str">
        <x:v>ING-PREP-MUHAMMARA</x:v>
      </x:c>
      <x:c r="D76" s="46" t="str">
        <x:v>محمّرة جاهزة</x:v>
      </x:c>
      <x:c r="E76" s="46" t="str">
        <x:v>Prepared Muhammara</x:v>
      </x:c>
      <x:c r="F76" s="46" t="str">
        <x:v>مكوّن</x:v>
      </x:c>
      <x:c r="G76" s="46" t="str">
        <x:v>كغ</x:v>
      </x:c>
      <x:c r="H76" s="46"/>
      <x:c r="I76" s="46"/>
      <x:c r="J76" s="100"/>
      <x:c r="K76" s="46"/>
      <x:c r="L76" s="46" t="str">
        <x:v>نعم</x:v>
      </x:c>
      <x:c r="M76" s="46" t="str">
        <x:v>الاسم المعتمد محمّرة، وليس حمرة. تُضاف إن كانت تُشترى جاهزة.</x:v>
      </x:c>
    </x:row>
    <x:row r="77">
      <x:c r="A77" s="46" t="str">
        <x:v>MATCH_ONLY</x:v>
      </x:c>
      <x:c r="B77" s="46" t="str">
        <x:v>موجود في النظام</x:v>
      </x:c>
      <x:c r="C77" s="46" t="str">
        <x:v>ING-DRY-WHITEFLOUR</x:v>
      </x:c>
      <x:c r="D77" s="46" t="str">
        <x:v>طحين أبيض</x:v>
      </x:c>
      <x:c r="E77" s="46" t="str">
        <x:v>White Flour</x:v>
      </x:c>
      <x:c r="F77" s="46" t="str">
        <x:v>مكوّن</x:v>
      </x:c>
      <x:c r="G77" s="46" t="str">
        <x:v>كغ</x:v>
      </x:c>
      <x:c r="H77" s="46"/>
      <x:c r="I77" s="46"/>
      <x:c r="J77" s="100" t="n">
        <x:v>10000</x:v>
      </x:c>
      <x:c r="K77" s="46"/>
      <x:c r="L77" s="46" t="str">
        <x:v>نعم</x:v>
      </x:c>
      <x:c r="M77" s="46" t="str">
        <x:v>مرجع سعر المشروع: 10,000 ل.س/كغ.</x:v>
      </x:c>
    </x:row>
    <x:row r="78">
      <x:c r="A78" s="46" t="str">
        <x:v>MATCH_ONLY</x:v>
      </x:c>
      <x:c r="B78" s="46" t="str">
        <x:v>موجود في النظام</x:v>
      </x:c>
      <x:c r="C78" s="46" t="str">
        <x:v>ING-DRY-CORNFLOUR</x:v>
      </x:c>
      <x:c r="D78" s="46" t="str">
        <x:v>طحين ذرة</x:v>
      </x:c>
      <x:c r="E78" s="46" t="str">
        <x:v>Corn Flour</x:v>
      </x:c>
      <x:c r="F78" s="46" t="str">
        <x:v>مكوّن</x:v>
      </x:c>
      <x:c r="G78" s="46" t="str">
        <x:v>كغ</x:v>
      </x:c>
      <x:c r="H78" s="46"/>
      <x:c r="I78" s="46"/>
      <x:c r="J78" s="100"/>
      <x:c r="K78" s="46"/>
      <x:c r="L78" s="46" t="str">
        <x:v>نعم</x:v>
      </x:c>
      <x:c r="M78" s="46" t="str">
        <x:v>مطابقة فقط؛ لا تغيير على الرصيد الحالي.</x:v>
      </x:c>
    </x:row>
    <x:row r="79">
      <x:c r="A79" s="46" t="str">
        <x:v>MATCH_ONLY</x:v>
      </x:c>
      <x:c r="B79" s="46" t="str">
        <x:v>موجود في النظام</x:v>
      </x:c>
      <x:c r="C79" s="46" t="str">
        <x:v>ING-DRY-SEMOLINA</x:v>
      </x:c>
      <x:c r="D79" s="46" t="str">
        <x:v>سميد</x:v>
      </x:c>
      <x:c r="E79" s="46" t="str">
        <x:v>Semolina</x:v>
      </x:c>
      <x:c r="F79" s="46" t="str">
        <x:v>مكوّن</x:v>
      </x:c>
      <x:c r="G79" s="46" t="str">
        <x:v>كغ</x:v>
      </x:c>
      <x:c r="H79" s="46"/>
      <x:c r="I79" s="46"/>
      <x:c r="J79" s="100"/>
      <x:c r="K79" s="46"/>
      <x:c r="L79" s="46" t="str">
        <x:v>نعم</x:v>
      </x:c>
      <x:c r="M79" s="46" t="str">
        <x:v>مطابقة فقط؛ لا تغيير على الرصيد الحالي.</x:v>
      </x:c>
    </x:row>
    <x:row r="80">
      <x:c r="A80" s="46" t="str">
        <x:v>MATCH_ONLY</x:v>
      </x:c>
      <x:c r="B80" s="46" t="str">
        <x:v>موجود في النظام</x:v>
      </x:c>
      <x:c r="C80" s="46" t="str">
        <x:v>ING-DRY-BREADCRUMB</x:v>
      </x:c>
      <x:c r="D80" s="46" t="str">
        <x:v>بقسماط / كعك مطحون</x:v>
      </x:c>
      <x:c r="E80" s="46" t="str">
        <x:v>Breadcrumbs</x:v>
      </x:c>
      <x:c r="F80" s="46" t="str">
        <x:v>مكوّن</x:v>
      </x:c>
      <x:c r="G80" s="46" t="str">
        <x:v>كغ</x:v>
      </x:c>
      <x:c r="H80" s="46"/>
      <x:c r="I80" s="46"/>
      <x:c r="J80" s="100"/>
      <x:c r="K80" s="46"/>
      <x:c r="L80" s="46" t="str">
        <x:v>نعم</x:v>
      </x:c>
      <x:c r="M80" s="46" t="str">
        <x:v>مطابقة فقط؛ لا تغيير على الرصيد الحالي.</x:v>
      </x:c>
    </x:row>
    <x:row r="81">
      <x:c r="A81" s="46" t="str">
        <x:v>MATCH_ONLY</x:v>
      </x:c>
      <x:c r="B81" s="46" t="str">
        <x:v>موجود في النظام</x:v>
      </x:c>
      <x:c r="C81" s="46" t="str">
        <x:v>ING-RICE-EGYPTIAN</x:v>
      </x:c>
      <x:c r="D81" s="46" t="str">
        <x:v>رز مصري</x:v>
      </x:c>
      <x:c r="E81" s="46" t="str">
        <x:v>Egyptian Rice</x:v>
      </x:c>
      <x:c r="F81" s="46" t="str">
        <x:v>مكوّن</x:v>
      </x:c>
      <x:c r="G81" s="46" t="str">
        <x:v>كغ</x:v>
      </x:c>
      <x:c r="H81" s="46"/>
      <x:c r="I81" s="46"/>
      <x:c r="J81" s="100" t="n">
        <x:v>18000</x:v>
      </x:c>
      <x:c r="K81" s="46"/>
      <x:c r="L81" s="46" t="str">
        <x:v>نعم</x:v>
      </x:c>
      <x:c r="M81" s="46" t="str">
        <x:v>مرجع سعر المشروع: 18,000 ل.س/كغ.</x:v>
      </x:c>
    </x:row>
    <x:row r="82">
      <x:c r="A82" s="46" t="str">
        <x:v>MATCH_ONLY</x:v>
      </x:c>
      <x:c r="B82" s="46" t="str">
        <x:v>موجود في النظام</x:v>
      </x:c>
      <x:c r="C82" s="46" t="str">
        <x:v>ING-RICE-LONG</x:v>
      </x:c>
      <x:c r="D82" s="46" t="str">
        <x:v>رز طويل الحبة</x:v>
      </x:c>
      <x:c r="E82" s="46" t="str">
        <x:v>Long Grain Rice</x:v>
      </x:c>
      <x:c r="F82" s="46" t="str">
        <x:v>مكوّن</x:v>
      </x:c>
      <x:c r="G82" s="46" t="str">
        <x:v>كغ</x:v>
      </x:c>
      <x:c r="H82" s="46"/>
      <x:c r="I82" s="46"/>
      <x:c r="J82" s="100" t="n">
        <x:v>23000</x:v>
      </x:c>
      <x:c r="K82" s="46"/>
      <x:c r="L82" s="46" t="str">
        <x:v>نعم</x:v>
      </x:c>
      <x:c r="M82" s="46" t="str">
        <x:v>مرجع السعر: رز طويل سيدي هشام 23,000 ل.س/كغ.</x:v>
      </x:c>
    </x:row>
    <x:row r="83">
      <x:c r="A83" s="46" t="str">
        <x:v>MATCH_ONLY</x:v>
      </x:c>
      <x:c r="B83" s="46" t="str">
        <x:v>موجود في النظام</x:v>
      </x:c>
      <x:c r="C83" s="46" t="str">
        <x:v>ING-RICE-BASMATI</x:v>
      </x:c>
      <x:c r="D83" s="46" t="str">
        <x:v>رز بسمتي</x:v>
      </x:c>
      <x:c r="E83" s="46" t="str">
        <x:v>Basmati Rice</x:v>
      </x:c>
      <x:c r="F83" s="46" t="str">
        <x:v>مكوّن</x:v>
      </x:c>
      <x:c r="G83" s="46" t="str">
        <x:v>كغ</x:v>
      </x:c>
      <x:c r="H83" s="46"/>
      <x:c r="I83" s="46"/>
      <x:c r="J83" s="100"/>
      <x:c r="K83" s="46"/>
      <x:c r="L83" s="46" t="str">
        <x:v>نعم</x:v>
      </x:c>
      <x:c r="M83" s="46" t="str">
        <x:v>مطابقة فقط؛ لا تغيير على الرصيد الحالي.</x:v>
      </x:c>
    </x:row>
    <x:row r="84">
      <x:c r="A84" s="46" t="str">
        <x:v>MATCH_ONLY</x:v>
      </x:c>
      <x:c r="B84" s="46" t="str">
        <x:v>موجود في النظام</x:v>
      </x:c>
      <x:c r="C84" s="46" t="str">
        <x:v>ING-GRAIN-BULGUR-FINE</x:v>
      </x:c>
      <x:c r="D84" s="46" t="str">
        <x:v>برغل ناعم</x:v>
      </x:c>
      <x:c r="E84" s="46" t="str">
        <x:v>Fine Bulgur</x:v>
      </x:c>
      <x:c r="F84" s="46" t="str">
        <x:v>مكوّن</x:v>
      </x:c>
      <x:c r="G84" s="46" t="str">
        <x:v>كغ</x:v>
      </x:c>
      <x:c r="H84" s="46"/>
      <x:c r="I84" s="46"/>
      <x:c r="J84" s="100"/>
      <x:c r="K84" s="46"/>
      <x:c r="L84" s="46" t="str">
        <x:v>نعم</x:v>
      </x:c>
      <x:c r="M84" s="46" t="str">
        <x:v>مطابقة فقط؛ لا تغيير على الرصيد الحالي.</x:v>
      </x:c>
    </x:row>
    <x:row r="85">
      <x:c r="A85" s="46" t="str">
        <x:v>MATCH_ONLY</x:v>
      </x:c>
      <x:c r="B85" s="46" t="str">
        <x:v>موجود في النظام</x:v>
      </x:c>
      <x:c r="C85" s="46" t="str">
        <x:v>ING-GRAIN-BULGUR-COARSE</x:v>
      </x:c>
      <x:c r="D85" s="46" t="str">
        <x:v>برغل خشن</x:v>
      </x:c>
      <x:c r="E85" s="46" t="str">
        <x:v>Coarse Bulgur</x:v>
      </x:c>
      <x:c r="F85" s="46" t="str">
        <x:v>مكوّن</x:v>
      </x:c>
      <x:c r="G85" s="46" t="str">
        <x:v>كغ</x:v>
      </x:c>
      <x:c r="H85" s="46"/>
      <x:c r="I85" s="46"/>
      <x:c r="J85" s="100"/>
      <x:c r="K85" s="46"/>
      <x:c r="L85" s="46" t="str">
        <x:v>نعم</x:v>
      </x:c>
      <x:c r="M85" s="46" t="str">
        <x:v>مطابقة فقط؛ لا تغيير على الرصيد الحالي.</x:v>
      </x:c>
    </x:row>
    <x:row r="86">
      <x:c r="A86" s="46" t="str">
        <x:v>MATCH_ONLY</x:v>
      </x:c>
      <x:c r="B86" s="46" t="str">
        <x:v>موجود في النظام</x:v>
      </x:c>
      <x:c r="C86" s="46" t="str">
        <x:v>ING-GRAIN-FREEKEH</x:v>
      </x:c>
      <x:c r="D86" s="46" t="str">
        <x:v>فريكة</x:v>
      </x:c>
      <x:c r="E86" s="46" t="str">
        <x:v>Freekeh</x:v>
      </x:c>
      <x:c r="F86" s="46" t="str">
        <x:v>مكوّن</x:v>
      </x:c>
      <x:c r="G86" s="46" t="str">
        <x:v>كغ</x:v>
      </x:c>
      <x:c r="H86" s="46"/>
      <x:c r="I86" s="46"/>
      <x:c r="J86" s="100"/>
      <x:c r="K86" s="46"/>
      <x:c r="L86" s="46" t="str">
        <x:v>نعم</x:v>
      </x:c>
      <x:c r="M86" s="46" t="str">
        <x:v>مطابقة فقط؛ لا تغيير على الرصيد الحالي.</x:v>
      </x:c>
    </x:row>
    <x:row r="87">
      <x:c r="A87" s="46" t="str">
        <x:v>MATCH_ONLY</x:v>
      </x:c>
      <x:c r="B87" s="46" t="str">
        <x:v>موجود في النظام</x:v>
      </x:c>
      <x:c r="C87" s="46" t="str">
        <x:v>ING-PASTA-REGULAR</x:v>
      </x:c>
      <x:c r="D87" s="46" t="str">
        <x:v>معكرونة</x:v>
      </x:c>
      <x:c r="E87" s="46" t="str">
        <x:v>Pasta</x:v>
      </x:c>
      <x:c r="F87" s="46" t="str">
        <x:v>مكوّن</x:v>
      </x:c>
      <x:c r="G87" s="46" t="str">
        <x:v>كغ</x:v>
      </x:c>
      <x:c r="H87" s="46"/>
      <x:c r="I87" s="46"/>
      <x:c r="J87" s="100"/>
      <x:c r="K87" s="46"/>
      <x:c r="L87" s="46" t="str">
        <x:v>نعم</x:v>
      </x:c>
      <x:c r="M87" s="46" t="str">
        <x:v>مطابقة فقط؛ لا تغيير على الرصيد الحالي.</x:v>
      </x:c>
    </x:row>
    <x:row r="88">
      <x:c r="A88" s="46" t="str">
        <x:v>MATCH_ONLY</x:v>
      </x:c>
      <x:c r="B88" s="46" t="str">
        <x:v>موجود في النظام</x:v>
      </x:c>
      <x:c r="C88" s="46" t="str">
        <x:v>ING-PASTA-LASAGNA</x:v>
      </x:c>
      <x:c r="D88" s="46" t="str">
        <x:v>شرائح لازانيا</x:v>
      </x:c>
      <x:c r="E88" s="46" t="str">
        <x:v>Lasagna Sheets</x:v>
      </x:c>
      <x:c r="F88" s="46" t="str">
        <x:v>مكوّن</x:v>
      </x:c>
      <x:c r="G88" s="46" t="str">
        <x:v>كغ</x:v>
      </x:c>
      <x:c r="H88" s="46"/>
      <x:c r="I88" s="46"/>
      <x:c r="J88" s="100"/>
      <x:c r="K88" s="46"/>
      <x:c r="L88" s="46" t="str">
        <x:v>نعم</x:v>
      </x:c>
      <x:c r="M88" s="46" t="str">
        <x:v>مطابقة فقط؛ لا تغيير على الرصيد الحالي.</x:v>
      </x:c>
    </x:row>
    <x:row r="89">
      <x:c r="A89" s="46" t="str">
        <x:v>MATCH_ONLY</x:v>
      </x:c>
      <x:c r="B89" s="46" t="str">
        <x:v>موجود في النظام</x:v>
      </x:c>
      <x:c r="C89" s="46" t="str">
        <x:v>ING-PASTA-NOODLES</x:v>
      </x:c>
      <x:c r="D89" s="46" t="str">
        <x:v>نودلز</x:v>
      </x:c>
      <x:c r="E89" s="46" t="str">
        <x:v>Noodles</x:v>
      </x:c>
      <x:c r="F89" s="46" t="str">
        <x:v>مكوّن</x:v>
      </x:c>
      <x:c r="G89" s="46" t="str">
        <x:v>كغ</x:v>
      </x:c>
      <x:c r="H89" s="46"/>
      <x:c r="I89" s="46"/>
      <x:c r="J89" s="100"/>
      <x:c r="K89" s="46"/>
      <x:c r="L89" s="46" t="str">
        <x:v>نعم</x:v>
      </x:c>
      <x:c r="M89" s="46" t="str">
        <x:v>مطابقة فقط؛ لا تغيير على الرصيد الحالي.</x:v>
      </x:c>
    </x:row>
    <x:row r="90">
      <x:c r="A90" s="46" t="str">
        <x:v>MATCH_ONLY</x:v>
      </x:c>
      <x:c r="B90" s="46" t="str">
        <x:v>موجود في النظام</x:v>
      </x:c>
      <x:c r="C90" s="46" t="str">
        <x:v>ING-PASTA-GNOCCHI</x:v>
      </x:c>
      <x:c r="D90" s="46" t="str">
        <x:v>نيوكي</x:v>
      </x:c>
      <x:c r="E90" s="46" t="str">
        <x:v>Gnocchi</x:v>
      </x:c>
      <x:c r="F90" s="46" t="str">
        <x:v>مكوّن</x:v>
      </x:c>
      <x:c r="G90" s="46" t="str">
        <x:v>كغ</x:v>
      </x:c>
      <x:c r="H90" s="46"/>
      <x:c r="I90" s="46"/>
      <x:c r="J90" s="100"/>
      <x:c r="K90" s="46"/>
      <x:c r="L90" s="46" t="str">
        <x:v>نعم</x:v>
      </x:c>
      <x:c r="M90" s="46" t="str">
        <x:v>مطابقة فقط؛ لا تغيير على الرصيد الحالي.</x:v>
      </x:c>
    </x:row>
    <x:row r="91">
      <x:c r="A91" s="46" t="str">
        <x:v>MATCH_ONLY</x:v>
      </x:c>
      <x:c r="B91" s="46" t="str">
        <x:v>موجود في النظام</x:v>
      </x:c>
      <x:c r="C91" s="46" t="str">
        <x:v>ING-GRAIN-MOGHRABIEH</x:v>
      </x:c>
      <x:c r="D91" s="46" t="str">
        <x:v>مغربية</x:v>
      </x:c>
      <x:c r="E91" s="46" t="str">
        <x:v>Moghrabieh Pearls</x:v>
      </x:c>
      <x:c r="F91" s="46" t="str">
        <x:v>مكوّن</x:v>
      </x:c>
      <x:c r="G91" s="46" t="str">
        <x:v>كغ</x:v>
      </x:c>
      <x:c r="H91" s="46"/>
      <x:c r="I91" s="46"/>
      <x:c r="J91" s="100"/>
      <x:c r="K91" s="46"/>
      <x:c r="L91" s="46" t="str">
        <x:v>نعم</x:v>
      </x:c>
      <x:c r="M91" s="46" t="str">
        <x:v>مطابقة فقط؛ لا تغيير على الرصيد الحالي.</x:v>
      </x:c>
    </x:row>
    <x:row r="92">
      <x:c r="A92" s="46" t="str">
        <x:v>MATCH_ONLY</x:v>
      </x:c>
      <x:c r="B92" s="46" t="str">
        <x:v>موجود في النظام</x:v>
      </x:c>
      <x:c r="C92" s="46" t="str">
        <x:v>ING-LEGUME-CHICKPEA</x:v>
      </x:c>
      <x:c r="D92" s="46" t="str">
        <x:v>حمص حب</x:v>
      </x:c>
      <x:c r="E92" s="46" t="str">
        <x:v>Chickpeas</x:v>
      </x:c>
      <x:c r="F92" s="46" t="str">
        <x:v>مكوّن</x:v>
      </x:c>
      <x:c r="G92" s="46" t="str">
        <x:v>كغ</x:v>
      </x:c>
      <x:c r="H92" s="46"/>
      <x:c r="I92" s="46"/>
      <x:c r="J92" s="100"/>
      <x:c r="K92" s="46"/>
      <x:c r="L92" s="46" t="str">
        <x:v>نعم</x:v>
      </x:c>
      <x:c r="M92" s="46" t="str">
        <x:v>مطابقة فقط؛ لا تغيير على الرصيد الحالي.</x:v>
      </x:c>
    </x:row>
    <x:row r="93">
      <x:c r="A93" s="46" t="str">
        <x:v>MATCH_ONLY</x:v>
      </x:c>
      <x:c r="B93" s="46" t="str">
        <x:v>موجود في النظام</x:v>
      </x:c>
      <x:c r="C93" s="46" t="str">
        <x:v>ING-CAN-CHICKPEA</x:v>
      </x:c>
      <x:c r="D93" s="46" t="str">
        <x:v>حمص معلب</x:v>
      </x:c>
      <x:c r="E93" s="46" t="str">
        <x:v>Canned Chickpeas</x:v>
      </x:c>
      <x:c r="F93" s="46" t="str">
        <x:v>مكوّن</x:v>
      </x:c>
      <x:c r="G93" s="46" t="str">
        <x:v>عبوة</x:v>
      </x:c>
      <x:c r="H93" s="46"/>
      <x:c r="I93" s="46"/>
      <x:c r="J93" s="100"/>
      <x:c r="K93" s="46"/>
      <x:c r="L93" s="46" t="str">
        <x:v>نعم</x:v>
      </x:c>
      <x:c r="M93" s="46" t="str">
        <x:v>مطابقة فقط؛ لا تغيير على الرصيد الحالي.</x:v>
      </x:c>
    </x:row>
    <x:row r="94">
      <x:c r="A94" s="46" t="str">
        <x:v>MATCH_ONLY</x:v>
      </x:c>
      <x:c r="B94" s="46" t="str">
        <x:v>موجود في النظام</x:v>
      </x:c>
      <x:c r="C94" s="46" t="str">
        <x:v>ING-LEGUME-LENTIL-RED</x:v>
      </x:c>
      <x:c r="D94" s="46" t="str">
        <x:v>عدس أحمر</x:v>
      </x:c>
      <x:c r="E94" s="46" t="str">
        <x:v>Red Lentils</x:v>
      </x:c>
      <x:c r="F94" s="46" t="str">
        <x:v>مكوّن</x:v>
      </x:c>
      <x:c r="G94" s="46" t="str">
        <x:v>كغ</x:v>
      </x:c>
      <x:c r="H94" s="46"/>
      <x:c r="I94" s="46"/>
      <x:c r="J94" s="100"/>
      <x:c r="K94" s="46"/>
      <x:c r="L94" s="46" t="str">
        <x:v>نعم</x:v>
      </x:c>
      <x:c r="M94" s="46" t="str">
        <x:v>مطابقة فقط؛ لا تغيير على الرصيد الحالي.</x:v>
      </x:c>
    </x:row>
    <x:row r="95">
      <x:c r="A95" s="46" t="str">
        <x:v>MATCH_ONLY</x:v>
      </x:c>
      <x:c r="B95" s="46" t="str">
        <x:v>موجود في النظام</x:v>
      </x:c>
      <x:c r="C95" s="46" t="str">
        <x:v>ING-LEGUME-LENTIL-BROWN</x:v>
      </x:c>
      <x:c r="D95" s="46" t="str">
        <x:v>عدس بني</x:v>
      </x:c>
      <x:c r="E95" s="46" t="str">
        <x:v>Brown Lentils</x:v>
      </x:c>
      <x:c r="F95" s="46" t="str">
        <x:v>مكوّن</x:v>
      </x:c>
      <x:c r="G95" s="46" t="str">
        <x:v>كغ</x:v>
      </x:c>
      <x:c r="H95" s="46"/>
      <x:c r="I95" s="46"/>
      <x:c r="J95" s="100"/>
      <x:c r="K95" s="46"/>
      <x:c r="L95" s="46" t="str">
        <x:v>نعم</x:v>
      </x:c>
      <x:c r="M95" s="46" t="str">
        <x:v>مطابقة فقط؛ لا تغيير على الرصيد الحالي.</x:v>
      </x:c>
    </x:row>
    <x:row r="96">
      <x:c r="A96" s="46" t="str">
        <x:v>MATCH_ONLY</x:v>
      </x:c>
      <x:c r="B96" s="46" t="str">
        <x:v>موجود في النظام</x:v>
      </x:c>
      <x:c r="C96" s="46" t="str">
        <x:v>ING-LEGUME-WHITEBEAN</x:v>
      </x:c>
      <x:c r="D96" s="46" t="str">
        <x:v>فاصوليا بيضاء</x:v>
      </x:c>
      <x:c r="E96" s="46" t="str">
        <x:v>White Beans</x:v>
      </x:c>
      <x:c r="F96" s="46" t="str">
        <x:v>مكوّن</x:v>
      </x:c>
      <x:c r="G96" s="46" t="str">
        <x:v>كغ</x:v>
      </x:c>
      <x:c r="H96" s="46"/>
      <x:c r="I96" s="46"/>
      <x:c r="J96" s="100"/>
      <x:c r="K96" s="46"/>
      <x:c r="L96" s="46" t="str">
        <x:v>نعم</x:v>
      </x:c>
      <x:c r="M96" s="46" t="str">
        <x:v>مطابقة فقط؛ لا تغيير على الرصيد الحالي.</x:v>
      </x:c>
    </x:row>
    <x:row r="97">
      <x:c r="A97" s="46" t="str">
        <x:v>MATCH_ONLY</x:v>
      </x:c>
      <x:c r="B97" s="46" t="str">
        <x:v>موجود في النظام</x:v>
      </x:c>
      <x:c r="C97" s="46" t="str">
        <x:v>ING-LEGUME-KIDNEYBEAN</x:v>
      </x:c>
      <x:c r="D97" s="46" t="str">
        <x:v>فاصوليا حمراء</x:v>
      </x:c>
      <x:c r="E97" s="46" t="str">
        <x:v>Kidney Beans</x:v>
      </x:c>
      <x:c r="F97" s="46" t="str">
        <x:v>مكوّن</x:v>
      </x:c>
      <x:c r="G97" s="46" t="str">
        <x:v>كغ</x:v>
      </x:c>
      <x:c r="H97" s="46"/>
      <x:c r="I97" s="46"/>
      <x:c r="J97" s="100"/>
      <x:c r="K97" s="46"/>
      <x:c r="L97" s="46" t="str">
        <x:v>نعم</x:v>
      </x:c>
      <x:c r="M97" s="46" t="str">
        <x:v>مطابقة فقط؛ لا تغيير على الرصيد الحالي.</x:v>
      </x:c>
    </x:row>
    <x:row r="98">
      <x:c r="A98" s="46" t="str">
        <x:v>MATCH_ONLY</x:v>
      </x:c>
      <x:c r="B98" s="46" t="str">
        <x:v>موجود في النظام</x:v>
      </x:c>
      <x:c r="C98" s="46" t="str">
        <x:v>ING-DRY-POPCORN</x:v>
      </x:c>
      <x:c r="D98" s="46" t="str">
        <x:v>ذرة فشار</x:v>
      </x:c>
      <x:c r="E98" s="46" t="str">
        <x:v>Popcorn Kernels</x:v>
      </x:c>
      <x:c r="F98" s="46" t="str">
        <x:v>مكوّن</x:v>
      </x:c>
      <x:c r="G98" s="46" t="str">
        <x:v>كغ</x:v>
      </x:c>
      <x:c r="H98" s="46"/>
      <x:c r="I98" s="46"/>
      <x:c r="J98" s="100"/>
      <x:c r="K98" s="46"/>
      <x:c r="L98" s="46" t="str">
        <x:v>نعم</x:v>
      </x:c>
      <x:c r="M98" s="46" t="str">
        <x:v>مطابقة فقط؛ لا تغيير على الرصيد الحالي.</x:v>
      </x:c>
    </x:row>
    <x:row r="99">
      <x:c r="A99" s="46" t="str">
        <x:v>MATCH_ONLY</x:v>
      </x:c>
      <x:c r="B99" s="46" t="str">
        <x:v>موجود في النظام</x:v>
      </x:c>
      <x:c r="C99" s="46" t="str">
        <x:v>ING-BREAD-SAMOON</x:v>
      </x:c>
      <x:c r="D99" s="46" t="str">
        <x:v>خبز سمون</x:v>
      </x:c>
      <x:c r="E99" s="46" t="str">
        <x:v>Samoon Bread</x:v>
      </x:c>
      <x:c r="F99" s="46" t="str">
        <x:v>مكوّن</x:v>
      </x:c>
      <x:c r="G99" s="46" t="str">
        <x:v>قطعة</x:v>
      </x:c>
      <x:c r="H99" s="46"/>
      <x:c r="I99" s="46"/>
      <x:c r="J99" s="100"/>
      <x:c r="K99" s="46"/>
      <x:c r="L99" s="46" t="str">
        <x:v>نعم</x:v>
      </x:c>
      <x:c r="M99" s="46" t="str">
        <x:v>خيار خبز أساسي للسندويشات.</x:v>
      </x:c>
    </x:row>
    <x:row r="100">
      <x:c r="A100" s="46" t="str">
        <x:v>MATCH_ONLY</x:v>
      </x:c>
      <x:c r="B100" s="46" t="str">
        <x:v>موجود في النظام</x:v>
      </x:c>
      <x:c r="C100" s="46" t="str">
        <x:v>ING-BREAD-BAGUETTE</x:v>
      </x:c>
      <x:c r="D100" s="46" t="str">
        <x:v>خبز باغيت</x:v>
      </x:c>
      <x:c r="E100" s="46" t="str">
        <x:v>Baguette</x:v>
      </x:c>
      <x:c r="F100" s="46" t="str">
        <x:v>مكوّن</x:v>
      </x:c>
      <x:c r="G100" s="46" t="str">
        <x:v>قطعة</x:v>
      </x:c>
      <x:c r="H100" s="46"/>
      <x:c r="I100" s="46"/>
      <x:c r="J100" s="100"/>
      <x:c r="K100" s="46"/>
      <x:c r="L100" s="46" t="str">
        <x:v>نعم</x:v>
      </x:c>
      <x:c r="M100" s="46" t="str">
        <x:v>خيار خبز أساسي للسندويشات.</x:v>
      </x:c>
    </x:row>
    <x:row r="101">
      <x:c r="A101" s="46" t="str">
        <x:v>MATCH_ONLY</x:v>
      </x:c>
      <x:c r="B101" s="46" t="str">
        <x:v>موجود في النظام</x:v>
      </x:c>
      <x:c r="C101" s="46" t="str">
        <x:v>ING-BREAD-PITA</x:v>
      </x:c>
      <x:c r="D101" s="46" t="str">
        <x:v>خبز عربي</x:v>
      </x:c>
      <x:c r="E101" s="46" t="str">
        <x:v>Arabic Flatbread</x:v>
      </x:c>
      <x:c r="F101" s="46" t="str">
        <x:v>مكوّن</x:v>
      </x:c>
      <x:c r="G101" s="46" t="str">
        <x:v>قطعة</x:v>
      </x:c>
      <x:c r="H101" s="46"/>
      <x:c r="I101" s="46"/>
      <x:c r="J101" s="100"/>
      <x:c r="K101" s="46"/>
      <x:c r="L101" s="46" t="str">
        <x:v>نعم</x:v>
      </x:c>
      <x:c r="M101" s="46" t="str">
        <x:v>خيار الخبز العادي.</x:v>
      </x:c>
    </x:row>
    <x:row r="102">
      <x:c r="A102" s="46" t="str">
        <x:v>MATCH_ONLY</x:v>
      </x:c>
      <x:c r="B102" s="46" t="str">
        <x:v>موجود في النظام</x:v>
      </x:c>
      <x:c r="C102" s="46" t="str">
        <x:v>ING-BREAD-HOTDOG</x:v>
      </x:c>
      <x:c r="D102" s="46" t="str">
        <x:v>خبز هوت دوغ</x:v>
      </x:c>
      <x:c r="E102" s="46" t="str">
        <x:v>Hot Dog Bun</x:v>
      </x:c>
      <x:c r="F102" s="46" t="str">
        <x:v>مكوّن</x:v>
      </x:c>
      <x:c r="G102" s="46" t="str">
        <x:v>قطعة</x:v>
      </x:c>
      <x:c r="H102" s="46"/>
      <x:c r="I102" s="46"/>
      <x:c r="J102" s="100" t="n">
        <x:v>1000</x:v>
      </x:c>
      <x:c r="K102" s="46"/>
      <x:c r="L102" s="46" t="str">
        <x:v>نعم</x:v>
      </x:c>
      <x:c r="M102" s="46" t="str">
        <x:v>الكلفة التقريبية التي ناقشناها: 1,000 ل.س للحبة.</x:v>
      </x:c>
    </x:row>
    <x:row r="103">
      <x:c r="A103" s="46" t="str">
        <x:v>MATCH_ONLY</x:v>
      </x:c>
      <x:c r="B103" s="46" t="str">
        <x:v>موجود في النظام</x:v>
      </x:c>
      <x:c r="C103" s="46" t="str">
        <x:v>ING-BREAD-BURGER</x:v>
      </x:c>
      <x:c r="D103" s="46" t="str">
        <x:v>خبز برغر</x:v>
      </x:c>
      <x:c r="E103" s="46" t="str">
        <x:v>Burger Bun</x:v>
      </x:c>
      <x:c r="F103" s="46" t="str">
        <x:v>مكوّن</x:v>
      </x:c>
      <x:c r="G103" s="46" t="str">
        <x:v>قطعة</x:v>
      </x:c>
      <x:c r="H103" s="46"/>
      <x:c r="I103" s="46"/>
      <x:c r="J103" s="100"/>
      <x:c r="K103" s="46"/>
      <x:c r="L103" s="46" t="str">
        <x:v>نعم</x:v>
      </x:c>
      <x:c r="M103" s="46" t="str">
        <x:v>مطابقة فقط؛ لا تغيير على الرصيد الحالي.</x:v>
      </x:c>
    </x:row>
    <x:row r="104">
      <x:c r="A104" s="46" t="str">
        <x:v>MATCH_ONLY</x:v>
      </x:c>
      <x:c r="B104" s="46" t="str">
        <x:v>موجود في النظام</x:v>
      </x:c>
      <x:c r="C104" s="46" t="str">
        <x:v>ING-DOUGH-PUFF</x:v>
      </x:c>
      <x:c r="D104" s="46" t="str">
        <x:v>عجينة بف باستري</x:v>
      </x:c>
      <x:c r="E104" s="46" t="str">
        <x:v>Puff Pastry</x:v>
      </x:c>
      <x:c r="F104" s="46" t="str">
        <x:v>مكوّن</x:v>
      </x:c>
      <x:c r="G104" s="46" t="str">
        <x:v>كغ</x:v>
      </x:c>
      <x:c r="H104" s="46"/>
      <x:c r="I104" s="46"/>
      <x:c r="J104" s="100"/>
      <x:c r="K104" s="46"/>
      <x:c r="L104" s="46" t="str">
        <x:v>نعم</x:v>
      </x:c>
      <x:c r="M104" s="46" t="str">
        <x:v>للكيش والبوريك وبعض المعجنات.</x:v>
      </x:c>
    </x:row>
    <x:row r="105">
      <x:c r="A105" s="46" t="str">
        <x:v>MATCH_ONLY</x:v>
      </x:c>
      <x:c r="B105" s="46" t="str">
        <x:v>موجود في النظام</x:v>
      </x:c>
      <x:c r="C105" s="46" t="str">
        <x:v>ING-DOUGH-PHYLLO</x:v>
      </x:c>
      <x:c r="D105" s="46" t="str">
        <x:v>رقائق فيلو</x:v>
      </x:c>
      <x:c r="E105" s="46" t="str">
        <x:v>Phyllo Pastry</x:v>
      </x:c>
      <x:c r="F105" s="46" t="str">
        <x:v>مكوّن</x:v>
      </x:c>
      <x:c r="G105" s="46" t="str">
        <x:v>عبوة</x:v>
      </x:c>
      <x:c r="H105" s="46"/>
      <x:c r="I105" s="46"/>
      <x:c r="J105" s="100"/>
      <x:c r="K105" s="46"/>
      <x:c r="L105" s="46" t="str">
        <x:v>نعم</x:v>
      </x:c>
      <x:c r="M105" s="46" t="str">
        <x:v>مطابقة فقط؛ لا تغيير على الرصيد الحالي.</x:v>
      </x:c>
    </x:row>
    <x:row r="106">
      <x:c r="A106" s="46" t="str">
        <x:v>MATCH_ONLY</x:v>
      </x:c>
      <x:c r="B106" s="46" t="str">
        <x:v>موجود في النظام</x:v>
      </x:c>
      <x:c r="C106" s="46" t="str">
        <x:v>ING-BAKE-YEAST</x:v>
      </x:c>
      <x:c r="D106" s="46" t="str">
        <x:v>خميرة خبز جافة</x:v>
      </x:c>
      <x:c r="E106" s="46" t="str">
        <x:v>Dry Baker's Yeast</x:v>
      </x:c>
      <x:c r="F106" s="46" t="str">
        <x:v>مكوّن</x:v>
      </x:c>
      <x:c r="G106" s="46" t="str">
        <x:v>غ</x:v>
      </x:c>
      <x:c r="H106" s="46"/>
      <x:c r="I106" s="46"/>
      <x:c r="J106" s="100"/>
      <x:c r="K106" s="46"/>
      <x:c r="L106" s="46" t="str">
        <x:v>نعم</x:v>
      </x:c>
      <x:c r="M106" s="46" t="str">
        <x:v>مطابقة فقط؛ لا تغيير على الرصيد الحالي.</x:v>
      </x:c>
    </x:row>
    <x:row r="107">
      <x:c r="A107" s="46" t="str">
        <x:v>MATCH_ONLY</x:v>
      </x:c>
      <x:c r="B107" s="46" t="str">
        <x:v>موجود في النظام</x:v>
      </x:c>
      <x:c r="C107" s="46" t="str">
        <x:v>ING-BAKE-POWDER</x:v>
      </x:c>
      <x:c r="D107" s="46" t="str">
        <x:v>بيكنغ باودر</x:v>
      </x:c>
      <x:c r="E107" s="46" t="str">
        <x:v>Baking Powder</x:v>
      </x:c>
      <x:c r="F107" s="46" t="str">
        <x:v>مكوّن</x:v>
      </x:c>
      <x:c r="G107" s="46" t="str">
        <x:v>غ</x:v>
      </x:c>
      <x:c r="H107" s="46"/>
      <x:c r="I107" s="46"/>
      <x:c r="J107" s="100"/>
      <x:c r="K107" s="46"/>
      <x:c r="L107" s="46" t="str">
        <x:v>نعم</x:v>
      </x:c>
      <x:c r="M107" s="46" t="str">
        <x:v>مطابقة فقط؛ لا تغيير على الرصيد الحالي.</x:v>
      </x:c>
    </x:row>
    <x:row r="108">
      <x:c r="A108" s="46" t="str">
        <x:v>MATCH_ONLY</x:v>
      </x:c>
      <x:c r="B108" s="46" t="str">
        <x:v>موجود في النظام</x:v>
      </x:c>
      <x:c r="C108" s="46" t="str">
        <x:v>ING-BAKE-CORNSTARCH</x:v>
      </x:c>
      <x:c r="D108" s="46" t="str">
        <x:v>نشا ذرة</x:v>
      </x:c>
      <x:c r="E108" s="46" t="str">
        <x:v>Corn Starch</x:v>
      </x:c>
      <x:c r="F108" s="46" t="str">
        <x:v>مكوّن</x:v>
      </x:c>
      <x:c r="G108" s="46" t="str">
        <x:v>كغ</x:v>
      </x:c>
      <x:c r="H108" s="46"/>
      <x:c r="I108" s="46"/>
      <x:c r="J108" s="100"/>
      <x:c r="K108" s="46"/>
      <x:c r="L108" s="46" t="str">
        <x:v>نعم</x:v>
      </x:c>
      <x:c r="M108" s="46" t="str">
        <x:v>مطابقة فقط؛ لا تغيير على الرصيد الحالي.</x:v>
      </x:c>
    </x:row>
    <x:row r="109">
      <x:c r="A109" s="46" t="str">
        <x:v>MATCH_ONLY</x:v>
      </x:c>
      <x:c r="B109" s="46" t="str">
        <x:v>موجود في النظام</x:v>
      </x:c>
      <x:c r="C109" s="46" t="str">
        <x:v>ING-SAUCE-TAHINI</x:v>
      </x:c>
      <x:c r="D109" s="46" t="str">
        <x:v>طحينية</x:v>
      </x:c>
      <x:c r="E109" s="46" t="str">
        <x:v>Tahini</x:v>
      </x:c>
      <x:c r="F109" s="46" t="str">
        <x:v>مكوّن</x:v>
      </x:c>
      <x:c r="G109" s="46" t="str">
        <x:v>كغ</x:v>
      </x:c>
      <x:c r="H109" s="46"/>
      <x:c r="I109" s="46"/>
      <x:c r="J109" s="100" t="n">
        <x:v>70000</x:v>
      </x:c>
      <x:c r="K109" s="46"/>
      <x:c r="L109" s="46" t="str">
        <x:v>نعم</x:v>
      </x:c>
      <x:c r="M109" s="46" t="str">
        <x:v>عبوة 400 غ = 28,000 ل.س؛ الكلفة المحسوبة 70,000 ل.س/كغ.</x:v>
      </x:c>
    </x:row>
    <x:row r="110">
      <x:c r="A110" s="46" t="str">
        <x:v>MATCH_ONLY</x:v>
      </x:c>
      <x:c r="B110" s="46" t="str">
        <x:v>موجود في النظام</x:v>
      </x:c>
      <x:c r="C110" s="46" t="str">
        <x:v>ING-SAUCE-MAYO</x:v>
      </x:c>
      <x:c r="D110" s="46" t="str">
        <x:v>مايونيز</x:v>
      </x:c>
      <x:c r="E110" s="46" t="str">
        <x:v>Mayonnaise</x:v>
      </x:c>
      <x:c r="F110" s="46" t="str">
        <x:v>مكوّن</x:v>
      </x:c>
      <x:c r="G110" s="46" t="str">
        <x:v>عبوة</x:v>
      </x:c>
      <x:c r="H110" s="46"/>
      <x:c r="I110" s="46"/>
      <x:c r="J110" s="100" t="n">
        <x:v>23000</x:v>
      </x:c>
      <x:c r="K110" s="46"/>
      <x:c r="L110" s="46" t="str">
        <x:v>نعم</x:v>
      </x:c>
      <x:c r="M110" s="46" t="str">
        <x:v>ورد وزن 280–400 غ في مراجع مختلفة؛ تحقق من الوزن قبل تحويل الكلفة إلى كغ.</x:v>
      </x:c>
    </x:row>
    <x:row r="111">
      <x:c r="A111" s="46" t="str">
        <x:v>MATCH_ONLY</x:v>
      </x:c>
      <x:c r="B111" s="46" t="str">
        <x:v>موجود في النظام</x:v>
      </x:c>
      <x:c r="C111" s="46" t="str">
        <x:v>ING-SAUCE-KETCHUP</x:v>
      </x:c>
      <x:c r="D111" s="46" t="str">
        <x:v>كاتشب</x:v>
      </x:c>
      <x:c r="E111" s="46" t="str">
        <x:v>Ketchup</x:v>
      </x:c>
      <x:c r="F111" s="46" t="str">
        <x:v>مكوّن</x:v>
      </x:c>
      <x:c r="G111" s="46" t="str">
        <x:v>كغ</x:v>
      </x:c>
      <x:c r="H111" s="46"/>
      <x:c r="I111" s="46"/>
      <x:c r="J111" s="100" t="n">
        <x:v>33333.33</x:v>
      </x:c>
      <x:c r="K111" s="46"/>
      <x:c r="L111" s="46" t="str">
        <x:v>نعم</x:v>
      </x:c>
      <x:c r="M111" s="46" t="str">
        <x:v>عبوة 600 غ ≈ 20,000 ل.س؛ الكلفة المحسوبة 33,333.33 ل.س/كغ.</x:v>
      </x:c>
    </x:row>
    <x:row r="112">
      <x:c r="A112" s="46" t="str">
        <x:v>MATCH_ONLY</x:v>
      </x:c>
      <x:c r="B112" s="46" t="str">
        <x:v>موجود في النظام</x:v>
      </x:c>
      <x:c r="C112" s="46" t="str">
        <x:v>ING-SAUCE-POMMOLASSES</x:v>
      </x:c>
      <x:c r="D112" s="46" t="str">
        <x:v>دبس رمان</x:v>
      </x:c>
      <x:c r="E112" s="46" t="str">
        <x:v>Pomegranate Molasses</x:v>
      </x:c>
      <x:c r="F112" s="46" t="str">
        <x:v>مكوّن</x:v>
      </x:c>
      <x:c r="G112" s="46" t="str">
        <x:v>كغ</x:v>
      </x:c>
      <x:c r="H112" s="46"/>
      <x:c r="I112" s="46"/>
      <x:c r="J112" s="100" t="n">
        <x:v>40000</x:v>
      </x:c>
      <x:c r="K112" s="46"/>
      <x:c r="L112" s="46" t="str">
        <x:v>نعم</x:v>
      </x:c>
      <x:c r="M112" s="46" t="str">
        <x:v>عبوة 250 غ = 10,000 ل.س؛ الكلفة المحسوبة 40,000 ل.س/كغ.</x:v>
      </x:c>
    </x:row>
    <x:row r="113">
      <x:c r="A113" s="46" t="str">
        <x:v>MATCH_ONLY</x:v>
      </x:c>
      <x:c r="B113" s="46" t="str">
        <x:v>موجود في النظام</x:v>
      </x:c>
      <x:c r="C113" s="46" t="str">
        <x:v>ING-SAUCE-WHITEVINEGAR</x:v>
      </x:c>
      <x:c r="D113" s="46" t="str">
        <x:v>خل أبيض</x:v>
      </x:c>
      <x:c r="E113" s="46" t="str">
        <x:v>White Vinegar</x:v>
      </x:c>
      <x:c r="F113" s="46" t="str">
        <x:v>مكوّن</x:v>
      </x:c>
      <x:c r="G113" s="46" t="str">
        <x:v>لتر</x:v>
      </x:c>
      <x:c r="H113" s="46"/>
      <x:c r="I113" s="46"/>
      <x:c r="J113" s="100" t="n">
        <x:v>16000</x:v>
      </x:c>
      <x:c r="K113" s="46"/>
      <x:c r="L113" s="46" t="str">
        <x:v>نعم</x:v>
      </x:c>
      <x:c r="M113" s="46" t="str">
        <x:v>عبوة 500 مل = 8,000 ل.س؛ الكلفة المحسوبة 16,000 ل.س/لتر.</x:v>
      </x:c>
    </x:row>
    <x:row r="114">
      <x:c r="A114" s="46" t="str">
        <x:v>MATCH_ONLY</x:v>
      </x:c>
      <x:c r="B114" s="46" t="str">
        <x:v>موجود في النظام</x:v>
      </x:c>
      <x:c r="C114" s="46" t="str">
        <x:v>ING-SAUCE-APPLEVINEGAR</x:v>
      </x:c>
      <x:c r="D114" s="46" t="str">
        <x:v>خل تفاح</x:v>
      </x:c>
      <x:c r="E114" s="46" t="str">
        <x:v>Apple Cider Vinegar</x:v>
      </x:c>
      <x:c r="F114" s="46" t="str">
        <x:v>مكوّن</x:v>
      </x:c>
      <x:c r="G114" s="46" t="str">
        <x:v>لتر</x:v>
      </x:c>
      <x:c r="H114" s="46"/>
      <x:c r="I114" s="46"/>
      <x:c r="J114" s="100"/>
      <x:c r="K114" s="46"/>
      <x:c r="L114" s="46" t="str">
        <x:v>نعم</x:v>
      </x:c>
      <x:c r="M114" s="46" t="str">
        <x:v>مطابقة فقط؛ لا تغيير على الرصيد الحالي.</x:v>
      </x:c>
    </x:row>
    <x:row r="115">
      <x:c r="A115" s="46" t="str">
        <x:v>MATCH_ONLY</x:v>
      </x:c>
      <x:c r="B115" s="46" t="str">
        <x:v>موجود في النظام</x:v>
      </x:c>
      <x:c r="C115" s="46" t="str">
        <x:v>ING-SAUCE-MUSTARD</x:v>
      </x:c>
      <x:c r="D115" s="46" t="str">
        <x:v>خردل</x:v>
      </x:c>
      <x:c r="E115" s="46" t="str">
        <x:v>Mustard</x:v>
      </x:c>
      <x:c r="F115" s="46" t="str">
        <x:v>مكوّن</x:v>
      </x:c>
      <x:c r="G115" s="46" t="str">
        <x:v>كغ</x:v>
      </x:c>
      <x:c r="H115" s="46"/>
      <x:c r="I115" s="46"/>
      <x:c r="J115" s="100" t="n">
        <x:v>66666.67</x:v>
      </x:c>
      <x:c r="K115" s="46"/>
      <x:c r="L115" s="46" t="str">
        <x:v>نعم</x:v>
      </x:c>
      <x:c r="M115" s="46" t="str">
        <x:v>عبوة 300 غ = 20,000 ل.س؛ الكلفة المحسوبة 66,666.67 ل.س/كغ.</x:v>
      </x:c>
    </x:row>
    <x:row r="116">
      <x:c r="A116" s="46" t="str">
        <x:v>MATCH_ONLY</x:v>
      </x:c>
      <x:c r="B116" s="46" t="str">
        <x:v>موجود في النظام</x:v>
      </x:c>
      <x:c r="C116" s="46" t="str">
        <x:v>ING-PICKLE-MIXED</x:v>
      </x:c>
      <x:c r="D116" s="46" t="str">
        <x:v>مخلل مشكل</x:v>
      </x:c>
      <x:c r="E116" s="46" t="str">
        <x:v>Mixed Pickles</x:v>
      </x:c>
      <x:c r="F116" s="46" t="str">
        <x:v>مكوّن</x:v>
      </x:c>
      <x:c r="G116" s="46" t="str">
        <x:v>عبوة</x:v>
      </x:c>
      <x:c r="H116" s="46"/>
      <x:c r="I116" s="46"/>
      <x:c r="J116" s="100" t="n">
        <x:v>7000</x:v>
      </x:c>
      <x:c r="K116" s="46"/>
      <x:c r="L116" s="46" t="str">
        <x:v>نعم</x:v>
      </x:c>
      <x:c r="M116" s="46" t="str">
        <x:v>كيس صغير.</x:v>
      </x:c>
    </x:row>
    <x:row r="117">
      <x:c r="A117" s="46" t="str">
        <x:v>MATCH_ONLY</x:v>
      </x:c>
      <x:c r="B117" s="46" t="str">
        <x:v>موجود في النظام</x:v>
      </x:c>
      <x:c r="C117" s="46" t="str">
        <x:v>ING-CAN-MUSHROOM</x:v>
      </x:c>
      <x:c r="D117" s="46" t="str">
        <x:v>فطر معلب</x:v>
      </x:c>
      <x:c r="E117" s="46" t="str">
        <x:v>Canned Mushrooms</x:v>
      </x:c>
      <x:c r="F117" s="46" t="str">
        <x:v>مكوّن</x:v>
      </x:c>
      <x:c r="G117" s="46" t="str">
        <x:v>كغ</x:v>
      </x:c>
      <x:c r="H117" s="46"/>
      <x:c r="I117" s="46"/>
      <x:c r="J117" s="100" t="n">
        <x:v>30000</x:v>
      </x:c>
      <x:c r="K117" s="46"/>
      <x:c r="L117" s="46" t="str">
        <x:v>نعم</x:v>
      </x:c>
      <x:c r="M117" s="46" t="str">
        <x:v>عبوة 400 غ = 12,000 ل.س؛ الكلفة المحسوبة 30,000 ل.س/كغ.</x:v>
      </x:c>
    </x:row>
    <x:row r="118">
      <x:c r="A118" s="46" t="str">
        <x:v>MATCH_ONLY</x:v>
      </x:c>
      <x:c r="B118" s="46" t="str">
        <x:v>موجود في النظام</x:v>
      </x:c>
      <x:c r="C118" s="46" t="str">
        <x:v>ING-SAUCE-CHILIPASTE</x:v>
      </x:c>
      <x:c r="D118" s="46" t="str">
        <x:v>شطة / معجون فلفل حار</x:v>
      </x:c>
      <x:c r="E118" s="46" t="str">
        <x:v>Chili Paste</x:v>
      </x:c>
      <x:c r="F118" s="46" t="str">
        <x:v>مكوّن</x:v>
      </x:c>
      <x:c r="G118" s="46" t="str">
        <x:v>كغ</x:v>
      </x:c>
      <x:c r="H118" s="46"/>
      <x:c r="I118" s="46"/>
      <x:c r="J118" s="100" t="n">
        <x:v>32000</x:v>
      </x:c>
      <x:c r="K118" s="46"/>
      <x:c r="L118" s="46" t="str">
        <x:v>نعم</x:v>
      </x:c>
      <x:c r="M118" s="46" t="str">
        <x:v>عبوة 250 غ = 8,000 ل.س؛ الكلفة المحسوبة 32,000 ل.س/كغ.</x:v>
      </x:c>
    </x:row>
    <x:row r="119">
      <x:c r="A119" s="46" t="str">
        <x:v>MATCH_ONLY</x:v>
      </x:c>
      <x:c r="B119" s="46" t="str">
        <x:v>موجود في النظام</x:v>
      </x:c>
      <x:c r="C119" s="46" t="str">
        <x:v>ING-CAN-TOMATOPASTE</x:v>
      </x:c>
      <x:c r="D119" s="46" t="str">
        <x:v>رب بندورة</x:v>
      </x:c>
      <x:c r="E119" s="46" t="str">
        <x:v>Tomato Paste</x:v>
      </x:c>
      <x:c r="F119" s="46" t="str">
        <x:v>مكوّن</x:v>
      </x:c>
      <x:c r="G119" s="46" t="str">
        <x:v>كغ</x:v>
      </x:c>
      <x:c r="H119" s="46"/>
      <x:c r="I119" s="46"/>
      <x:c r="J119" s="100"/>
      <x:c r="K119" s="46"/>
      <x:c r="L119" s="46" t="str">
        <x:v>نعم</x:v>
      </x:c>
      <x:c r="M119" s="46" t="str">
        <x:v>مطابقة فقط؛ لا تغيير على الرصيد الحالي.</x:v>
      </x:c>
    </x:row>
    <x:row r="120">
      <x:c r="A120" s="46" t="str">
        <x:v>MATCH_ONLY</x:v>
      </x:c>
      <x:c r="B120" s="46" t="str">
        <x:v>موجود في النظام</x:v>
      </x:c>
      <x:c r="C120" s="46" t="str">
        <x:v>ING-OIL-OLIVE</x:v>
      </x:c>
      <x:c r="D120" s="46" t="str">
        <x:v>زيت زيتون</x:v>
      </x:c>
      <x:c r="E120" s="46" t="str">
        <x:v>Olive Oil</x:v>
      </x:c>
      <x:c r="F120" s="46" t="str">
        <x:v>مكوّن</x:v>
      </x:c>
      <x:c r="G120" s="46" t="str">
        <x:v>لتر</x:v>
      </x:c>
      <x:c r="H120" s="46"/>
      <x:c r="I120" s="46"/>
      <x:c r="J120" s="100"/>
      <x:c r="K120" s="46"/>
      <x:c r="L120" s="46" t="str">
        <x:v>نعم</x:v>
      </x:c>
      <x:c r="M120" s="46" t="str">
        <x:v>للسندويشات، المازة والأطباق اليومية.</x:v>
      </x:c>
    </x:row>
    <x:row r="121">
      <x:c r="A121" s="46" t="str">
        <x:v>MATCH_ONLY</x:v>
      </x:c>
      <x:c r="B121" s="46" t="str">
        <x:v>موجود في النظام</x:v>
      </x:c>
      <x:c r="C121" s="46" t="str">
        <x:v>ING-OIL-VEGETABLE</x:v>
      </x:c>
      <x:c r="D121" s="46" t="str">
        <x:v>زيت نباتي</x:v>
      </x:c>
      <x:c r="E121" s="46" t="str">
        <x:v>Vegetable Oil</x:v>
      </x:c>
      <x:c r="F121" s="46" t="str">
        <x:v>مكوّن</x:v>
      </x:c>
      <x:c r="G121" s="46" t="str">
        <x:v>لتر</x:v>
      </x:c>
      <x:c r="H121" s="46"/>
      <x:c r="I121" s="46"/>
      <x:c r="J121" s="100"/>
      <x:c r="K121" s="46"/>
      <x:c r="L121" s="46" t="str">
        <x:v>نعم</x:v>
      </x:c>
      <x:c r="M121" s="46" t="str">
        <x:v>مطابقة فقط؛ لا تغيير على الرصيد الحالي.</x:v>
      </x:c>
    </x:row>
    <x:row r="122">
      <x:c r="A122" s="46" t="str">
        <x:v>MATCH_ONLY</x:v>
      </x:c>
      <x:c r="B122" s="46" t="str">
        <x:v>موجود في النظام</x:v>
      </x:c>
      <x:c r="C122" s="46" t="str">
        <x:v>ING-SAUCE-SOY</x:v>
      </x:c>
      <x:c r="D122" s="46" t="str">
        <x:v>صلصة صويا</x:v>
      </x:c>
      <x:c r="E122" s="46" t="str">
        <x:v>Soy Sauce</x:v>
      </x:c>
      <x:c r="F122" s="46" t="str">
        <x:v>مكوّن</x:v>
      </x:c>
      <x:c r="G122" s="46" t="str">
        <x:v>لتر</x:v>
      </x:c>
      <x:c r="H122" s="46"/>
      <x:c r="I122" s="46"/>
      <x:c r="J122" s="100"/>
      <x:c r="K122" s="46"/>
      <x:c r="L122" s="46" t="str">
        <x:v>نعم</x:v>
      </x:c>
      <x:c r="M122" s="46" t="str">
        <x:v>للنودلز والرز المقلي.</x:v>
      </x:c>
    </x:row>
    <x:row r="123">
      <x:c r="A123" s="46" t="str">
        <x:v>MATCH_ONLY</x:v>
      </x:c>
      <x:c r="B123" s="46" t="str">
        <x:v>موجود في النظام</x:v>
      </x:c>
      <x:c r="C123" s="46" t="str">
        <x:v>ING-SAUCE-WORCESTER</x:v>
      </x:c>
      <x:c r="D123" s="46" t="str">
        <x:v>صلصة ورشستر</x:v>
      </x:c>
      <x:c r="E123" s="46" t="str">
        <x:v>Worcestershire Sauce</x:v>
      </x:c>
      <x:c r="F123" s="46" t="str">
        <x:v>مكوّن</x:v>
      </x:c>
      <x:c r="G123" s="46" t="str">
        <x:v>لتر</x:v>
      </x:c>
      <x:c r="H123" s="46"/>
      <x:c r="I123" s="46"/>
      <x:c r="J123" s="100"/>
      <x:c r="K123" s="46"/>
      <x:c r="L123" s="46" t="str">
        <x:v>نعم</x:v>
      </x:c>
      <x:c r="M123" s="46" t="str">
        <x:v>مطابقة فقط؛ لا تغيير على الرصيد الحالي.</x:v>
      </x:c>
    </x:row>
    <x:row r="124">
      <x:c r="A124" s="46" t="str">
        <x:v>MATCH_ONLY</x:v>
      </x:c>
      <x:c r="B124" s="46" t="str">
        <x:v>موجود في النظام</x:v>
      </x:c>
      <x:c r="C124" s="46" t="str">
        <x:v>ING-SAUCE-SMOKY</x:v>
      </x:c>
      <x:c r="D124" s="46" t="str">
        <x:v>صوص مدخن</x:v>
      </x:c>
      <x:c r="E124" s="46" t="str">
        <x:v>Smoky Sauce</x:v>
      </x:c>
      <x:c r="F124" s="46" t="str">
        <x:v>مكوّن</x:v>
      </x:c>
      <x:c r="G124" s="46" t="str">
        <x:v>لتر</x:v>
      </x:c>
      <x:c r="H124" s="46"/>
      <x:c r="I124" s="46"/>
      <x:c r="J124" s="100"/>
      <x:c r="K124" s="46"/>
      <x:c r="L124" s="46" t="str">
        <x:v>نعم</x:v>
      </x:c>
      <x:c r="M124" s="46" t="str">
        <x:v>لبرميل حبق والهوت دوغ.</x:v>
      </x:c>
    </x:row>
    <x:row r="125">
      <x:c r="A125" s="46" t="str">
        <x:v>MATCH_ONLY</x:v>
      </x:c>
      <x:c r="B125" s="46" t="str">
        <x:v>موجود في النظام</x:v>
      </x:c>
      <x:c r="C125" s="46" t="str">
        <x:v>ING-SAUCE-TABASCO</x:v>
      </x:c>
      <x:c r="D125" s="46" t="str">
        <x:v>تاباسكو</x:v>
      </x:c>
      <x:c r="E125" s="46" t="str">
        <x:v>Tabasco Sauce</x:v>
      </x:c>
      <x:c r="F125" s="46" t="str">
        <x:v>مكوّن</x:v>
      </x:c>
      <x:c r="G125" s="46" t="str">
        <x:v>مل</x:v>
      </x:c>
      <x:c r="H125" s="46"/>
      <x:c r="I125" s="46"/>
      <x:c r="J125" s="100"/>
      <x:c r="K125" s="46"/>
      <x:c r="L125" s="46" t="str">
        <x:v>نعم</x:v>
      </x:c>
      <x:c r="M125" s="46" t="str">
        <x:v>للشوت مع الزيتونة وبعض الكوكتيلات.</x:v>
      </x:c>
    </x:row>
    <x:row r="126">
      <x:c r="A126" s="46" t="str">
        <x:v>MATCH_ONLY</x:v>
      </x:c>
      <x:c r="B126" s="46" t="str">
        <x:v>موجود في النظام</x:v>
      </x:c>
      <x:c r="C126" s="46" t="str">
        <x:v>ING-SWEET-HONEY</x:v>
      </x:c>
      <x:c r="D126" s="46" t="str">
        <x:v>عسل</x:v>
      </x:c>
      <x:c r="E126" s="46" t="str">
        <x:v>Honey</x:v>
      </x:c>
      <x:c r="F126" s="46" t="str">
        <x:v>مكوّن</x:v>
      </x:c>
      <x:c r="G126" s="46" t="str">
        <x:v>كغ</x:v>
      </x:c>
      <x:c r="H126" s="46"/>
      <x:c r="I126" s="46"/>
      <x:c r="J126" s="100"/>
      <x:c r="K126" s="46"/>
      <x:c r="L126" s="46" t="str">
        <x:v>نعم</x:v>
      </x:c>
      <x:c r="M126" s="46" t="str">
        <x:v>مطابقة فقط؛ لا تغيير على الرصيد الحالي.</x:v>
      </x:c>
    </x:row>
    <x:row r="127">
      <x:c r="A127" s="46" t="str">
        <x:v>MATCH_ONLY</x:v>
      </x:c>
      <x:c r="B127" s="46" t="str">
        <x:v>موجود في النظام</x:v>
      </x:c>
      <x:c r="C127" s="46" t="str">
        <x:v>ING-SWEET-JAM</x:v>
      </x:c>
      <x:c r="D127" s="46" t="str">
        <x:v>مربى</x:v>
      </x:c>
      <x:c r="E127" s="46" t="str">
        <x:v>Jam</x:v>
      </x:c>
      <x:c r="F127" s="46" t="str">
        <x:v>مكوّن</x:v>
      </x:c>
      <x:c r="G127" s="46" t="str">
        <x:v>كغ</x:v>
      </x:c>
      <x:c r="H127" s="46"/>
      <x:c r="I127" s="46"/>
      <x:c r="J127" s="100"/>
      <x:c r="K127" s="46"/>
      <x:c r="L127" s="46" t="str">
        <x:v>نعم</x:v>
      </x:c>
      <x:c r="M127" s="46" t="str">
        <x:v>مطابقة فقط؛ لا تغيير على الرصيد الحالي.</x:v>
      </x:c>
    </x:row>
    <x:row r="128">
      <x:c r="A128" s="46" t="str">
        <x:v>MATCH_ONLY</x:v>
      </x:c>
      <x:c r="B128" s="46" t="str">
        <x:v>موجود في النظام</x:v>
      </x:c>
      <x:c r="C128" s="46" t="str">
        <x:v>ING-SWEET-GRAPEMOLASSES</x:v>
      </x:c>
      <x:c r="D128" s="46" t="str">
        <x:v>دبس عنب</x:v>
      </x:c>
      <x:c r="E128" s="46" t="str">
        <x:v>Grape Molasses</x:v>
      </x:c>
      <x:c r="F128" s="46" t="str">
        <x:v>مكوّن</x:v>
      </x:c>
      <x:c r="G128" s="46" t="str">
        <x:v>كغ</x:v>
      </x:c>
      <x:c r="H128" s="46"/>
      <x:c r="I128" s="46"/>
      <x:c r="J128" s="100"/>
      <x:c r="K128" s="46"/>
      <x:c r="L128" s="46" t="str">
        <x:v>نعم</x:v>
      </x:c>
      <x:c r="M128" s="46" t="str">
        <x:v>للجلاب، دبس وليمون والمشروبات المحلية.</x:v>
      </x:c>
    </x:row>
    <x:row r="129">
      <x:c r="A129" s="46" t="str">
        <x:v>MATCH_ONLY</x:v>
      </x:c>
      <x:c r="B129" s="46" t="str">
        <x:v>موجود في النظام</x:v>
      </x:c>
      <x:c r="C129" s="46" t="str">
        <x:v>ING-SWEET-DATEMOLASSES</x:v>
      </x:c>
      <x:c r="D129" s="46" t="str">
        <x:v>دبس تمر</x:v>
      </x:c>
      <x:c r="E129" s="46" t="str">
        <x:v>Date Molasses</x:v>
      </x:c>
      <x:c r="F129" s="46" t="str">
        <x:v>مكوّن</x:v>
      </x:c>
      <x:c r="G129" s="46" t="str">
        <x:v>كغ</x:v>
      </x:c>
      <x:c r="H129" s="46"/>
      <x:c r="I129" s="46"/>
      <x:c r="J129" s="100"/>
      <x:c r="K129" s="46"/>
      <x:c r="L129" s="46" t="str">
        <x:v>نعم</x:v>
      </x:c>
      <x:c r="M129" s="46" t="str">
        <x:v>مطابقة فقط؛ لا تغيير على الرصيد الحالي.</x:v>
      </x:c>
    </x:row>
    <x:row r="130">
      <x:c r="A130" s="46" t="str">
        <x:v>MATCH_ONLY</x:v>
      </x:c>
      <x:c r="B130" s="46" t="str">
        <x:v>موجود في النظام</x:v>
      </x:c>
      <x:c r="C130" s="46" t="str">
        <x:v>ING-FLAVOR-ROSEWATER</x:v>
      </x:c>
      <x:c r="D130" s="46" t="str">
        <x:v>ماء ورد</x:v>
      </x:c>
      <x:c r="E130" s="46" t="str">
        <x:v>Rose Water</x:v>
      </x:c>
      <x:c r="F130" s="46" t="str">
        <x:v>مكوّن</x:v>
      </x:c>
      <x:c r="G130" s="46" t="str">
        <x:v>لتر</x:v>
      </x:c>
      <x:c r="H130" s="46"/>
      <x:c r="I130" s="46"/>
      <x:c r="J130" s="100"/>
      <x:c r="K130" s="46"/>
      <x:c r="L130" s="46" t="str">
        <x:v>نعم</x:v>
      </x:c>
      <x:c r="M130" s="46" t="str">
        <x:v>مطابقة فقط؛ لا تغيير على الرصيد الحالي.</x:v>
      </x:c>
    </x:row>
    <x:row r="131">
      <x:c r="A131" s="46" t="str">
        <x:v>MATCH_ONLY</x:v>
      </x:c>
      <x:c r="B131" s="46" t="str">
        <x:v>موجود في النظام</x:v>
      </x:c>
      <x:c r="C131" s="46" t="str">
        <x:v>ING-FLAVOR-ORANGEBLOSSOM</x:v>
      </x:c>
      <x:c r="D131" s="46" t="str">
        <x:v>ماء زهر</x:v>
      </x:c>
      <x:c r="E131" s="46" t="str">
        <x:v>Orange Blossom Water</x:v>
      </x:c>
      <x:c r="F131" s="46" t="str">
        <x:v>مكوّن</x:v>
      </x:c>
      <x:c r="G131" s="46" t="str">
        <x:v>لتر</x:v>
      </x:c>
      <x:c r="H131" s="46"/>
      <x:c r="I131" s="46"/>
      <x:c r="J131" s="100"/>
      <x:c r="K131" s="46"/>
      <x:c r="L131" s="46" t="str">
        <x:v>نعم</x:v>
      </x:c>
      <x:c r="M131" s="46" t="str">
        <x:v>مطابقة فقط؛ لا تغيير على الرصيد الحالي.</x:v>
      </x:c>
    </x:row>
    <x:row r="132">
      <x:c r="A132" s="46" t="str">
        <x:v>MATCH_ONLY</x:v>
      </x:c>
      <x:c r="B132" s="46" t="str">
        <x:v>موجود في النظام</x:v>
      </x:c>
      <x:c r="C132" s="46" t="str">
        <x:v>ING-SYRUP-CHOCOLATE</x:v>
      </x:c>
      <x:c r="D132" s="46" t="str">
        <x:v>صوص شوكولا</x:v>
      </x:c>
      <x:c r="E132" s="46" t="str">
        <x:v>Chocolate Sauce</x:v>
      </x:c>
      <x:c r="F132" s="46" t="str">
        <x:v>مكوّن</x:v>
      </x:c>
      <x:c r="G132" s="46" t="str">
        <x:v>لتر</x:v>
      </x:c>
      <x:c r="H132" s="46"/>
      <x:c r="I132" s="46"/>
      <x:c r="J132" s="100"/>
      <x:c r="K132" s="46"/>
      <x:c r="L132" s="46" t="str">
        <x:v>نعم</x:v>
      </x:c>
      <x:c r="M132" s="46" t="str">
        <x:v>مطابقة فقط؛ لا تغيير على الرصيد الحالي.</x:v>
      </x:c>
    </x:row>
    <x:row r="133">
      <x:c r="A133" s="46" t="str">
        <x:v>MATCH_ONLY</x:v>
      </x:c>
      <x:c r="B133" s="46" t="str">
        <x:v>موجود في النظام</x:v>
      </x:c>
      <x:c r="C133" s="46" t="str">
        <x:v>ING-SYRUP-VANILLA</x:v>
      </x:c>
      <x:c r="D133" s="46" t="str">
        <x:v>سيروب فانيلا</x:v>
      </x:c>
      <x:c r="E133" s="46" t="str">
        <x:v>Vanilla Syrup</x:v>
      </x:c>
      <x:c r="F133" s="46" t="str">
        <x:v>مكوّن</x:v>
      </x:c>
      <x:c r="G133" s="46" t="str">
        <x:v>لتر</x:v>
      </x:c>
      <x:c r="H133" s="46"/>
      <x:c r="I133" s="46"/>
      <x:c r="J133" s="100"/>
      <x:c r="K133" s="46"/>
      <x:c r="L133" s="46" t="str">
        <x:v>نعم</x:v>
      </x:c>
      <x:c r="M133" s="46" t="str">
        <x:v>مطابقة فقط؛ لا تغيير على الرصيد الحالي.</x:v>
      </x:c>
    </x:row>
    <x:row r="134">
      <x:c r="A134" s="46" t="str">
        <x:v>MATCH_ONLY</x:v>
      </x:c>
      <x:c r="B134" s="46" t="str">
        <x:v>موجود في النظام</x:v>
      </x:c>
      <x:c r="C134" s="46" t="str">
        <x:v>ING-SYRUP-CARAMEL</x:v>
      </x:c>
      <x:c r="D134" s="46" t="str">
        <x:v>سيروب كراميل</x:v>
      </x:c>
      <x:c r="E134" s="46" t="str">
        <x:v>Caramel Syrup</x:v>
      </x:c>
      <x:c r="F134" s="46" t="str">
        <x:v>مكوّن</x:v>
      </x:c>
      <x:c r="G134" s="46" t="str">
        <x:v>لتر</x:v>
      </x:c>
      <x:c r="H134" s="46"/>
      <x:c r="I134" s="46"/>
      <x:c r="J134" s="100"/>
      <x:c r="K134" s="46"/>
      <x:c r="L134" s="46" t="str">
        <x:v>نعم</x:v>
      </x:c>
      <x:c r="M134" s="46" t="str">
        <x:v>مطابقة فقط؛ لا تغيير على الرصيد الحالي.</x:v>
      </x:c>
    </x:row>
    <x:row r="135">
      <x:c r="A135" s="46" t="str">
        <x:v>MATCH_ONLY</x:v>
      </x:c>
      <x:c r="B135" s="46" t="str">
        <x:v>موجود في النظام</x:v>
      </x:c>
      <x:c r="C135" s="46" t="str">
        <x:v>ING-SYRUP-GRENADINE</x:v>
      </x:c>
      <x:c r="D135" s="46" t="str">
        <x:v>غرينادين</x:v>
      </x:c>
      <x:c r="E135" s="46" t="str">
        <x:v>Grenadine Syrup</x:v>
      </x:c>
      <x:c r="F135" s="46" t="str">
        <x:v>مكوّن</x:v>
      </x:c>
      <x:c r="G135" s="46" t="str">
        <x:v>لتر</x:v>
      </x:c>
      <x:c r="H135" s="46"/>
      <x:c r="I135" s="46"/>
      <x:c r="J135" s="100"/>
      <x:c r="K135" s="46"/>
      <x:c r="L135" s="46" t="str">
        <x:v>نعم</x:v>
      </x:c>
      <x:c r="M135" s="46" t="str">
        <x:v>مطابقة فقط؛ لا تغيير على الرصيد الحالي.</x:v>
      </x:c>
    </x:row>
    <x:row r="136">
      <x:c r="A136" s="46" t="str">
        <x:v>MATCH_ONLY</x:v>
      </x:c>
      <x:c r="B136" s="46" t="str">
        <x:v>موجود في النظام</x:v>
      </x:c>
      <x:c r="C136" s="46" t="str">
        <x:v>ING-SPICE-SALT</x:v>
      </x:c>
      <x:c r="D136" s="46" t="str">
        <x:v>ملح</x:v>
      </x:c>
      <x:c r="E136" s="46" t="str">
        <x:v>Salt</x:v>
      </x:c>
      <x:c r="F136" s="46" t="str">
        <x:v>مكوّن</x:v>
      </x:c>
      <x:c r="G136" s="46" t="str">
        <x:v>كغ</x:v>
      </x:c>
      <x:c r="H136" s="46"/>
      <x:c r="I136" s="46"/>
      <x:c r="J136" s="100"/>
      <x:c r="K136" s="46"/>
      <x:c r="L136" s="46" t="str">
        <x:v>نعم</x:v>
      </x:c>
      <x:c r="M136" s="46" t="str">
        <x:v>مطابقة فقط؛ لا تغيير على الرصيد الحالي.</x:v>
      </x:c>
    </x:row>
    <x:row r="137">
      <x:c r="A137" s="46" t="str">
        <x:v>MATCH_ONLY</x:v>
      </x:c>
      <x:c r="B137" s="46" t="str">
        <x:v>موجود في النظام</x:v>
      </x:c>
      <x:c r="C137" s="46" t="str">
        <x:v>ING-SPICE-BLACKPEPPER</x:v>
      </x:c>
      <x:c r="D137" s="46" t="str">
        <x:v>فلفل أسود</x:v>
      </x:c>
      <x:c r="E137" s="46" t="str">
        <x:v>Black Pepper</x:v>
      </x:c>
      <x:c r="F137" s="46" t="str">
        <x:v>مكوّن</x:v>
      </x:c>
      <x:c r="G137" s="46" t="str">
        <x:v>كغ</x:v>
      </x:c>
      <x:c r="H137" s="46"/>
      <x:c r="I137" s="46"/>
      <x:c r="J137" s="100"/>
      <x:c r="K137" s="46"/>
      <x:c r="L137" s="46" t="str">
        <x:v>نعم</x:v>
      </x:c>
      <x:c r="M137" s="46" t="str">
        <x:v>مطابقة فقط؛ لا تغيير على الرصيد الحالي.</x:v>
      </x:c>
    </x:row>
    <x:row r="138">
      <x:c r="A138" s="46" t="str">
        <x:v>MATCH_ONLY</x:v>
      </x:c>
      <x:c r="B138" s="46" t="str">
        <x:v>موجود في النظام</x:v>
      </x:c>
      <x:c r="C138" s="46" t="str">
        <x:v>ING-SPICE-CINNAMON-STICK</x:v>
      </x:c>
      <x:c r="D138" s="46" t="str">
        <x:v>قرفة عيدان</x:v>
      </x:c>
      <x:c r="E138" s="46" t="str">
        <x:v>Cinnamon Sticks</x:v>
      </x:c>
      <x:c r="F138" s="46" t="str">
        <x:v>مكوّن</x:v>
      </x:c>
      <x:c r="G138" s="46" t="str">
        <x:v>عبوة</x:v>
      </x:c>
      <x:c r="H138" s="46"/>
      <x:c r="I138" s="46"/>
      <x:c r="J138" s="100" t="n">
        <x:v>6000</x:v>
      </x:c>
      <x:c r="K138" s="46"/>
      <x:c r="L138" s="46" t="str">
        <x:v>نعم</x:v>
      </x:c>
      <x:c r="M138" s="46" t="str">
        <x:v>وزن العبوة غير محدد.</x:v>
      </x:c>
    </x:row>
    <x:row r="139">
      <x:c r="A139" s="46" t="str">
        <x:v>MATCH_ONLY</x:v>
      </x:c>
      <x:c r="B139" s="46" t="str">
        <x:v>موجود في النظام</x:v>
      </x:c>
      <x:c r="C139" s="46" t="str">
        <x:v>ING-SPICE-CINNAMON</x:v>
      </x:c>
      <x:c r="D139" s="46" t="str">
        <x:v>قرفة مطحونة</x:v>
      </x:c>
      <x:c r="E139" s="46" t="str">
        <x:v>Ground Cinnamon</x:v>
      </x:c>
      <x:c r="F139" s="46" t="str">
        <x:v>مكوّن</x:v>
      </x:c>
      <x:c r="G139" s="46" t="str">
        <x:v>كغ</x:v>
      </x:c>
      <x:c r="H139" s="46"/>
      <x:c r="I139" s="46"/>
      <x:c r="J139" s="100"/>
      <x:c r="K139" s="46"/>
      <x:c r="L139" s="46" t="str">
        <x:v>نعم</x:v>
      </x:c>
      <x:c r="M139" s="46" t="str">
        <x:v>مطابقة فقط؛ لا تغيير على الرصيد الحالي.</x:v>
      </x:c>
    </x:row>
    <x:row r="140">
      <x:c r="A140" s="46" t="str">
        <x:v>MATCH_ONLY</x:v>
      </x:c>
      <x:c r="B140" s="46" t="str">
        <x:v>موجود في النظام</x:v>
      </x:c>
      <x:c r="C140" s="46" t="str">
        <x:v>ING-SPICE-CARDAMOM</x:v>
      </x:c>
      <x:c r="D140" s="46" t="str">
        <x:v>هيل مطحون</x:v>
      </x:c>
      <x:c r="E140" s="46" t="str">
        <x:v>Ground Cardamom</x:v>
      </x:c>
      <x:c r="F140" s="46" t="str">
        <x:v>مكوّن</x:v>
      </x:c>
      <x:c r="G140" s="46" t="str">
        <x:v>كغ</x:v>
      </x:c>
      <x:c r="H140" s="46"/>
      <x:c r="I140" s="46"/>
      <x:c r="J140" s="100" t="n">
        <x:v>1000000</x:v>
      </x:c>
      <x:c r="K140" s="46"/>
      <x:c r="L140" s="46" t="str">
        <x:v>نعم</x:v>
      </x:c>
      <x:c r="M140" s="46" t="str">
        <x:v>15 غ = 15,000 ل.س؛ الكلفة المحسوبة 1,000,000 ل.س/كغ.</x:v>
      </x:c>
    </x:row>
    <x:row r="141">
      <x:c r="A141" s="46" t="str">
        <x:v>MATCH_ONLY</x:v>
      </x:c>
      <x:c r="B141" s="46" t="str">
        <x:v>موجود في النظام</x:v>
      </x:c>
      <x:c r="C141" s="46" t="str">
        <x:v>ING-SPICE-SUMAC</x:v>
      </x:c>
      <x:c r="D141" s="46" t="str">
        <x:v>سماق</x:v>
      </x:c>
      <x:c r="E141" s="46" t="str">
        <x:v>Sumac</x:v>
      </x:c>
      <x:c r="F141" s="46" t="str">
        <x:v>مكوّن</x:v>
      </x:c>
      <x:c r="G141" s="46" t="str">
        <x:v>كغ</x:v>
      </x:c>
      <x:c r="H141" s="46"/>
      <x:c r="I141" s="46"/>
      <x:c r="J141" s="100" t="n">
        <x:v>400000</x:v>
      </x:c>
      <x:c r="K141" s="46"/>
      <x:c r="L141" s="46" t="str">
        <x:v>نعم</x:v>
      </x:c>
      <x:c r="M141" s="46" t="str">
        <x:v>20 غ = 8,000 ل.س؛ الكلفة المحسوبة 400,000 ل.س/كغ.</x:v>
      </x:c>
    </x:row>
    <x:row r="142">
      <x:c r="A142" s="46" t="str">
        <x:v>MATCH_ONLY</x:v>
      </x:c>
      <x:c r="B142" s="46" t="str">
        <x:v>موجود في النظام</x:v>
      </x:c>
      <x:c r="C142" s="46" t="str">
        <x:v>ING-SPICE-PAPRIKA</x:v>
      </x:c>
      <x:c r="D142" s="46" t="str">
        <x:v>فلفل حلو مطحون</x:v>
      </x:c>
      <x:c r="E142" s="46" t="str">
        <x:v>Sweet Paprika</x:v>
      </x:c>
      <x:c r="F142" s="46" t="str">
        <x:v>مكوّن</x:v>
      </x:c>
      <x:c r="G142" s="46" t="str">
        <x:v>كغ</x:v>
      </x:c>
      <x:c r="H142" s="46"/>
      <x:c r="I142" s="46"/>
      <x:c r="J142" s="100" t="n">
        <x:v>200000</x:v>
      </x:c>
      <x:c r="K142" s="46"/>
      <x:c r="L142" s="46" t="str">
        <x:v>نعم</x:v>
      </x:c>
      <x:c r="M142" s="46" t="str">
        <x:v>40 غ = 8,000 ل.س؛ الكلفة المحسوبة 200,000 ل.س/كغ.</x:v>
      </x:c>
    </x:row>
    <x:row r="143">
      <x:c r="A143" s="46" t="str">
        <x:v>MATCH_ONLY</x:v>
      </x:c>
      <x:c r="B143" s="46" t="str">
        <x:v>موجود في النظام</x:v>
      </x:c>
      <x:c r="C143" s="46" t="str">
        <x:v>ING-SPICE-GARLICPOWDER</x:v>
      </x:c>
      <x:c r="D143" s="46" t="str">
        <x:v>ثوم بودرة</x:v>
      </x:c>
      <x:c r="E143" s="46" t="str">
        <x:v>Garlic Powder</x:v>
      </x:c>
      <x:c r="F143" s="46" t="str">
        <x:v>مكوّن</x:v>
      </x:c>
      <x:c r="G143" s="46" t="str">
        <x:v>كغ</x:v>
      </x:c>
      <x:c r="H143" s="46"/>
      <x:c r="I143" s="46"/>
      <x:c r="J143" s="100" t="n">
        <x:v>266666.67</x:v>
      </x:c>
      <x:c r="K143" s="46"/>
      <x:c r="L143" s="46" t="str">
        <x:v>نعم</x:v>
      </x:c>
      <x:c r="M143" s="46" t="str">
        <x:v>30 غ = 8,000 ل.س؛ الكلفة المحسوبة 266,666.67 ل.س/كغ.</x:v>
      </x:c>
    </x:row>
    <x:row r="144">
      <x:c r="A144" s="46" t="str">
        <x:v>MATCH_ONLY</x:v>
      </x:c>
      <x:c r="B144" s="46" t="str">
        <x:v>موجود في النظام</x:v>
      </x:c>
      <x:c r="C144" s="46" t="str">
        <x:v>ING-SPICE-CORIANDER</x:v>
      </x:c>
      <x:c r="D144" s="46" t="str">
        <x:v>كزبرة مطحونة</x:v>
      </x:c>
      <x:c r="E144" s="46" t="str">
        <x:v>Ground Coriander</x:v>
      </x:c>
      <x:c r="F144" s="46" t="str">
        <x:v>مكوّن</x:v>
      </x:c>
      <x:c r="G144" s="46" t="str">
        <x:v>كغ</x:v>
      </x:c>
      <x:c r="H144" s="46"/>
      <x:c r="I144" s="46"/>
      <x:c r="J144" s="100" t="n">
        <x:v>266666.67</x:v>
      </x:c>
      <x:c r="K144" s="46"/>
      <x:c r="L144" s="46" t="str">
        <x:v>نعم</x:v>
      </x:c>
      <x:c r="M144" s="46" t="str">
        <x:v>15 غ = 4,000 ل.س؛ الكلفة المحسوبة 266,666.67 ل.س/كغ.</x:v>
      </x:c>
    </x:row>
    <x:row r="145">
      <x:c r="A145" s="46" t="str">
        <x:v>MATCH_ONLY</x:v>
      </x:c>
      <x:c r="B145" s="46" t="str">
        <x:v>موجود في النظام</x:v>
      </x:c>
      <x:c r="C145" s="46" t="str">
        <x:v>ING-SPICE-OREGANO</x:v>
      </x:c>
      <x:c r="D145" s="46" t="str">
        <x:v>أوريغانو</x:v>
      </x:c>
      <x:c r="E145" s="46" t="str">
        <x:v>Oregano</x:v>
      </x:c>
      <x:c r="F145" s="46" t="str">
        <x:v>مكوّن</x:v>
      </x:c>
      <x:c r="G145" s="46" t="str">
        <x:v>كغ</x:v>
      </x:c>
      <x:c r="H145" s="46"/>
      <x:c r="I145" s="46"/>
      <x:c r="J145" s="100" t="n">
        <x:v>400000</x:v>
      </x:c>
      <x:c r="K145" s="46"/>
      <x:c r="L145" s="46" t="str">
        <x:v>نعم</x:v>
      </x:c>
      <x:c r="M145" s="46" t="str">
        <x:v>15 غ = 6,000 ل.س؛ الكلفة المحسوبة 400,000 ل.س/كغ.</x:v>
      </x:c>
    </x:row>
    <x:row r="146">
      <x:c r="A146" s="46" t="str">
        <x:v>MATCH_ONLY</x:v>
      </x:c>
      <x:c r="B146" s="46" t="str">
        <x:v>موجود في النظام</x:v>
      </x:c>
      <x:c r="C146" s="46" t="str">
        <x:v>ING-SPICE-MARJORAM</x:v>
      </x:c>
      <x:c r="D146" s="46" t="str">
        <x:v>مردكوش</x:v>
      </x:c>
      <x:c r="E146" s="46" t="str">
        <x:v>Marjoram</x:v>
      </x:c>
      <x:c r="F146" s="46" t="str">
        <x:v>مكوّن</x:v>
      </x:c>
      <x:c r="G146" s="46" t="str">
        <x:v>كغ</x:v>
      </x:c>
      <x:c r="H146" s="46"/>
      <x:c r="I146" s="46"/>
      <x:c r="J146" s="100" t="n">
        <x:v>400000</x:v>
      </x:c>
      <x:c r="K146" s="46"/>
      <x:c r="L146" s="46" t="str">
        <x:v>نعم</x:v>
      </x:c>
      <x:c r="M146" s="46" t="str">
        <x:v>15 غ = 6,000 ل.س؛ الكلفة المحسوبة 400,000 ل.س/كغ.</x:v>
      </x:c>
    </x:row>
    <x:row r="147">
      <x:c r="A147" s="46" t="str">
        <x:v>MATCH_ONLY</x:v>
      </x:c>
      <x:c r="B147" s="46" t="str">
        <x:v>موجود في النظام</x:v>
      </x:c>
      <x:c r="C147" s="46" t="str">
        <x:v>ING-SPICE-CUMIN</x:v>
      </x:c>
      <x:c r="D147" s="46" t="str">
        <x:v>كمون</x:v>
      </x:c>
      <x:c r="E147" s="46" t="str">
        <x:v>Cumin</x:v>
      </x:c>
      <x:c r="F147" s="46" t="str">
        <x:v>مكوّن</x:v>
      </x:c>
      <x:c r="G147" s="46" t="str">
        <x:v>كغ</x:v>
      </x:c>
      <x:c r="H147" s="46"/>
      <x:c r="I147" s="46"/>
      <x:c r="J147" s="100"/>
      <x:c r="K147" s="46"/>
      <x:c r="L147" s="46" t="str">
        <x:v>نعم</x:v>
      </x:c>
      <x:c r="M147" s="46" t="str">
        <x:v>لشراب الكمون والليمون وللطبخ.</x:v>
      </x:c>
    </x:row>
    <x:row r="148">
      <x:c r="A148" s="46" t="str">
        <x:v>MATCH_ONLY</x:v>
      </x:c>
      <x:c r="B148" s="46" t="str">
        <x:v>موجود في النظام</x:v>
      </x:c>
      <x:c r="C148" s="46" t="str">
        <x:v>ING-SPICE-TURMERIC</x:v>
      </x:c>
      <x:c r="D148" s="46" t="str">
        <x:v>كركم</x:v>
      </x:c>
      <x:c r="E148" s="46" t="str">
        <x:v>Turmeric</x:v>
      </x:c>
      <x:c r="F148" s="46" t="str">
        <x:v>مكوّن</x:v>
      </x:c>
      <x:c r="G148" s="46" t="str">
        <x:v>كغ</x:v>
      </x:c>
      <x:c r="H148" s="46"/>
      <x:c r="I148" s="46"/>
      <x:c r="J148" s="100"/>
      <x:c r="K148" s="46"/>
      <x:c r="L148" s="46" t="str">
        <x:v>نعم</x:v>
      </x:c>
      <x:c r="M148" s="46" t="str">
        <x:v>مطابقة فقط؛ لا تغيير على الرصيد الحالي.</x:v>
      </x:c>
    </x:row>
    <x:row r="149">
      <x:c r="A149" s="46" t="str">
        <x:v>MATCH_ONLY</x:v>
      </x:c>
      <x:c r="B149" s="46" t="str">
        <x:v>موجود في النظام</x:v>
      </x:c>
      <x:c r="C149" s="46" t="str">
        <x:v>ING-SPICE-CURRY</x:v>
      </x:c>
      <x:c r="D149" s="46" t="str">
        <x:v>كاري</x:v>
      </x:c>
      <x:c r="E149" s="46" t="str">
        <x:v>Curry Powder</x:v>
      </x:c>
      <x:c r="F149" s="46" t="str">
        <x:v>مكوّن</x:v>
      </x:c>
      <x:c r="G149" s="46" t="str">
        <x:v>كغ</x:v>
      </x:c>
      <x:c r="H149" s="46"/>
      <x:c r="I149" s="46"/>
      <x:c r="J149" s="100"/>
      <x:c r="K149" s="46"/>
      <x:c r="L149" s="46" t="str">
        <x:v>نعم</x:v>
      </x:c>
      <x:c r="M149" s="46" t="str">
        <x:v>مطابقة فقط؛ لا تغيير على الرصيد الحالي.</x:v>
      </x:c>
    </x:row>
    <x:row r="150">
      <x:c r="A150" s="46" t="str">
        <x:v>MATCH_ONLY</x:v>
      </x:c>
      <x:c r="B150" s="46" t="str">
        <x:v>موجود في النظام</x:v>
      </x:c>
      <x:c r="C150" s="46" t="str">
        <x:v>ING-SPICE-GARAMMASALA</x:v>
      </x:c>
      <x:c r="D150" s="46" t="str">
        <x:v>غارام ماسالا</x:v>
      </x:c>
      <x:c r="E150" s="46" t="str">
        <x:v>Garam Masala</x:v>
      </x:c>
      <x:c r="F150" s="46" t="str">
        <x:v>مكوّن</x:v>
      </x:c>
      <x:c r="G150" s="46" t="str">
        <x:v>كغ</x:v>
      </x:c>
      <x:c r="H150" s="46"/>
      <x:c r="I150" s="46"/>
      <x:c r="J150" s="100"/>
      <x:c r="K150" s="46"/>
      <x:c r="L150" s="46" t="str">
        <x:v>نعم</x:v>
      </x:c>
      <x:c r="M150" s="46" t="str">
        <x:v>مطابقة فقط؛ لا تغيير على الرصيد الحالي.</x:v>
      </x:c>
    </x:row>
    <x:row r="151">
      <x:c r="A151" s="46" t="str">
        <x:v>MATCH_ONLY</x:v>
      </x:c>
      <x:c r="B151" s="46" t="str">
        <x:v>موجود في النظام</x:v>
      </x:c>
      <x:c r="C151" s="46" t="str">
        <x:v>ING-SPICE-BIRYANI</x:v>
      </x:c>
      <x:c r="D151" s="46" t="str">
        <x:v>بهار برياني</x:v>
      </x:c>
      <x:c r="E151" s="46" t="str">
        <x:v>Biryani Spice</x:v>
      </x:c>
      <x:c r="F151" s="46" t="str">
        <x:v>مكوّن</x:v>
      </x:c>
      <x:c r="G151" s="46" t="str">
        <x:v>كغ</x:v>
      </x:c>
      <x:c r="H151" s="46"/>
      <x:c r="I151" s="46"/>
      <x:c r="J151" s="100"/>
      <x:c r="K151" s="46"/>
      <x:c r="L151" s="46" t="str">
        <x:v>نعم</x:v>
      </x:c>
      <x:c r="M151" s="46" t="str">
        <x:v>مطابقة فقط؛ لا تغيير على الرصيد الحالي.</x:v>
      </x:c>
    </x:row>
    <x:row r="152">
      <x:c r="A152" s="46" t="str">
        <x:v>MATCH_ONLY</x:v>
      </x:c>
      <x:c r="B152" s="46" t="str">
        <x:v>موجود في النظام</x:v>
      </x:c>
      <x:c r="C152" s="46" t="str">
        <x:v>ING-SPICE-KABSA</x:v>
      </x:c>
      <x:c r="D152" s="46" t="str">
        <x:v>بهار كبسة</x:v>
      </x:c>
      <x:c r="E152" s="46" t="str">
        <x:v>Kabsa Spice</x:v>
      </x:c>
      <x:c r="F152" s="46" t="str">
        <x:v>مكوّن</x:v>
      </x:c>
      <x:c r="G152" s="46" t="str">
        <x:v>كغ</x:v>
      </x:c>
      <x:c r="H152" s="46"/>
      <x:c r="I152" s="46"/>
      <x:c r="J152" s="100"/>
      <x:c r="K152" s="46"/>
      <x:c r="L152" s="46" t="str">
        <x:v>نعم</x:v>
      </x:c>
      <x:c r="M152" s="46" t="str">
        <x:v>مطابقة فقط؛ لا تغيير على الرصيد الحالي.</x:v>
      </x:c>
    </x:row>
    <x:row r="153">
      <x:c r="A153" s="46" t="str">
        <x:v>MATCH_ONLY</x:v>
      </x:c>
      <x:c r="B153" s="46" t="str">
        <x:v>موجود في النظام</x:v>
      </x:c>
      <x:c r="C153" s="46" t="str">
        <x:v>ING-SPICE-CHILIFLAKES</x:v>
      </x:c>
      <x:c r="D153" s="46" t="str">
        <x:v>شطة مجروشة</x:v>
      </x:c>
      <x:c r="E153" s="46" t="str">
        <x:v>Chili Flakes</x:v>
      </x:c>
      <x:c r="F153" s="46" t="str">
        <x:v>مكوّن</x:v>
      </x:c>
      <x:c r="G153" s="46" t="str">
        <x:v>كغ</x:v>
      </x:c>
      <x:c r="H153" s="46"/>
      <x:c r="I153" s="46"/>
      <x:c r="J153" s="100"/>
      <x:c r="K153" s="46"/>
      <x:c r="L153" s="46" t="str">
        <x:v>نعم</x:v>
      </x:c>
      <x:c r="M153" s="46" t="str">
        <x:v>مطابقة فقط؛ لا تغيير على الرصيد الحالي.</x:v>
      </x:c>
    </x:row>
    <x:row r="154">
      <x:c r="A154" s="46" t="str">
        <x:v>MATCH_ONLY</x:v>
      </x:c>
      <x:c r="B154" s="46" t="str">
        <x:v>موجود في النظام</x:v>
      </x:c>
      <x:c r="C154" s="46" t="str">
        <x:v>ING-SPICE-NUTMEG</x:v>
      </x:c>
      <x:c r="D154" s="46" t="str">
        <x:v>جوزة الطيب</x:v>
      </x:c>
      <x:c r="E154" s="46" t="str">
        <x:v>Nutmeg</x:v>
      </x:c>
      <x:c r="F154" s="46" t="str">
        <x:v>مكوّن</x:v>
      </x:c>
      <x:c r="G154" s="46" t="str">
        <x:v>غ</x:v>
      </x:c>
      <x:c r="H154" s="46"/>
      <x:c r="I154" s="46"/>
      <x:c r="J154" s="100"/>
      <x:c r="K154" s="46"/>
      <x:c r="L154" s="46" t="str">
        <x:v>نعم</x:v>
      </x:c>
      <x:c r="M154" s="46" t="str">
        <x:v>مطابقة فقط؛ لا تغيير على الرصيد الحالي.</x:v>
      </x:c>
    </x:row>
    <x:row r="155">
      <x:c r="A155" s="46" t="str">
        <x:v>MATCH_ONLY</x:v>
      </x:c>
      <x:c r="B155" s="46" t="str">
        <x:v>موجود في النظام</x:v>
      </x:c>
      <x:c r="C155" s="46" t="str">
        <x:v>ING-SPICE-CLOVES</x:v>
      </x:c>
      <x:c r="D155" s="46" t="str">
        <x:v>قرنفل</x:v>
      </x:c>
      <x:c r="E155" s="46" t="str">
        <x:v>Cloves</x:v>
      </x:c>
      <x:c r="F155" s="46" t="str">
        <x:v>مكوّن</x:v>
      </x:c>
      <x:c r="G155" s="46" t="str">
        <x:v>غ</x:v>
      </x:c>
      <x:c r="H155" s="46"/>
      <x:c r="I155" s="46"/>
      <x:c r="J155" s="100"/>
      <x:c r="K155" s="46"/>
      <x:c r="L155" s="46" t="str">
        <x:v>نعم</x:v>
      </x:c>
      <x:c r="M155" s="46" t="str">
        <x:v>مطابقة فقط؛ لا تغيير على الرصيد الحالي.</x:v>
      </x:c>
    </x:row>
    <x:row r="156">
      <x:c r="A156" s="46" t="str">
        <x:v>MATCH_ONLY</x:v>
      </x:c>
      <x:c r="B156" s="46" t="str">
        <x:v>موجود في النظام</x:v>
      </x:c>
      <x:c r="C156" s="46" t="str">
        <x:v>ING-SPICE-BAYLEAF</x:v>
      </x:c>
      <x:c r="D156" s="46" t="str">
        <x:v>ورق غار</x:v>
      </x:c>
      <x:c r="E156" s="46" t="str">
        <x:v>Bay Leaves</x:v>
      </x:c>
      <x:c r="F156" s="46" t="str">
        <x:v>مكوّن</x:v>
      </x:c>
      <x:c r="G156" s="46" t="str">
        <x:v>غ</x:v>
      </x:c>
      <x:c r="H156" s="46"/>
      <x:c r="I156" s="46"/>
      <x:c r="J156" s="100"/>
      <x:c r="K156" s="46"/>
      <x:c r="L156" s="46" t="str">
        <x:v>نعم</x:v>
      </x:c>
      <x:c r="M156" s="46" t="str">
        <x:v>مطابقة فقط؛ لا تغيير على الرصيد الحالي.</x:v>
      </x:c>
    </x:row>
    <x:row r="157">
      <x:c r="A157" s="46" t="str">
        <x:v>MATCH_ONLY</x:v>
      </x:c>
      <x:c r="B157" s="46" t="str">
        <x:v>موجود في النظام</x:v>
      </x:c>
      <x:c r="C157" s="46" t="str">
        <x:v>ING-HERB-DRIEDMINT</x:v>
      </x:c>
      <x:c r="D157" s="46" t="str">
        <x:v>نعنع يابس</x:v>
      </x:c>
      <x:c r="E157" s="46" t="str">
        <x:v>Dried Mint</x:v>
      </x:c>
      <x:c r="F157" s="46" t="str">
        <x:v>مكوّن</x:v>
      </x:c>
      <x:c r="G157" s="46" t="str">
        <x:v>كغ</x:v>
      </x:c>
      <x:c r="H157" s="46"/>
      <x:c r="I157" s="46"/>
      <x:c r="J157" s="100"/>
      <x:c r="K157" s="46"/>
      <x:c r="L157" s="46" t="str">
        <x:v>نعم</x:v>
      </x:c>
      <x:c r="M157" s="46" t="str">
        <x:v>مطابقة فقط؛ لا تغيير على الرصيد الحالي.</x:v>
      </x:c>
    </x:row>
    <x:row r="158">
      <x:c r="A158" s="46" t="str">
        <x:v>MATCH_ONLY</x:v>
      </x:c>
      <x:c r="B158" s="46" t="str">
        <x:v>موجود في النظام</x:v>
      </x:c>
      <x:c r="C158" s="46" t="str">
        <x:v>ING-HERB-DRIEDTHYME</x:v>
      </x:c>
      <x:c r="D158" s="46" t="str">
        <x:v>زعتر يابس</x:v>
      </x:c>
      <x:c r="E158" s="46" t="str">
        <x:v>Dried Thyme</x:v>
      </x:c>
      <x:c r="F158" s="46" t="str">
        <x:v>مكوّن</x:v>
      </x:c>
      <x:c r="G158" s="46" t="str">
        <x:v>كغ</x:v>
      </x:c>
      <x:c r="H158" s="46"/>
      <x:c r="I158" s="46"/>
      <x:c r="J158" s="100"/>
      <x:c r="K158" s="46"/>
      <x:c r="L158" s="46" t="str">
        <x:v>نعم</x:v>
      </x:c>
      <x:c r="M158" s="46" t="str">
        <x:v>مطابقة فقط؛ لا تغيير على الرصيد الحالي.</x:v>
      </x:c>
    </x:row>
    <x:row r="159">
      <x:c r="A159" s="46" t="str">
        <x:v>MATCH_ONLY</x:v>
      </x:c>
      <x:c r="B159" s="46" t="str">
        <x:v>موجود في النظام</x:v>
      </x:c>
      <x:c r="C159" s="46" t="str">
        <x:v>ING-SEED-SESAME</x:v>
      </x:c>
      <x:c r="D159" s="46" t="str">
        <x:v>سمسم</x:v>
      </x:c>
      <x:c r="E159" s="46" t="str">
        <x:v>Sesame Seeds</x:v>
      </x:c>
      <x:c r="F159" s="46" t="str">
        <x:v>مكوّن</x:v>
      </x:c>
      <x:c r="G159" s="46" t="str">
        <x:v>كغ</x:v>
      </x:c>
      <x:c r="H159" s="46"/>
      <x:c r="I159" s="46"/>
      <x:c r="J159" s="100"/>
      <x:c r="K159" s="46"/>
      <x:c r="L159" s="46" t="str">
        <x:v>نعم</x:v>
      </x:c>
      <x:c r="M159" s="46" t="str">
        <x:v>مطابقة فقط؛ لا تغيير على الرصيد الحالي.</x:v>
      </x:c>
    </x:row>
    <x:row r="160">
      <x:c r="A160" s="46" t="str">
        <x:v>MATCH_ONLY</x:v>
      </x:c>
      <x:c r="B160" s="46" t="str">
        <x:v>موجود في النظام</x:v>
      </x:c>
      <x:c r="C160" s="46" t="str">
        <x:v>ING-SEED-NIGELLA</x:v>
      </x:c>
      <x:c r="D160" s="46" t="str">
        <x:v>حبة البركة</x:v>
      </x:c>
      <x:c r="E160" s="46" t="str">
        <x:v>Nigella Seeds</x:v>
      </x:c>
      <x:c r="F160" s="46" t="str">
        <x:v>مكوّن</x:v>
      </x:c>
      <x:c r="G160" s="46" t="str">
        <x:v>كغ</x:v>
      </x:c>
      <x:c r="H160" s="46"/>
      <x:c r="I160" s="46"/>
      <x:c r="J160" s="100"/>
      <x:c r="K160" s="46"/>
      <x:c r="L160" s="46" t="str">
        <x:v>نعم</x:v>
      </x:c>
      <x:c r="M160" s="46" t="str">
        <x:v>مطابقة فقط؛ لا تغيير على الرصيد الحالي.</x:v>
      </x:c>
    </x:row>
    <x:row r="161">
      <x:c r="A161" s="46" t="str">
        <x:v>MATCH_ONLY</x:v>
      </x:c>
      <x:c r="B161" s="46" t="str">
        <x:v>موجود في النظام</x:v>
      </x:c>
      <x:c r="C161" s="46" t="str">
        <x:v>ING-HERB-ANISE</x:v>
      </x:c>
      <x:c r="D161" s="46" t="str">
        <x:v>يانسون</x:v>
      </x:c>
      <x:c r="E161" s="46" t="str">
        <x:v>Anise Seeds</x:v>
      </x:c>
      <x:c r="F161" s="46" t="str">
        <x:v>مكوّن</x:v>
      </x:c>
      <x:c r="G161" s="46" t="str">
        <x:v>كغ</x:v>
      </x:c>
      <x:c r="H161" s="46"/>
      <x:c r="I161" s="46"/>
      <x:c r="J161" s="100"/>
      <x:c r="K161" s="46"/>
      <x:c r="L161" s="46" t="str">
        <x:v>نعم</x:v>
      </x:c>
      <x:c r="M161" s="46" t="str">
        <x:v>مطابقة فقط؛ لا تغيير على الرصيد الحالي.</x:v>
      </x:c>
    </x:row>
    <x:row r="162">
      <x:c r="A162" s="46" t="str">
        <x:v>MATCH_ONLY</x:v>
      </x:c>
      <x:c r="B162" s="46" t="str">
        <x:v>موجود في النظام</x:v>
      </x:c>
      <x:c r="C162" s="46" t="str">
        <x:v>ING-HERB-FENNEL</x:v>
      </x:c>
      <x:c r="D162" s="46" t="str">
        <x:v>شمر</x:v>
      </x:c>
      <x:c r="E162" s="46" t="str">
        <x:v>Fennel Seeds</x:v>
      </x:c>
      <x:c r="F162" s="46" t="str">
        <x:v>مكوّن</x:v>
      </x:c>
      <x:c r="G162" s="46" t="str">
        <x:v>كغ</x:v>
      </x:c>
      <x:c r="H162" s="46"/>
      <x:c r="I162" s="46"/>
      <x:c r="J162" s="100"/>
      <x:c r="K162" s="46"/>
      <x:c r="L162" s="46" t="str">
        <x:v>نعم</x:v>
      </x:c>
      <x:c r="M162" s="46" t="str">
        <x:v>مطابقة فقط؛ لا تغيير على الرصيد الحالي.</x:v>
      </x:c>
    </x:row>
    <x:row r="163">
      <x:c r="A163" s="46" t="str">
        <x:v>MATCH_ONLY</x:v>
      </x:c>
      <x:c r="B163" s="46" t="str">
        <x:v>موجود في النظام</x:v>
      </x:c>
      <x:c r="C163" s="46" t="str">
        <x:v>ING-HERB-SAGE</x:v>
      </x:c>
      <x:c r="D163" s="46" t="str">
        <x:v>ميرمية مجففة</x:v>
      </x:c>
      <x:c r="E163" s="46" t="str">
        <x:v>Dried Sage</x:v>
      </x:c>
      <x:c r="F163" s="46" t="str">
        <x:v>مكوّن</x:v>
      </x:c>
      <x:c r="G163" s="46" t="str">
        <x:v>كغ</x:v>
      </x:c>
      <x:c r="H163" s="46"/>
      <x:c r="I163" s="46"/>
      <x:c r="J163" s="100"/>
      <x:c r="K163" s="46"/>
      <x:c r="L163" s="46" t="str">
        <x:v>نعم</x:v>
      </x:c>
      <x:c r="M163" s="46" t="str">
        <x:v>للزهورات والشاي بالميرمية.</x:v>
      </x:c>
    </x:row>
    <x:row r="164">
      <x:c r="A164" s="46" t="str">
        <x:v>MATCH_ONLY</x:v>
      </x:c>
      <x:c r="B164" s="46" t="str">
        <x:v>موجود في النظام</x:v>
      </x:c>
      <x:c r="C164" s="46" t="str">
        <x:v>ING-HERB-CHAMOMILE</x:v>
      </x:c>
      <x:c r="D164" s="46" t="str">
        <x:v>بابونج</x:v>
      </x:c>
      <x:c r="E164" s="46" t="str">
        <x:v>Chamomile</x:v>
      </x:c>
      <x:c r="F164" s="46" t="str">
        <x:v>مكوّن</x:v>
      </x:c>
      <x:c r="G164" s="46" t="str">
        <x:v>كغ</x:v>
      </x:c>
      <x:c r="H164" s="46"/>
      <x:c r="I164" s="46"/>
      <x:c r="J164" s="100"/>
      <x:c r="K164" s="46"/>
      <x:c r="L164" s="46" t="str">
        <x:v>نعم</x:v>
      </x:c>
      <x:c r="M164" s="46" t="str">
        <x:v>مطابقة فقط؛ لا تغيير على الرصيد الحالي.</x:v>
      </x:c>
    </x:row>
    <x:row r="165">
      <x:c r="A165" s="46" t="str">
        <x:v>MATCH_ONLY</x:v>
      </x:c>
      <x:c r="B165" s="46" t="str">
        <x:v>موجود في النظام</x:v>
      </x:c>
      <x:c r="C165" s="46" t="str">
        <x:v>ING-HERB-LEMONBALM</x:v>
      </x:c>
      <x:c r="D165" s="46" t="str">
        <x:v>مليسة</x:v>
      </x:c>
      <x:c r="E165" s="46" t="str">
        <x:v>Lemon Balm</x:v>
      </x:c>
      <x:c r="F165" s="46" t="str">
        <x:v>مكوّن</x:v>
      </x:c>
      <x:c r="G165" s="46" t="str">
        <x:v>كغ</x:v>
      </x:c>
      <x:c r="H165" s="46"/>
      <x:c r="I165" s="46"/>
      <x:c r="J165" s="100"/>
      <x:c r="K165" s="46"/>
      <x:c r="L165" s="46" t="str">
        <x:v>نعم</x:v>
      </x:c>
      <x:c r="M165" s="46" t="str">
        <x:v>مطابقة فقط؛ لا تغيير على الرصيد الحالي.</x:v>
      </x:c>
    </x:row>
    <x:row r="166">
      <x:c r="A166" s="46" t="str">
        <x:v>MATCH_ONLY</x:v>
      </x:c>
      <x:c r="B166" s="46" t="str">
        <x:v>موجود في النظام</x:v>
      </x:c>
      <x:c r="C166" s="46" t="str">
        <x:v>ING-HERB-HIBISCUS</x:v>
      </x:c>
      <x:c r="D166" s="46" t="str">
        <x:v>كركديه مجفف</x:v>
      </x:c>
      <x:c r="E166" s="46" t="str">
        <x:v>Dried Hibiscus</x:v>
      </x:c>
      <x:c r="F166" s="46" t="str">
        <x:v>مكوّن</x:v>
      </x:c>
      <x:c r="G166" s="46" t="str">
        <x:v>كغ</x:v>
      </x:c>
      <x:c r="H166" s="46"/>
      <x:c r="I166" s="46"/>
      <x:c r="J166" s="100"/>
      <x:c r="K166" s="46"/>
      <x:c r="L166" s="46" t="str">
        <x:v>نعم</x:v>
      </x:c>
      <x:c r="M166" s="46" t="str">
        <x:v>للكركديه الساخن والبارد.</x:v>
      </x:c>
    </x:row>
    <x:row r="167">
      <x:c r="A167" s="46" t="str">
        <x:v>MATCH_ONLY</x:v>
      </x:c>
      <x:c r="B167" s="46" t="str">
        <x:v>موجود في النظام</x:v>
      </x:c>
      <x:c r="C167" s="46" t="str">
        <x:v>ING-HERB-LICORICE</x:v>
      </x:c>
      <x:c r="D167" s="46" t="str">
        <x:v>عرق سوس</x:v>
      </x:c>
      <x:c r="E167" s="46" t="str">
        <x:v>Licorice Root</x:v>
      </x:c>
      <x:c r="F167" s="46" t="str">
        <x:v>مكوّن</x:v>
      </x:c>
      <x:c r="G167" s="46" t="str">
        <x:v>كغ</x:v>
      </x:c>
      <x:c r="H167" s="46"/>
      <x:c r="I167" s="46"/>
      <x:c r="J167" s="100"/>
      <x:c r="K167" s="46"/>
      <x:c r="L167" s="46" t="str">
        <x:v>نعم</x:v>
      </x:c>
      <x:c r="M167" s="46" t="str">
        <x:v>مطابقة فقط؛ لا تغيير على الرصيد الحالي.</x:v>
      </x:c>
    </x:row>
    <x:row r="168">
      <x:c r="A168" s="46" t="str">
        <x:v>MATCH_ONLY</x:v>
      </x:c>
      <x:c r="B168" s="46" t="str">
        <x:v>موجود في النظام</x:v>
      </x:c>
      <x:c r="C168" s="46" t="str">
        <x:v>ING-FRT-TAMARIND</x:v>
      </x:c>
      <x:c r="D168" s="46" t="str">
        <x:v>تمر هندي مركز</x:v>
      </x:c>
      <x:c r="E168" s="46" t="str">
        <x:v>Tamarind Paste</x:v>
      </x:c>
      <x:c r="F168" s="46" t="str">
        <x:v>مكوّن</x:v>
      </x:c>
      <x:c r="G168" s="46" t="str">
        <x:v>كغ</x:v>
      </x:c>
      <x:c r="H168" s="46"/>
      <x:c r="I168" s="46"/>
      <x:c r="J168" s="100"/>
      <x:c r="K168" s="46"/>
      <x:c r="L168" s="46" t="str">
        <x:v>نعم</x:v>
      </x:c>
      <x:c r="M168" s="46" t="str">
        <x:v>مطابقة فقط؛ لا تغيير على الرصيد الحالي.</x:v>
      </x:c>
    </x:row>
    <x:row r="169">
      <x:c r="A169" s="46" t="str">
        <x:v>MATCH_ONLY</x:v>
      </x:c>
      <x:c r="B169" s="46" t="str">
        <x:v>موجود في النظام</x:v>
      </x:c>
      <x:c r="C169" s="46" t="str">
        <x:v>ING-FRT-QAMARALDIN</x:v>
      </x:c>
      <x:c r="D169" s="46" t="str">
        <x:v>قمر الدين</x:v>
      </x:c>
      <x:c r="E169" s="46" t="str">
        <x:v>Apricot Leather</x:v>
      </x:c>
      <x:c r="F169" s="46" t="str">
        <x:v>مكوّن</x:v>
      </x:c>
      <x:c r="G169" s="46" t="str">
        <x:v>كغ</x:v>
      </x:c>
      <x:c r="H169" s="46"/>
      <x:c r="I169" s="46"/>
      <x:c r="J169" s="100"/>
      <x:c r="K169" s="46"/>
      <x:c r="L169" s="46" t="str">
        <x:v>نعم</x:v>
      </x:c>
      <x:c r="M169" s="46" t="str">
        <x:v>مطابقة فقط؛ لا تغيير على الرصيد الحالي.</x:v>
      </x:c>
    </x:row>
    <x:row r="170">
      <x:c r="A170" s="46" t="str">
        <x:v>MATCH_ONLY</x:v>
      </x:c>
      <x:c r="B170" s="46" t="str">
        <x:v>موجود في النظام</x:v>
      </x:c>
      <x:c r="C170" s="46" t="str">
        <x:v>DRK-COF-TURKISH</x:v>
      </x:c>
      <x:c r="D170" s="46" t="str">
        <x:v>بن تركي</x:v>
      </x:c>
      <x:c r="E170" s="46" t="str">
        <x:v>Turkish Coffee</x:v>
      </x:c>
      <x:c r="F170" s="46" t="str">
        <x:v>مشروبات ومستلزمات</x:v>
      </x:c>
      <x:c r="G170" s="46" t="str">
        <x:v>كغ</x:v>
      </x:c>
      <x:c r="H170" s="46"/>
      <x:c r="I170" s="46"/>
      <x:c r="J170" s="100"/>
      <x:c r="K170" s="46"/>
      <x:c r="L170" s="46" t="str">
        <x:v>نعم</x:v>
      </x:c>
      <x:c r="M170" s="46" t="str">
        <x:v>مطابقة فقط؛ لا تغيير على الرصيد الحالي.</x:v>
      </x:c>
    </x:row>
    <x:row r="171">
      <x:c r="A171" s="46" t="str">
        <x:v>MATCH_ONLY</x:v>
      </x:c>
      <x:c r="B171" s="46" t="str">
        <x:v>موجود في النظام</x:v>
      </x:c>
      <x:c r="C171" s="46" t="str">
        <x:v>DRK-COF-ESPRESSO</x:v>
      </x:c>
      <x:c r="D171" s="46" t="str">
        <x:v>بن إسبريسو</x:v>
      </x:c>
      <x:c r="E171" s="46" t="str">
        <x:v>Espresso Coffee Beans</x:v>
      </x:c>
      <x:c r="F171" s="46" t="str">
        <x:v>مشروبات ومستلزمات</x:v>
      </x:c>
      <x:c r="G171" s="46" t="str">
        <x:v>كغ</x:v>
      </x:c>
      <x:c r="H171" s="46"/>
      <x:c r="I171" s="46"/>
      <x:c r="J171" s="100"/>
      <x:c r="K171" s="46"/>
      <x:c r="L171" s="46" t="str">
        <x:v>نعم</x:v>
      </x:c>
      <x:c r="M171" s="46" t="str">
        <x:v>للكابتشينو، اللاتيه، الأمريكانو، الموكا والقهوة المثلجة.</x:v>
      </x:c>
    </x:row>
    <x:row r="172">
      <x:c r="A172" s="46" t="str">
        <x:v>MATCH_ONLY</x:v>
      </x:c>
      <x:c r="B172" s="46" t="str">
        <x:v>موجود في النظام</x:v>
      </x:c>
      <x:c r="C172" s="46" t="str">
        <x:v>DRK-COF-INSTANT</x:v>
      </x:c>
      <x:c r="D172" s="46" t="str">
        <x:v>قهوة سريعة التحضير</x:v>
      </x:c>
      <x:c r="E172" s="46" t="str">
        <x:v>Instant Coffee</x:v>
      </x:c>
      <x:c r="F172" s="46" t="str">
        <x:v>مشروبات ومستلزمات</x:v>
      </x:c>
      <x:c r="G172" s="46" t="str">
        <x:v>كغ</x:v>
      </x:c>
      <x:c r="H172" s="46"/>
      <x:c r="I172" s="46"/>
      <x:c r="J172" s="100"/>
      <x:c r="K172" s="46"/>
      <x:c r="L172" s="46" t="str">
        <x:v>نعم</x:v>
      </x:c>
      <x:c r="M172" s="46" t="str">
        <x:v>مطابقة فقط؛ لا تغيير على الرصيد الحالي.</x:v>
      </x:c>
    </x:row>
    <x:row r="173">
      <x:c r="A173" s="46" t="str">
        <x:v>MATCH_ONLY</x:v>
      </x:c>
      <x:c r="B173" s="46" t="str">
        <x:v>موجود في النظام</x:v>
      </x:c>
      <x:c r="C173" s="46" t="str">
        <x:v>DRK-COF-ARABIC</x:v>
      </x:c>
      <x:c r="D173" s="46" t="str">
        <x:v>بن عربي فاتح</x:v>
      </x:c>
      <x:c r="E173" s="46" t="str">
        <x:v>Light Roast Arabic Coffee</x:v>
      </x:c>
      <x:c r="F173" s="46" t="str">
        <x:v>مشروبات ومستلزمات</x:v>
      </x:c>
      <x:c r="G173" s="46" t="str">
        <x:v>كغ</x:v>
      </x:c>
      <x:c r="H173" s="46"/>
      <x:c r="I173" s="46"/>
      <x:c r="J173" s="100"/>
      <x:c r="K173" s="46"/>
      <x:c r="L173" s="46" t="str">
        <x:v>نعم</x:v>
      </x:c>
      <x:c r="M173" s="46" t="str">
        <x:v>مطابقة فقط؛ لا تغيير على الرصيد الحالي.</x:v>
      </x:c>
    </x:row>
    <x:row r="174">
      <x:c r="A174" s="46" t="str">
        <x:v>MATCH_ONLY</x:v>
      </x:c>
      <x:c r="B174" s="46" t="str">
        <x:v>موجود في النظام</x:v>
      </x:c>
      <x:c r="C174" s="46" t="str">
        <x:v>DRK-TEA-BLACK-LOOSE</x:v>
      </x:c>
      <x:c r="D174" s="46" t="str">
        <x:v>شاي أسود سائب</x:v>
      </x:c>
      <x:c r="E174" s="46" t="str">
        <x:v>Loose Black Tea</x:v>
      </x:c>
      <x:c r="F174" s="46" t="str">
        <x:v>مشروبات ومستلزمات</x:v>
      </x:c>
      <x:c r="G174" s="46" t="str">
        <x:v>كغ</x:v>
      </x:c>
      <x:c r="H174" s="46"/>
      <x:c r="I174" s="46"/>
      <x:c r="J174" s="100" t="n">
        <x:v>250000</x:v>
      </x:c>
      <x:c r="K174" s="46"/>
      <x:c r="L174" s="46" t="str">
        <x:v>نعم</x:v>
      </x:c>
      <x:c r="M174" s="46" t="str">
        <x:v>شاي رأس الحصان 140 غ = 35,000 ل.س؛ الكلفة المحسوبة 250,000 ل.س/كغ.</x:v>
      </x:c>
    </x:row>
    <x:row r="175">
      <x:c r="A175" s="46" t="str">
        <x:v>MATCH_ONLY</x:v>
      </x:c>
      <x:c r="B175" s="46" t="str">
        <x:v>موجود في النظام</x:v>
      </x:c>
      <x:c r="C175" s="46" t="str">
        <x:v>DRK-TEA-AHMAD-BAG</x:v>
      </x:c>
      <x:c r="D175" s="46" t="str">
        <x:v>شاي أحمد عادي – ظرف</x:v>
      </x:c>
      <x:c r="E175" s="46" t="str">
        <x:v>Ahmad Tea Bag</x:v>
      </x:c>
      <x:c r="F175" s="46" t="str">
        <x:v>مشروبات ومستلزمات</x:v>
      </x:c>
      <x:c r="G175" s="46" t="str">
        <x:v>حصة</x:v>
      </x:c>
      <x:c r="H175" s="46"/>
      <x:c r="I175" s="46"/>
      <x:c r="J175" s="100" t="n">
        <x:v>420</x:v>
      </x:c>
      <x:c r="K175" s="46"/>
      <x:c r="L175" s="46" t="str">
        <x:v>نعم</x:v>
      </x:c>
      <x:c r="M175" s="46" t="str">
        <x:v>100 ظرف = 42,000 ل.س؛ الكلفة للحصة 420 ل.س.</x:v>
      </x:c>
    </x:row>
    <x:row r="176">
      <x:c r="A176" s="46" t="str">
        <x:v>MATCH_ONLY</x:v>
      </x:c>
      <x:c r="B176" s="46" t="str">
        <x:v>موجود في النظام</x:v>
      </x:c>
      <x:c r="C176" s="46" t="str">
        <x:v>DRK-TEA-EARLGREY-BAG</x:v>
      </x:c>
      <x:c r="D176" s="46" t="str">
        <x:v>شاي أحمد إيرل غراي – ظرف</x:v>
      </x:c>
      <x:c r="E176" s="46" t="str">
        <x:v>Ahmad Earl Grey Tea Bag</x:v>
      </x:c>
      <x:c r="F176" s="46" t="str">
        <x:v>مشروبات ومستلزمات</x:v>
      </x:c>
      <x:c r="G176" s="46" t="str">
        <x:v>حصة</x:v>
      </x:c>
      <x:c r="H176" s="46"/>
      <x:c r="I176" s="46"/>
      <x:c r="J176" s="100" t="n">
        <x:v>585</x:v>
      </x:c>
      <x:c r="K176" s="46"/>
      <x:c r="L176" s="46" t="str">
        <x:v>نعم</x:v>
      </x:c>
      <x:c r="M176" s="46" t="str">
        <x:v>100 ظرف = 58,500 ل.س؛ الكلفة للحصة 585 ل.س.</x:v>
      </x:c>
    </x:row>
    <x:row r="177">
      <x:c r="A177" s="46" t="str">
        <x:v>MATCH_ONLY</x:v>
      </x:c>
      <x:c r="B177" s="46" t="str">
        <x:v>موجود في النظام</x:v>
      </x:c>
      <x:c r="C177" s="46" t="str">
        <x:v>DRK-TEA-FLAVORED-BAG</x:v>
      </x:c>
      <x:c r="D177" s="46" t="str">
        <x:v>شاي أحمد منكه – ظرف</x:v>
      </x:c>
      <x:c r="E177" s="46" t="str">
        <x:v>Ahmad Flavored Tea Bag</x:v>
      </x:c>
      <x:c r="F177" s="46" t="str">
        <x:v>مشروبات ومستلزمات</x:v>
      </x:c>
      <x:c r="G177" s="46" t="str">
        <x:v>حصة</x:v>
      </x:c>
      <x:c r="H177" s="46"/>
      <x:c r="I177" s="46"/>
      <x:c r="J177" s="100" t="n">
        <x:v>2000</x:v>
      </x:c>
      <x:c r="K177" s="46"/>
      <x:c r="L177" s="46" t="str">
        <x:v>نعم</x:v>
      </x:c>
      <x:c r="M177" s="46" t="str">
        <x:v>20 ظرف = 40,000 ل.س؛ الكلفة للحصة 2,000 ل.س.</x:v>
      </x:c>
    </x:row>
    <x:row r="178">
      <x:c r="A178" s="46" t="str">
        <x:v>MATCH_ONLY</x:v>
      </x:c>
      <x:c r="B178" s="46" t="str">
        <x:v>موجود في النظام</x:v>
      </x:c>
      <x:c r="C178" s="46" t="str">
        <x:v>DRK-TEA-FRUIT-BAG</x:v>
      </x:c>
      <x:c r="D178" s="46" t="str">
        <x:v>شاي أحمد فواكه – ظرف</x:v>
      </x:c>
      <x:c r="E178" s="46" t="str">
        <x:v>Ahmad Fruit Tea Bag</x:v>
      </x:c>
      <x:c r="F178" s="46" t="str">
        <x:v>مشروبات ومستلزمات</x:v>
      </x:c>
      <x:c r="G178" s="46" t="str">
        <x:v>حصة</x:v>
      </x:c>
      <x:c r="H178" s="46"/>
      <x:c r="I178" s="46"/>
      <x:c r="J178" s="100" t="n">
        <x:v>1325</x:v>
      </x:c>
      <x:c r="K178" s="46"/>
      <x:c r="L178" s="46" t="str">
        <x:v>نعم</x:v>
      </x:c>
      <x:c r="M178" s="46" t="str">
        <x:v>20 ظرف = 26,500 ل.س؛ الكلفة للحصة 1,325 ل.س.</x:v>
      </x:c>
    </x:row>
    <x:row r="179">
      <x:c r="A179" s="46" t="str">
        <x:v>MATCH_ONLY</x:v>
      </x:c>
      <x:c r="B179" s="46" t="str">
        <x:v>موجود في النظام</x:v>
      </x:c>
      <x:c r="C179" s="46" t="str">
        <x:v>DRK-TEA-MASALA</x:v>
      </x:c>
      <x:c r="D179" s="46" t="str">
        <x:v>شاي هندي / ماسالا</x:v>
      </x:c>
      <x:c r="E179" s="46" t="str">
        <x:v>Indian Masala Tea</x:v>
      </x:c>
      <x:c r="F179" s="46" t="str">
        <x:v>مشروبات ومستلزمات</x:v>
      </x:c>
      <x:c r="G179" s="46" t="str">
        <x:v>كغ</x:v>
      </x:c>
      <x:c r="H179" s="46"/>
      <x:c r="I179" s="46"/>
      <x:c r="J179" s="100"/>
      <x:c r="K179" s="46"/>
      <x:c r="L179" s="46" t="str">
        <x:v>نعم</x:v>
      </x:c>
      <x:c r="M179" s="46" t="str">
        <x:v>مطابقة فقط؛ لا تغيير على الرصيد الحالي.</x:v>
      </x:c>
    </x:row>
    <x:row r="180">
      <x:c r="A180" s="46" t="str">
        <x:v>MATCH_ONLY</x:v>
      </x:c>
      <x:c r="B180" s="46" t="str">
        <x:v>موجود في النظام</x:v>
      </x:c>
      <x:c r="C180" s="46" t="str">
        <x:v>DRK-HERBAL-ZHOURAT</x:v>
      </x:c>
      <x:c r="D180" s="46" t="str">
        <x:v>زهورات مشكلة</x:v>
      </x:c>
      <x:c r="E180" s="46" t="str">
        <x:v>Mixed Zhourat</x:v>
      </x:c>
      <x:c r="F180" s="46" t="str">
        <x:v>مشروبات ومستلزمات</x:v>
      </x:c>
      <x:c r="G180" s="46" t="str">
        <x:v>كغ</x:v>
      </x:c>
      <x:c r="H180" s="46"/>
      <x:c r="I180" s="46"/>
      <x:c r="J180" s="100"/>
      <x:c r="K180" s="46"/>
      <x:c r="L180" s="46" t="str">
        <x:v>نعم</x:v>
      </x:c>
      <x:c r="M180" s="46" t="str">
        <x:v>مطابقة فقط؛ لا تغيير على الرصيد الحالي.</x:v>
      </x:c>
    </x:row>
    <x:row r="181">
      <x:c r="A181" s="46" t="str">
        <x:v>MATCH_ONLY</x:v>
      </x:c>
      <x:c r="B181" s="46" t="str">
        <x:v>موجود في النظام</x:v>
      </x:c>
      <x:c r="C181" s="46" t="str">
        <x:v>DRK-MATE-YERBA</x:v>
      </x:c>
      <x:c r="D181" s="46" t="str">
        <x:v>متة</x:v>
      </x:c>
      <x:c r="E181" s="46" t="str">
        <x:v>Yerba Mate</x:v>
      </x:c>
      <x:c r="F181" s="46" t="str">
        <x:v>مشروبات ومستلزمات</x:v>
      </x:c>
      <x:c r="G181" s="46" t="str">
        <x:v>كغ</x:v>
      </x:c>
      <x:c r="H181" s="46"/>
      <x:c r="I181" s="46"/>
      <x:c r="J181" s="100"/>
      <x:c r="K181" s="46"/>
      <x:c r="L181" s="46" t="str">
        <x:v>نعم</x:v>
      </x:c>
      <x:c r="M181" s="46" t="str">
        <x:v>مطابقة فقط؛ لا تغيير على الرصيد الحالي.</x:v>
      </x:c>
    </x:row>
    <x:row r="182">
      <x:c r="A182" s="46" t="str">
        <x:v>MATCH_ONLY</x:v>
      </x:c>
      <x:c r="B182" s="46" t="str">
        <x:v>موجود في النظام</x:v>
      </x:c>
      <x:c r="C182" s="46" t="str">
        <x:v>DRK-MATCHA-PORTION</x:v>
      </x:c>
      <x:c r="D182" s="46" t="str">
        <x:v>ماتشا – حصة</x:v>
      </x:c>
      <x:c r="E182" s="46" t="str">
        <x:v>Matcha Portion</x:v>
      </x:c>
      <x:c r="F182" s="46" t="str">
        <x:v>مشروبات ومستلزمات</x:v>
      </x:c>
      <x:c r="G182" s="46" t="str">
        <x:v>حصة</x:v>
      </x:c>
      <x:c r="H182" s="46"/>
      <x:c r="I182" s="46"/>
      <x:c r="J182" s="100" t="n">
        <x:v>4450</x:v>
      </x:c>
      <x:c r="K182" s="46"/>
      <x:c r="L182" s="46" t="str">
        <x:v>نعم</x:v>
      </x:c>
      <x:c r="M182" s="46" t="str">
        <x:v>20 ظرف = 89,000 ل.س؛ الكلفة للحصة 4,450 ل.س.</x:v>
      </x:c>
    </x:row>
    <x:row r="183">
      <x:c r="A183" s="46" t="str">
        <x:v>MATCH_ONLY</x:v>
      </x:c>
      <x:c r="B183" s="46" t="str">
        <x:v>موجود في النظام</x:v>
      </x:c>
      <x:c r="C183" s="46" t="str">
        <x:v>DRK-CHOCO-SACHET</x:v>
      </x:c>
      <x:c r="D183" s="46" t="str">
        <x:v>هوت شوكليت – ظرف</x:v>
      </x:c>
      <x:c r="E183" s="46" t="str">
        <x:v>Hot Chocolate Sachet</x:v>
      </x:c>
      <x:c r="F183" s="46" t="str">
        <x:v>مشروبات ومستلزمات</x:v>
      </x:c>
      <x:c r="G183" s="46" t="str">
        <x:v>حصة</x:v>
      </x:c>
      <x:c r="H183" s="46"/>
      <x:c r="I183" s="46"/>
      <x:c r="J183" s="100" t="n">
        <x:v>3000</x:v>
      </x:c>
      <x:c r="K183" s="46"/>
      <x:c r="L183" s="46" t="str">
        <x:v>نعم</x:v>
      </x:c>
      <x:c r="M183" s="46" t="str">
        <x:v>مرجع السعر: 3,000 ل.س للظرف.</x:v>
      </x:c>
    </x:row>
    <x:row r="184">
      <x:c r="A184" s="46" t="str">
        <x:v>MATCH_ONLY</x:v>
      </x:c>
      <x:c r="B184" s="46" t="str">
        <x:v>موجود في النظام</x:v>
      </x:c>
      <x:c r="C184" s="46" t="str">
        <x:v>DRK-CHOCO-COCOA</x:v>
      </x:c>
      <x:c r="D184" s="46" t="str">
        <x:v>كاكاو بودرة</x:v>
      </x:c>
      <x:c r="E184" s="46" t="str">
        <x:v>Cocoa Powder</x:v>
      </x:c>
      <x:c r="F184" s="46" t="str">
        <x:v>مشروبات ومستلزمات</x:v>
      </x:c>
      <x:c r="G184" s="46" t="str">
        <x:v>كغ</x:v>
      </x:c>
      <x:c r="H184" s="46"/>
      <x:c r="I184" s="46"/>
      <x:c r="J184" s="100"/>
      <x:c r="K184" s="46"/>
      <x:c r="L184" s="46" t="str">
        <x:v>نعم</x:v>
      </x:c>
      <x:c r="M184" s="46" t="str">
        <x:v>مطابقة فقط؛ لا تغيير على الرصيد الحالي.</x:v>
      </x:c>
    </x:row>
    <x:row r="185">
      <x:c r="A185" s="46" t="str">
        <x:v>MATCH_ONLY</x:v>
      </x:c>
      <x:c r="B185" s="46" t="str">
        <x:v>موجود في النظام</x:v>
      </x:c>
      <x:c r="C185" s="46" t="str">
        <x:v>DRK-LOCAL-JALLAB</x:v>
      </x:c>
      <x:c r="D185" s="46" t="str">
        <x:v>جلاب مركز</x:v>
      </x:c>
      <x:c r="E185" s="46" t="str">
        <x:v>Jallab Concentrate</x:v>
      </x:c>
      <x:c r="F185" s="46" t="str">
        <x:v>مشروبات ومستلزمات</x:v>
      </x:c>
      <x:c r="G185" s="46" t="str">
        <x:v>لتر</x:v>
      </x:c>
      <x:c r="H185" s="46"/>
      <x:c r="I185" s="46"/>
      <x:c r="J185" s="100"/>
      <x:c r="K185" s="46"/>
      <x:c r="L185" s="46" t="str">
        <x:v>نعم</x:v>
      </x:c>
      <x:c r="M185" s="46" t="str">
        <x:v>مطابقة فقط؛ لا تغيير على الرصيد الحالي.</x:v>
      </x:c>
    </x:row>
    <x:row r="186">
      <x:c r="A186" s="46" t="str">
        <x:v>MATCH_ONLY</x:v>
      </x:c>
      <x:c r="B186" s="46" t="str">
        <x:v>موجود في النظام</x:v>
      </x:c>
      <x:c r="C186" s="46" t="str">
        <x:v>DRK-JUICE-GRAPE</x:v>
      </x:c>
      <x:c r="D186" s="46" t="str">
        <x:v>عصير عنب</x:v>
      </x:c>
      <x:c r="E186" s="46" t="str">
        <x:v>Grape Juice</x:v>
      </x:c>
      <x:c r="F186" s="46" t="str">
        <x:v>مشروبات ومستلزمات</x:v>
      </x:c>
      <x:c r="G186" s="46" t="str">
        <x:v>لتر</x:v>
      </x:c>
      <x:c r="H186" s="46"/>
      <x:c r="I186" s="46"/>
      <x:c r="J186" s="100"/>
      <x:c r="K186" s="46"/>
      <x:c r="L186" s="46" t="str">
        <x:v>نعم</x:v>
      </x:c>
      <x:c r="M186" s="46" t="str">
        <x:v>مطابقة فقط؛ لا تغيير على الرصيد الحالي.</x:v>
      </x:c>
    </x:row>
    <x:row r="187">
      <x:c r="A187" s="46" t="str">
        <x:v>MATCH_ONLY</x:v>
      </x:c>
      <x:c r="B187" s="46" t="str">
        <x:v>موجود في النظام</x:v>
      </x:c>
      <x:c r="C187" s="46" t="str">
        <x:v>DRK-JUICE-POMEGRANATE</x:v>
      </x:c>
      <x:c r="D187" s="46" t="str">
        <x:v>عصير رمان</x:v>
      </x:c>
      <x:c r="E187" s="46" t="str">
        <x:v>Pomegranate Juice</x:v>
      </x:c>
      <x:c r="F187" s="46" t="str">
        <x:v>مشروبات ومستلزمات</x:v>
      </x:c>
      <x:c r="G187" s="46" t="str">
        <x:v>لتر</x:v>
      </x:c>
      <x:c r="H187" s="46"/>
      <x:c r="I187" s="46"/>
      <x:c r="J187" s="100"/>
      <x:c r="K187" s="46"/>
      <x:c r="L187" s="46" t="str">
        <x:v>نعم</x:v>
      </x:c>
      <x:c r="M187" s="46" t="str">
        <x:v>مطابقة فقط؛ لا تغيير على الرصيد الحالي.</x:v>
      </x:c>
    </x:row>
    <x:row r="188">
      <x:c r="A188" s="46" t="str">
        <x:v>MATCH_ONLY</x:v>
      </x:c>
      <x:c r="B188" s="46" t="str">
        <x:v>موجود في النظام</x:v>
      </x:c>
      <x:c r="C188" s="46" t="str">
        <x:v>DRK-JUICE-APPLE</x:v>
      </x:c>
      <x:c r="D188" s="46" t="str">
        <x:v>عصير تفاح</x:v>
      </x:c>
      <x:c r="E188" s="46" t="str">
        <x:v>Apple Juice</x:v>
      </x:c>
      <x:c r="F188" s="46" t="str">
        <x:v>مشروبات ومستلزمات</x:v>
      </x:c>
      <x:c r="G188" s="46" t="str">
        <x:v>لتر</x:v>
      </x:c>
      <x:c r="H188" s="46"/>
      <x:c r="I188" s="46"/>
      <x:c r="J188" s="100"/>
      <x:c r="K188" s="46"/>
      <x:c r="L188" s="46" t="str">
        <x:v>نعم</x:v>
      </x:c>
      <x:c r="M188" s="46" t="str">
        <x:v>مطابقة فقط؛ لا تغيير على الرصيد الحالي.</x:v>
      </x:c>
    </x:row>
    <x:row r="189">
      <x:c r="A189" s="46" t="str">
        <x:v>MATCH_ONLY</x:v>
      </x:c>
      <x:c r="B189" s="46" t="str">
        <x:v>موجود في النظام</x:v>
      </x:c>
      <x:c r="C189" s="46" t="str">
        <x:v>DRK-SODA-7UP-BTL</x:v>
      </x:c>
      <x:c r="D189" s="46" t="str">
        <x:v>سفن أب – زجاجة</x:v>
      </x:c>
      <x:c r="E189" s="46" t="str">
        <x:v>7UP Bottle</x:v>
      </x:c>
      <x:c r="F189" s="46" t="str">
        <x:v>مشروبات ومستلزمات</x:v>
      </x:c>
      <x:c r="G189" s="46" t="str">
        <x:v>زجاجة</x:v>
      </x:c>
      <x:c r="H189" s="46"/>
      <x:c r="I189" s="46"/>
      <x:c r="J189" s="100" t="n">
        <x:v>20000</x:v>
      </x:c>
      <x:c r="K189" s="46"/>
      <x:c r="L189" s="46" t="str">
        <x:v>نعم</x:v>
      </x:c>
      <x:c r="M189" s="46" t="str">
        <x:v>الحجم غير محدد في المرجع.</x:v>
      </x:c>
    </x:row>
    <x:row r="190">
      <x:c r="A190" s="46" t="str">
        <x:v>MATCH_ONLY</x:v>
      </x:c>
      <x:c r="B190" s="46" t="str">
        <x:v>موجود في النظام</x:v>
      </x:c>
      <x:c r="C190" s="46" t="str">
        <x:v>DRK-SODA-PEPSI-BTL</x:v>
      </x:c>
      <x:c r="D190" s="46" t="str">
        <x:v>بيبسي – زجاجة</x:v>
      </x:c>
      <x:c r="E190" s="46" t="str">
        <x:v>Pepsi Bottle</x:v>
      </x:c>
      <x:c r="F190" s="46" t="str">
        <x:v>مشروبات ومستلزمات</x:v>
      </x:c>
      <x:c r="G190" s="46" t="str">
        <x:v>زجاجة</x:v>
      </x:c>
      <x:c r="H190" s="46"/>
      <x:c r="I190" s="46"/>
      <x:c r="J190" s="100" t="n">
        <x:v>20000</x:v>
      </x:c>
      <x:c r="K190" s="46"/>
      <x:c r="L190" s="46" t="str">
        <x:v>نعم</x:v>
      </x:c>
      <x:c r="M190" s="46" t="str">
        <x:v>الحجم غير محدد في المرجع.</x:v>
      </x:c>
    </x:row>
    <x:row r="191">
      <x:c r="A191" s="46" t="str">
        <x:v>MATCH_ONLY</x:v>
      </x:c>
      <x:c r="B191" s="46" t="str">
        <x:v>موجود في النظام</x:v>
      </x:c>
      <x:c r="C191" s="46" t="str">
        <x:v>DRK-SODA-SUPRIN-225</x:v>
      </x:c>
      <x:c r="D191" s="46" t="str">
        <x:v>سوبرين سفن أب / كولا 2.25 لتر</x:v>
      </x:c>
      <x:c r="E191" s="46" t="str">
        <x:v>Suprin 7UP/Cola 2.25L</x:v>
      </x:c>
      <x:c r="F191" s="46" t="str">
        <x:v>مشروبات ومستلزمات</x:v>
      </x:c>
      <x:c r="G191" s="46" t="str">
        <x:v>زجاجة</x:v>
      </x:c>
      <x:c r="H191" s="46"/>
      <x:c r="I191" s="46"/>
      <x:c r="J191" s="100" t="n">
        <x:v>15000</x:v>
      </x:c>
      <x:c r="K191" s="46"/>
      <x:c r="L191" s="46" t="str">
        <x:v>نعم</x:v>
      </x:c>
      <x:c r="M191" s="46" t="str">
        <x:v>زجاجة 2.25 لتر.</x:v>
      </x:c>
    </x:row>
    <x:row r="192">
      <x:c r="A192" s="46" t="str">
        <x:v>MATCH_ONLY</x:v>
      </x:c>
      <x:c r="B192" s="46" t="str">
        <x:v>موجود في النظام</x:v>
      </x:c>
      <x:c r="C192" s="46" t="str">
        <x:v>DRK-SODA-CAN</x:v>
      </x:c>
      <x:c r="D192" s="46" t="str">
        <x:v>صودا – علبة</x:v>
      </x:c>
      <x:c r="E192" s="46" t="str">
        <x:v>Soda Can</x:v>
      </x:c>
      <x:c r="F192" s="46" t="str">
        <x:v>مشروبات ومستلزمات</x:v>
      </x:c>
      <x:c r="G192" s="46" t="str">
        <x:v>قطعة</x:v>
      </x:c>
      <x:c r="H192" s="46"/>
      <x:c r="I192" s="46"/>
      <x:c r="J192" s="100"/>
      <x:c r="K192" s="46"/>
      <x:c r="L192" s="46" t="str">
        <x:v>نعم</x:v>
      </x:c>
      <x:c r="M192" s="46" t="str">
        <x:v>مطابقة فقط؛ لا تغيير على الرصيد الحالي.</x:v>
      </x:c>
    </x:row>
    <x:row r="193">
      <x:c r="A193" s="46" t="str">
        <x:v>MATCH_ONLY</x:v>
      </x:c>
      <x:c r="B193" s="46" t="str">
        <x:v>موجود في النظام</x:v>
      </x:c>
      <x:c r="C193" s="46" t="str">
        <x:v>DRK-SODA-WATER</x:v>
      </x:c>
      <x:c r="D193" s="46" t="str">
        <x:v>مياه غازية</x:v>
      </x:c>
      <x:c r="E193" s="46" t="str">
        <x:v>Soda Water</x:v>
      </x:c>
      <x:c r="F193" s="46" t="str">
        <x:v>مشروبات ومستلزمات</x:v>
      </x:c>
      <x:c r="G193" s="46" t="str">
        <x:v>زجاجة</x:v>
      </x:c>
      <x:c r="H193" s="46"/>
      <x:c r="I193" s="46"/>
      <x:c r="J193" s="100"/>
      <x:c r="K193" s="46"/>
      <x:c r="L193" s="46" t="str">
        <x:v>نعم</x:v>
      </x:c>
      <x:c r="M193" s="46" t="str">
        <x:v>مطابقة فقط؛ لا تغيير على الرصيد الحالي.</x:v>
      </x:c>
    </x:row>
    <x:row r="194">
      <x:c r="A194" s="46" t="str">
        <x:v>MATCH_ONLY</x:v>
      </x:c>
      <x:c r="B194" s="46" t="str">
        <x:v>موجود في النظام</x:v>
      </x:c>
      <x:c r="C194" s="46" t="str">
        <x:v>DRK-TONIC-WATER</x:v>
      </x:c>
      <x:c r="D194" s="46" t="str">
        <x:v>تونيك ووتر</x:v>
      </x:c>
      <x:c r="E194" s="46" t="str">
        <x:v>Tonic Water</x:v>
      </x:c>
      <x:c r="F194" s="46" t="str">
        <x:v>مشروبات ومستلزمات</x:v>
      </x:c>
      <x:c r="G194" s="46" t="str">
        <x:v>زجاجة</x:v>
      </x:c>
      <x:c r="H194" s="46"/>
      <x:c r="I194" s="46"/>
      <x:c r="J194" s="100"/>
      <x:c r="K194" s="46"/>
      <x:c r="L194" s="46" t="str">
        <x:v>نعم</x:v>
      </x:c>
      <x:c r="M194" s="46" t="str">
        <x:v>مطابقة فقط؛ لا تغيير على الرصيد الحالي.</x:v>
      </x:c>
    </x:row>
    <x:row r="195">
      <x:c r="A195" s="46" t="str">
        <x:v>MATCH_ONLY</x:v>
      </x:c>
      <x:c r="B195" s="46" t="str">
        <x:v>موجود في النظام</x:v>
      </x:c>
      <x:c r="C195" s="46" t="str">
        <x:v>DRK-WATER-SMALL</x:v>
      </x:c>
      <x:c r="D195" s="46" t="str">
        <x:v>مياه معدنية صغيرة</x:v>
      </x:c>
      <x:c r="E195" s="46" t="str">
        <x:v>Small Mineral Water</x:v>
      </x:c>
      <x:c r="F195" s="46" t="str">
        <x:v>مشروبات ومستلزمات</x:v>
      </x:c>
      <x:c r="G195" s="46" t="str">
        <x:v>زجاجة</x:v>
      </x:c>
      <x:c r="H195" s="46"/>
      <x:c r="I195" s="46"/>
      <x:c r="J195" s="100"/>
      <x:c r="K195" s="46"/>
      <x:c r="L195" s="46" t="str">
        <x:v>نعم</x:v>
      </x:c>
      <x:c r="M195" s="46" t="str">
        <x:v>مطابقة فقط؛ لا تغيير على الرصيد الحالي.</x:v>
      </x:c>
    </x:row>
    <x:row r="196">
      <x:c r="A196" s="46" t="str">
        <x:v>MATCH_ONLY</x:v>
      </x:c>
      <x:c r="B196" s="46" t="str">
        <x:v>موجود في النظام</x:v>
      </x:c>
      <x:c r="C196" s="46" t="str">
        <x:v>DRK-WATER-LARGE</x:v>
      </x:c>
      <x:c r="D196" s="46" t="str">
        <x:v>مياه معدنية كبيرة</x:v>
      </x:c>
      <x:c r="E196" s="46" t="str">
        <x:v>Large Mineral Water</x:v>
      </x:c>
      <x:c r="F196" s="46" t="str">
        <x:v>مشروبات ومستلزمات</x:v>
      </x:c>
      <x:c r="G196" s="46" t="str">
        <x:v>زجاجة</x:v>
      </x:c>
      <x:c r="H196" s="46"/>
      <x:c r="I196" s="46"/>
      <x:c r="J196" s="100"/>
      <x:c r="K196" s="46"/>
      <x:c r="L196" s="46" t="str">
        <x:v>نعم</x:v>
      </x:c>
      <x:c r="M196" s="46" t="str">
        <x:v>مطابقة فقط؛ لا تغيير على الرصيد الحالي.</x:v>
      </x:c>
    </x:row>
    <x:row r="197">
      <x:c r="A197" s="46" t="str">
        <x:v>MATCH_ONLY</x:v>
      </x:c>
      <x:c r="B197" s="46" t="str">
        <x:v>موجود في النظام</x:v>
      </x:c>
      <x:c r="C197" s="46" t="str">
        <x:v>DRK-JUICE-FIORI-1L</x:v>
      </x:c>
      <x:c r="D197" s="46" t="str">
        <x:v>عصير فيوري 1 لتر</x:v>
      </x:c>
      <x:c r="E197" s="46" t="str">
        <x:v>Fiori Juice 1L</x:v>
      </x:c>
      <x:c r="F197" s="46" t="str">
        <x:v>مشروبات ومستلزمات</x:v>
      </x:c>
      <x:c r="G197" s="46" t="str">
        <x:v>لتر</x:v>
      </x:c>
      <x:c r="H197" s="46"/>
      <x:c r="I197" s="46"/>
      <x:c r="J197" s="100" t="n">
        <x:v>15000</x:v>
      </x:c>
      <x:c r="K197" s="46"/>
      <x:c r="L197" s="46" t="str">
        <x:v>نعم</x:v>
      </x:c>
      <x:c r="M197" s="46" t="str">
        <x:v>مرجع سعر المشروع: 15,000 ل.س/لتر.</x:v>
      </x:c>
    </x:row>
    <x:row r="198">
      <x:c r="A198" s="46" t="str">
        <x:v>MATCH_ONLY</x:v>
      </x:c>
      <x:c r="B198" s="46" t="str">
        <x:v>موجود في النظام</x:v>
      </x:c>
      <x:c r="C198" s="46" t="str">
        <x:v>DRK-JUICE-FIORI-15L</x:v>
      </x:c>
      <x:c r="D198" s="46" t="str">
        <x:v>عصير فيوري 1.5 لتر</x:v>
      </x:c>
      <x:c r="E198" s="46" t="str">
        <x:v>Fiori Juice 1.5L</x:v>
      </x:c>
      <x:c r="F198" s="46" t="str">
        <x:v>مشروبات ومستلزمات</x:v>
      </x:c>
      <x:c r="G198" s="46" t="str">
        <x:v>زجاجة</x:v>
      </x:c>
      <x:c r="H198" s="46"/>
      <x:c r="I198" s="46"/>
      <x:c r="J198" s="100" t="n">
        <x:v>20000</x:v>
      </x:c>
      <x:c r="K198" s="46"/>
      <x:c r="L198" s="46" t="str">
        <x:v>نعم</x:v>
      </x:c>
      <x:c r="M198" s="46" t="str">
        <x:v>زجاجة 1.5 لتر.</x:v>
      </x:c>
    </x:row>
    <x:row r="199">
      <x:c r="A199" s="46" t="str">
        <x:v>MATCH_ONLY</x:v>
      </x:c>
      <x:c r="B199" s="46" t="str">
        <x:v>موجود في النظام</x:v>
      </x:c>
      <x:c r="C199" s="46" t="str">
        <x:v>DRK-ICE</x:v>
      </x:c>
      <x:c r="D199" s="46" t="str">
        <x:v>ثلج</x:v>
      </x:c>
      <x:c r="E199" s="46" t="str">
        <x:v>Ice</x:v>
      </x:c>
      <x:c r="F199" s="46" t="str">
        <x:v>مشروبات ومستلزمات</x:v>
      </x:c>
      <x:c r="G199" s="46" t="str">
        <x:v>كغ</x:v>
      </x:c>
      <x:c r="H199" s="46"/>
      <x:c r="I199" s="46"/>
      <x:c r="J199" s="100" t="n">
        <x:v>4000</x:v>
      </x:c>
      <x:c r="K199" s="46"/>
      <x:c r="L199" s="46" t="str">
        <x:v>نعم</x:v>
      </x:c>
      <x:c r="M199" s="46" t="str">
        <x:v>مرجع سعر المشروع: 4,000 ل.س/كغ.</x:v>
      </x:c>
    </x:row>
    <x:row r="200">
      <x:c r="A200" s="46" t="str">
        <x:v>MATCH_ONLY</x:v>
      </x:c>
      <x:c r="B200" s="46" t="str">
        <x:v>موجود في النظام</x:v>
      </x:c>
      <x:c r="C200" s="46" t="str">
        <x:v>DRK-ALC-ARAK-RAYAN</x:v>
      </x:c>
      <x:c r="D200" s="46" t="str">
        <x:v>عرق الريان</x:v>
      </x:c>
      <x:c r="E200" s="46" t="str">
        <x:v>Al Rayan Arak</x:v>
      </x:c>
      <x:c r="F200" s="46" t="str">
        <x:v>مشروبات ومستلزمات</x:v>
      </x:c>
      <x:c r="G200" s="46" t="str">
        <x:v>لتر</x:v>
      </x:c>
      <x:c r="H200" s="46"/>
      <x:c r="I200" s="46"/>
      <x:c r="J200" s="100" t="n">
        <x:v>52000</x:v>
      </x:c>
      <x:c r="K200" s="46"/>
      <x:c r="L200" s="46" t="str">
        <x:v>نعم</x:v>
      </x:c>
      <x:c r="M200" s="46" t="str">
        <x:v>مرجع سعر المشروع: 52,000 ل.س/لتر.</x:v>
      </x:c>
    </x:row>
    <x:row r="201">
      <x:c r="A201" s="46" t="str">
        <x:v>MATCH_ONLY</x:v>
      </x:c>
      <x:c r="B201" s="46" t="str">
        <x:v>موجود في النظام</x:v>
      </x:c>
      <x:c r="C201" s="46" t="str">
        <x:v>DRK-ALC-VODKA-SMIRNOFF</x:v>
      </x:c>
      <x:c r="D201" s="46" t="str">
        <x:v>فودكا سميرنوف</x:v>
      </x:c>
      <x:c r="E201" s="46" t="str">
        <x:v>Smirnoff Vodka</x:v>
      </x:c>
      <x:c r="F201" s="46" t="str">
        <x:v>مشروبات ومستلزمات</x:v>
      </x:c>
      <x:c r="G201" s="46" t="str">
        <x:v>لتر</x:v>
      </x:c>
      <x:c r="H201" s="46"/>
      <x:c r="I201" s="46"/>
      <x:c r="J201" s="100" t="n">
        <x:v>50000</x:v>
      </x:c>
      <x:c r="K201" s="46"/>
      <x:c r="L201" s="46" t="str">
        <x:v>نعم</x:v>
      </x:c>
      <x:c r="M201" s="46" t="str">
        <x:v>مرجع سعر المشروع: 50,000 ل.س/لتر.</x:v>
      </x:c>
    </x:row>
    <x:row r="202">
      <x:c r="A202" s="46" t="str">
        <x:v>MATCH_ONLY</x:v>
      </x:c>
      <x:c r="B202" s="46" t="str">
        <x:v>موجود في النظام</x:v>
      </x:c>
      <x:c r="C202" s="46" t="str">
        <x:v>DRK-ALC-BEER-STRONG</x:v>
      </x:c>
      <x:c r="D202" s="46" t="str">
        <x:v>بيرة ثقيلة</x:v>
      </x:c>
      <x:c r="E202" s="46" t="str">
        <x:v>Strong Beer</x:v>
      </x:c>
      <x:c r="F202" s="46" t="str">
        <x:v>مشروبات ومستلزمات</x:v>
      </x:c>
      <x:c r="G202" s="46" t="str">
        <x:v>زجاجة</x:v>
      </x:c>
      <x:c r="H202" s="46"/>
      <x:c r="I202" s="46"/>
      <x:c r="J202" s="100" t="n">
        <x:v>40000</x:v>
      </x:c>
      <x:c r="K202" s="46"/>
      <x:c r="L202" s="46" t="str">
        <x:v>نعم</x:v>
      </x:c>
      <x:c r="M202" s="46" t="str">
        <x:v>الحجم غير محدد في المرجع.</x:v>
      </x:c>
    </x:row>
    <x:row r="203">
      <x:c r="A203" s="46" t="str">
        <x:v>MATCH_ONLY</x:v>
      </x:c>
      <x:c r="B203" s="46" t="str">
        <x:v>موجود في النظام</x:v>
      </x:c>
      <x:c r="C203" s="46" t="str">
        <x:v>DRK-ALC-BEER-LIGHT</x:v>
      </x:c>
      <x:c r="D203" s="46" t="str">
        <x:v>بيرة خفيفة</x:v>
      </x:c>
      <x:c r="E203" s="46" t="str">
        <x:v>Light Beer</x:v>
      </x:c>
      <x:c r="F203" s="46" t="str">
        <x:v>مشروبات ومستلزمات</x:v>
      </x:c>
      <x:c r="G203" s="46" t="str">
        <x:v>زجاجة</x:v>
      </x:c>
      <x:c r="H203" s="46"/>
      <x:c r="I203" s="46"/>
      <x:c r="J203" s="100" t="n">
        <x:v>35000</x:v>
      </x:c>
      <x:c r="K203" s="46"/>
      <x:c r="L203" s="46" t="str">
        <x:v>نعم</x:v>
      </x:c>
      <x:c r="M203" s="46" t="str">
        <x:v>الحجم غير محدد في المرجع.</x:v>
      </x:c>
    </x:row>
    <x:row r="204">
      <x:c r="A204" s="46" t="str">
        <x:v>MATCH_ONLY</x:v>
      </x:c>
      <x:c r="B204" s="46" t="str">
        <x:v>موجود في النظام</x:v>
      </x:c>
      <x:c r="C204" s="46" t="str">
        <x:v>DRK-ALC-GIN</x:v>
      </x:c>
      <x:c r="D204" s="46" t="str">
        <x:v>جين</x:v>
      </x:c>
      <x:c r="E204" s="46" t="str">
        <x:v>Gin</x:v>
      </x:c>
      <x:c r="F204" s="46" t="str">
        <x:v>مشروبات ومستلزمات</x:v>
      </x:c>
      <x:c r="G204" s="46" t="str">
        <x:v>لتر</x:v>
      </x:c>
      <x:c r="H204" s="46"/>
      <x:c r="I204" s="46"/>
      <x:c r="J204" s="100"/>
      <x:c r="K204" s="46"/>
      <x:c r="L204" s="46" t="str">
        <x:v>نعم</x:v>
      </x:c>
      <x:c r="M204" s="46" t="str">
        <x:v>لكوكتيل الجن بالحبق.</x:v>
      </x:c>
    </x:row>
    <x:row r="205">
      <x:c r="A205" s="46" t="str">
        <x:v>MATCH_ONLY</x:v>
      </x:c>
      <x:c r="B205" s="46" t="str">
        <x:v>موجود في النظام</x:v>
      </x:c>
      <x:c r="C205" s="46" t="str">
        <x:v>DRK-ALC-WHISKEY</x:v>
      </x:c>
      <x:c r="D205" s="46" t="str">
        <x:v>ويسكي</x:v>
      </x:c>
      <x:c r="E205" s="46" t="str">
        <x:v>Whiskey</x:v>
      </x:c>
      <x:c r="F205" s="46" t="str">
        <x:v>مشروبات ومستلزمات</x:v>
      </x:c>
      <x:c r="G205" s="46" t="str">
        <x:v>لتر</x:v>
      </x:c>
      <x:c r="H205" s="46"/>
      <x:c r="I205" s="46"/>
      <x:c r="J205" s="100"/>
      <x:c r="K205" s="46"/>
      <x:c r="L205" s="46" t="str">
        <x:v>نعم</x:v>
      </x:c>
      <x:c r="M205" s="46" t="str">
        <x:v>مطابقة فقط؛ لا تغيير على الرصيد الحالي.</x:v>
      </x:c>
    </x:row>
    <x:row r="206">
      <x:c r="A206" s="46" t="str">
        <x:v>MATCH_ONLY</x:v>
      </x:c>
      <x:c r="B206" s="46" t="str">
        <x:v>موجود في النظام</x:v>
      </x:c>
      <x:c r="C206" s="46" t="str">
        <x:v>DRK-ALC-RUM-WHITE</x:v>
      </x:c>
      <x:c r="D206" s="46" t="str">
        <x:v>روم أبيض</x:v>
      </x:c>
      <x:c r="E206" s="46" t="str">
        <x:v>White Rum</x:v>
      </x:c>
      <x:c r="F206" s="46" t="str">
        <x:v>مشروبات ومستلزمات</x:v>
      </x:c>
      <x:c r="G206" s="46" t="str">
        <x:v>لتر</x:v>
      </x:c>
      <x:c r="H206" s="46"/>
      <x:c r="I206" s="46"/>
      <x:c r="J206" s="100"/>
      <x:c r="K206" s="46"/>
      <x:c r="L206" s="46" t="str">
        <x:v>نعم</x:v>
      </x:c>
      <x:c r="M206" s="46" t="str">
        <x:v>للموهيتو.</x:v>
      </x:c>
    </x:row>
    <x:row r="207">
      <x:c r="A207" s="46" t="str">
        <x:v>MATCH_ONLY</x:v>
      </x:c>
      <x:c r="B207" s="46" t="str">
        <x:v>موجود في النظام</x:v>
      </x:c>
      <x:c r="C207" s="46" t="str">
        <x:v>DRK-ALC-TEQUILA</x:v>
      </x:c>
      <x:c r="D207" s="46" t="str">
        <x:v>تيكيلا</x:v>
      </x:c>
      <x:c r="E207" s="46" t="str">
        <x:v>Tequila</x:v>
      </x:c>
      <x:c r="F207" s="46" t="str">
        <x:v>مشروبات ومستلزمات</x:v>
      </x:c>
      <x:c r="G207" s="46" t="str">
        <x:v>لتر</x:v>
      </x:c>
      <x:c r="H207" s="46"/>
      <x:c r="I207" s="46"/>
      <x:c r="J207" s="100"/>
      <x:c r="K207" s="46"/>
      <x:c r="L207" s="46" t="str">
        <x:v>نعم</x:v>
      </x:c>
      <x:c r="M207" s="46" t="str">
        <x:v>مطابقة فقط؛ لا تغيير على الرصيد الحالي.</x:v>
      </x:c>
    </x:row>
    <x:row r="208">
      <x:c r="A208" s="46" t="str">
        <x:v>MATCH_ONLY</x:v>
      </x:c>
      <x:c r="B208" s="46" t="str">
        <x:v>موجود في النظام</x:v>
      </x:c>
      <x:c r="C208" s="46" t="str">
        <x:v>DRK-ALC-WINE-RED</x:v>
      </x:c>
      <x:c r="D208" s="46" t="str">
        <x:v>نبيذ أحمر</x:v>
      </x:c>
      <x:c r="E208" s="46" t="str">
        <x:v>Red Wine</x:v>
      </x:c>
      <x:c r="F208" s="46" t="str">
        <x:v>مشروبات ومستلزمات</x:v>
      </x:c>
      <x:c r="G208" s="46" t="str">
        <x:v>زجاجة</x:v>
      </x:c>
      <x:c r="H208" s="46"/>
      <x:c r="I208" s="46"/>
      <x:c r="J208" s="100"/>
      <x:c r="K208" s="46"/>
      <x:c r="L208" s="46" t="str">
        <x:v>نعم</x:v>
      </x:c>
      <x:c r="M208" s="46" t="str">
        <x:v>مطابقة فقط؛ لا تغيير على الرصيد الحالي.</x:v>
      </x:c>
    </x:row>
    <x:row r="209">
      <x:c r="A209" s="46" t="str">
        <x:v>MATCH_ONLY</x:v>
      </x:c>
      <x:c r="B209" s="46" t="str">
        <x:v>موجود في النظام</x:v>
      </x:c>
      <x:c r="C209" s="46" t="str">
        <x:v>DRK-ALC-WINE-WHITE</x:v>
      </x:c>
      <x:c r="D209" s="46" t="str">
        <x:v>نبيذ أبيض</x:v>
      </x:c>
      <x:c r="E209" s="46" t="str">
        <x:v>White Wine</x:v>
      </x:c>
      <x:c r="F209" s="46" t="str">
        <x:v>مشروبات ومستلزمات</x:v>
      </x:c>
      <x:c r="G209" s="46" t="str">
        <x:v>زجاجة</x:v>
      </x:c>
      <x:c r="H209" s="46"/>
      <x:c r="I209" s="46"/>
      <x:c r="J209" s="100"/>
      <x:c r="K209" s="46"/>
      <x:c r="L209" s="46" t="str">
        <x:v>نعم</x:v>
      </x:c>
      <x:c r="M209" s="46" t="str">
        <x:v>مطابقة فقط؛ لا تغيير على الرصيد الحالي.</x:v>
      </x:c>
    </x:row>
    <x:row r="210">
      <x:c r="A210" s="46" t="str">
        <x:v>MATCH_ONLY</x:v>
      </x:c>
      <x:c r="B210" s="46" t="str">
        <x:v>موجود في النظام</x:v>
      </x:c>
      <x:c r="C210" s="46" t="str">
        <x:v>ING-PICKLE-GREENOLIVE</x:v>
      </x:c>
      <x:c r="D210" s="46" t="str">
        <x:v>زيتون أخضر</x:v>
      </x:c>
      <x:c r="E210" s="46" t="str">
        <x:v>Green Olives</x:v>
      </x:c>
      <x:c r="F210" s="46" t="str">
        <x:v>مكوّن</x:v>
      </x:c>
      <x:c r="G210" s="46" t="str">
        <x:v>كغ</x:v>
      </x:c>
      <x:c r="H210" s="46"/>
      <x:c r="I210" s="46"/>
      <x:c r="J210" s="100"/>
      <x:c r="K210" s="46"/>
      <x:c r="L210" s="46" t="str">
        <x:v>نعم</x:v>
      </x:c>
      <x:c r="M210" s="46" t="str">
        <x:v>للشوت مع تاباسكو وللمازات.</x:v>
      </x:c>
    </x:row>
    <x:row r="211">
      <x:c r="A211" s="46" t="str">
        <x:v>MATCH_ONLY</x:v>
      </x:c>
      <x:c r="B211" s="46" t="str">
        <x:v>موجود في النظام</x:v>
      </x:c>
      <x:c r="C211" s="46" t="str">
        <x:v>ING-SWEET-SUGAR</x:v>
      </x:c>
      <x:c r="D211" s="46" t="str">
        <x:v>سكر</x:v>
      </x:c>
      <x:c r="E211" s="46" t="str">
        <x:v>Sugar</x:v>
      </x:c>
      <x:c r="F211" s="46" t="str">
        <x:v>مكوّن</x:v>
      </x:c>
      <x:c r="G211" s="46" t="str">
        <x:v>كغ</x:v>
      </x:c>
      <x:c r="H211" s="46"/>
      <x:c r="I211" s="46"/>
      <x:c r="J211" s="100" t="n">
        <x:v>10000</x:v>
      </x:c>
      <x:c r="K211" s="46"/>
      <x:c r="L211" s="46" t="str">
        <x:v>نعم</x:v>
      </x:c>
      <x:c r="M211" s="46" t="str">
        <x:v>مرجع سعر المشروع: 10,000 ل.س/كغ.</x:v>
      </x:c>
    </x:row>
    <x:row r="212">
      <x:c r="A212" s="46" t="str">
        <x:v>MATCH_ONLY</x:v>
      </x:c>
      <x:c r="B212" s="46" t="str">
        <x:v>موجود في النظام</x:v>
      </x:c>
      <x:c r="C212" s="46" t="str">
        <x:v>ING-NUT-PISTACHIO</x:v>
      </x:c>
      <x:c r="D212" s="46" t="str">
        <x:v>فستق</x:v>
      </x:c>
      <x:c r="E212" s="46" t="str">
        <x:v>Pistachios</x:v>
      </x:c>
      <x:c r="F212" s="46" t="str">
        <x:v>مكوّن</x:v>
      </x:c>
      <x:c r="G212" s="46" t="str">
        <x:v>كغ</x:v>
      </x:c>
      <x:c r="H212" s="46"/>
      <x:c r="I212" s="46"/>
      <x:c r="J212" s="100" t="n">
        <x:v>75000</x:v>
      </x:c>
      <x:c r="K212" s="46"/>
      <x:c r="L212" s="46" t="str">
        <x:v>نعم</x:v>
      </x:c>
      <x:c r="M212" s="46" t="str">
        <x:v>مرجع سعر المشروع: 75,000 ل.س/كغ.</x:v>
      </x:c>
    </x:row>
    <x:row r="213">
      <x:c r="A213" s="46" t="str">
        <x:v>MATCH_ONLY</x:v>
      </x:c>
      <x:c r="B213" s="46" t="str">
        <x:v>موجود في النظام</x:v>
      </x:c>
      <x:c r="C213" s="46" t="str">
        <x:v>ING-NUT-PEANUT</x:v>
      </x:c>
      <x:c r="D213" s="46" t="str">
        <x:v>فول سوداني</x:v>
      </x:c>
      <x:c r="E213" s="46" t="str">
        <x:v>Peanuts</x:v>
      </x:c>
      <x:c r="F213" s="46" t="str">
        <x:v>مكوّن</x:v>
      </x:c>
      <x:c r="G213" s="46" t="str">
        <x:v>كغ</x:v>
      </x:c>
      <x:c r="H213" s="46"/>
      <x:c r="I213" s="46"/>
      <x:c r="J213" s="100"/>
      <x:c r="K213" s="46"/>
      <x:c r="L213" s="46" t="str">
        <x:v>نعم</x:v>
      </x:c>
      <x:c r="M213" s="46" t="str">
        <x:v>مطابقة فقط؛ لا تغيير على الرصيد الحالي.</x:v>
      </x:c>
    </x:row>
    <x:row r="214">
      <x:c r="A214" s="46" t="str">
        <x:v>MATCH_ONLY</x:v>
      </x:c>
      <x:c r="B214" s="46" t="str">
        <x:v>موجود في النظام</x:v>
      </x:c>
      <x:c r="C214" s="46" t="str">
        <x:v>ING-NUT-MIXED</x:v>
      </x:c>
      <x:c r="D214" s="46" t="str">
        <x:v>مكسرات مشكلة</x:v>
      </x:c>
      <x:c r="E214" s="46" t="str">
        <x:v>Mixed Nuts</x:v>
      </x:c>
      <x:c r="F214" s="46" t="str">
        <x:v>مكوّن</x:v>
      </x:c>
      <x:c r="G214" s="46" t="str">
        <x:v>كغ</x:v>
      </x:c>
      <x:c r="H214" s="46"/>
      <x:c r="I214" s="46"/>
      <x:c r="J214" s="100" t="n">
        <x:v>50000</x:v>
      </x:c>
      <x:c r="K214" s="46"/>
      <x:c r="L214" s="46" t="str">
        <x:v>نعم</x:v>
      </x:c>
      <x:c r="M214" s="46" t="str">
        <x:v>سُجّل المرجع كذرة/مكسرات محمصة: 50,000 ل.س/كغ؛ تحقق من الصنف.</x:v>
      </x:c>
    </x:row>
    <x:row r="215">
      <x:c r="A215" s="46" t="str">
        <x:v>MATCH_ONLY</x:v>
      </x:c>
      <x:c r="B215" s="46" t="str">
        <x:v>موجود في النظام</x:v>
      </x:c>
      <x:c r="C215" s="46" t="str">
        <x:v>ING-SNACK-ROASTEDCORN</x:v>
      </x:c>
      <x:c r="D215" s="46" t="str">
        <x:v>ذرة محمصة</x:v>
      </x:c>
      <x:c r="E215" s="46" t="str">
        <x:v>Roasted Corn Nuts</x:v>
      </x:c>
      <x:c r="F215" s="46" t="str">
        <x:v>مكوّن</x:v>
      </x:c>
      <x:c r="G215" s="46" t="str">
        <x:v>كغ</x:v>
      </x:c>
      <x:c r="H215" s="46"/>
      <x:c r="I215" s="46"/>
      <x:c r="J215" s="100" t="n">
        <x:v>50000</x:v>
      </x:c>
      <x:c r="K215" s="46"/>
      <x:c r="L215" s="46" t="str">
        <x:v>نعم</x:v>
      </x:c>
      <x:c r="M215" s="46" t="str">
        <x:v>سُجّل المرجع كذرة/مكسرات محمصة: 50,000 ل.س/كغ؛ تحقق من الصنف.</x:v>
      </x:c>
    </x:row>
    <x:row r="216">
      <x:c r="A216" s="46" t="str">
        <x:v>MATCH_ONLY</x:v>
      </x:c>
      <x:c r="B216" s="46" t="str">
        <x:v>موجود في النظام</x:v>
      </x:c>
      <x:c r="C216" s="46" t="str">
        <x:v>DRK-SNACK-CHIPS</x:v>
      </x:c>
      <x:c r="D216" s="46" t="str">
        <x:v>شيبس بطاطا</x:v>
      </x:c>
      <x:c r="E216" s="46" t="str">
        <x:v>Potato Chips</x:v>
      </x:c>
      <x:c r="F216" s="46" t="str">
        <x:v>مشروبات ومستلزمات</x:v>
      </x:c>
      <x:c r="G216" s="46" t="str">
        <x:v>عبوة</x:v>
      </x:c>
      <x:c r="H216" s="46"/>
      <x:c r="I216" s="46"/>
      <x:c r="J216" s="100"/>
      <x:c r="K216" s="46"/>
      <x:c r="L216" s="46" t="str">
        <x:v>نعم</x:v>
      </x:c>
      <x:c r="M216" s="46" t="str">
        <x:v>مطابقة فقط؛ لا تغيير على الرصيد الحالي.</x:v>
      </x:c>
    </x:row>
    <x:row r="217">
      <x:c r="A217" s="46" t="str">
        <x:v>MATCH_ONLY</x:v>
      </x:c>
      <x:c r="B217" s="46" t="str">
        <x:v>موجود في النظام</x:v>
      </x:c>
      <x:c r="C217" s="46" t="str">
        <x:v>DRK-SNACK-BISCUIT</x:v>
      </x:c>
      <x:c r="D217" s="46" t="str">
        <x:v>بسكويت</x:v>
      </x:c>
      <x:c r="E217" s="46" t="str">
        <x:v>Biscuits</x:v>
      </x:c>
      <x:c r="F217" s="46" t="str">
        <x:v>مشروبات ومستلزمات</x:v>
      </x:c>
      <x:c r="G217" s="46" t="str">
        <x:v>عبوة</x:v>
      </x:c>
      <x:c r="H217" s="46"/>
      <x:c r="I217" s="46"/>
      <x:c r="J217" s="100"/>
      <x:c r="K217" s="46"/>
      <x:c r="L217" s="46" t="str">
        <x:v>نعم</x:v>
      </x:c>
      <x:c r="M217" s="46" t="str">
        <x:v>مطابقة فقط؛ لا تغيير على الرصيد الحالي.</x:v>
      </x:c>
    </x:row>
    <x:row r="218">
      <x:c r="A218" s="46" t="str">
        <x:v>MATCH_ONLY</x:v>
      </x:c>
      <x:c r="B218" s="46" t="str">
        <x:v>موجود في النظام</x:v>
      </x:c>
      <x:c r="C218" s="46" t="str">
        <x:v>DRK-SNACK-CHOCBAR</x:v>
      </x:c>
      <x:c r="D218" s="46" t="str">
        <x:v>ألواح شوكولا</x:v>
      </x:c>
      <x:c r="E218" s="46" t="str">
        <x:v>Chocolate Bars</x:v>
      </x:c>
      <x:c r="F218" s="46" t="str">
        <x:v>مشروبات ومستلزمات</x:v>
      </x:c>
      <x:c r="G218" s="46" t="str">
        <x:v>قطعة</x:v>
      </x:c>
      <x:c r="H218" s="46"/>
      <x:c r="I218" s="46"/>
      <x:c r="J218" s="100"/>
      <x:c r="K218" s="46"/>
      <x:c r="L218" s="46" t="str">
        <x:v>نعم</x:v>
      </x:c>
      <x:c r="M218" s="46" t="str">
        <x:v>مطابقة فقط؛ لا تغيير على الرصيد الحالي.</x:v>
      </x:c>
    </x:row>
    <x:row r="219">
      <x:c r="A219" s="46" t="str">
        <x:v>MATCH_ONLY</x:v>
      </x:c>
      <x:c r="B219" s="46" t="str">
        <x:v>موجود في النظام</x:v>
      </x:c>
      <x:c r="C219" s="46" t="str">
        <x:v>DRK-SNACK-CANDY</x:v>
      </x:c>
      <x:c r="D219" s="46" t="str">
        <x:v>حلويات صغيرة</x:v>
      </x:c>
      <x:c r="E219" s="46" t="str">
        <x:v>Candy</x:v>
      </x:c>
      <x:c r="F219" s="46" t="str">
        <x:v>مشروبات ومستلزمات</x:v>
      </x:c>
      <x:c r="G219" s="46" t="str">
        <x:v>قطعة</x:v>
      </x:c>
      <x:c r="H219" s="46"/>
      <x:c r="I219" s="46"/>
      <x:c r="J219" s="100"/>
      <x:c r="K219" s="46"/>
      <x:c r="L219" s="46" t="str">
        <x:v>نعم</x:v>
      </x:c>
      <x:c r="M219" s="46" t="str">
        <x:v>مطابقة فقط؛ لا تغيير على الرصيد الحالي.</x:v>
      </x:c>
    </x:row>
    <x:row r="220">
      <x:c r="A220" s="46" t="str">
        <x:v>MATCH_ONLY</x:v>
      </x:c>
      <x:c r="B220" s="46" t="str">
        <x:v>موجود في النظام</x:v>
      </x:c>
      <x:c r="C220" s="46" t="str">
        <x:v>ING-NUT-PINENUT</x:v>
      </x:c>
      <x:c r="D220" s="46" t="str">
        <x:v>صنوبر</x:v>
      </x:c>
      <x:c r="E220" s="46" t="str">
        <x:v>Pine Nuts</x:v>
      </x:c>
      <x:c r="F220" s="46" t="str">
        <x:v>مكوّن</x:v>
      </x:c>
      <x:c r="G220" s="46" t="str">
        <x:v>كغ</x:v>
      </x:c>
      <x:c r="H220" s="46"/>
      <x:c r="I220" s="46"/>
      <x:c r="J220" s="100"/>
      <x:c r="K220" s="46"/>
      <x:c r="L220" s="46" t="str">
        <x:v>نعم</x:v>
      </x:c>
      <x:c r="M220" s="46" t="str">
        <x:v>للجلاب وبعض الأطباق.</x:v>
      </x:c>
    </x:row>
    <x:row r="221">
      <x:c r="A221" s="46" t="str">
        <x:v>MATCH_ONLY</x:v>
      </x:c>
      <x:c r="B221" s="46" t="str">
        <x:v>موجود في النظام</x:v>
      </x:c>
      <x:c r="C221" s="46" t="str">
        <x:v>ING-DRY-RAISIN</x:v>
      </x:c>
      <x:c r="D221" s="46" t="str">
        <x:v>زبيب</x:v>
      </x:c>
      <x:c r="E221" s="46" t="str">
        <x:v>Raisins</x:v>
      </x:c>
      <x:c r="F221" s="46" t="str">
        <x:v>مكوّن</x:v>
      </x:c>
      <x:c r="G221" s="46" t="str">
        <x:v>كغ</x:v>
      </x:c>
      <x:c r="H221" s="46"/>
      <x:c r="I221" s="46"/>
      <x:c r="J221" s="100"/>
      <x:c r="K221" s="46"/>
      <x:c r="L221" s="46" t="str">
        <x:v>نعم</x:v>
      </x:c>
      <x:c r="M221" s="46" t="str">
        <x:v>للجلاب والأرز والأطباق الموسمية.</x:v>
      </x:c>
    </x:row>
    <x:row r="222">
      <x:c r="A222" s="46" t="str">
        <x:v>MATCH_ONLY</x:v>
      </x:c>
      <x:c r="B222" s="46" t="str">
        <x:v>موجود في النظام</x:v>
      </x:c>
      <x:c r="C222" s="46" t="str">
        <x:v>PKG-CUP-HOT-S</x:v>
      </x:c>
      <x:c r="D222" s="46" t="str">
        <x:v>أكواب ساخنة صغيرة</x:v>
      </x:c>
      <x:c r="E222" s="46" t="str">
        <x:v>Small Hot Cups</x:v>
      </x:c>
      <x:c r="F222" s="46" t="str">
        <x:v>تغليف</x:v>
      </x:c>
      <x:c r="G222" s="46" t="str">
        <x:v>عبوة</x:v>
      </x:c>
      <x:c r="H222" s="46"/>
      <x:c r="I222" s="46"/>
      <x:c r="J222" s="100"/>
      <x:c r="K222" s="46"/>
      <x:c r="L222" s="46" t="str">
        <x:v>نعم</x:v>
      </x:c>
      <x:c r="M222" s="46" t="str">
        <x:v>مطابقة فقط؛ لا تغيير على الرصيد الحالي.</x:v>
      </x:c>
    </x:row>
    <x:row r="223">
      <x:c r="A223" s="46" t="str">
        <x:v>MATCH_ONLY</x:v>
      </x:c>
      <x:c r="B223" s="46" t="str">
        <x:v>موجود في النظام</x:v>
      </x:c>
      <x:c r="C223" s="46" t="str">
        <x:v>PKG-CUP-HOT-L</x:v>
      </x:c>
      <x:c r="D223" s="46" t="str">
        <x:v>أكواب ساخنة كبيرة</x:v>
      </x:c>
      <x:c r="E223" s="46" t="str">
        <x:v>Large Hot Cups</x:v>
      </x:c>
      <x:c r="F223" s="46" t="str">
        <x:v>تغليف</x:v>
      </x:c>
      <x:c r="G223" s="46" t="str">
        <x:v>عبوة</x:v>
      </x:c>
      <x:c r="H223" s="46"/>
      <x:c r="I223" s="46"/>
      <x:c r="J223" s="100"/>
      <x:c r="K223" s="46"/>
      <x:c r="L223" s="46" t="str">
        <x:v>نعم</x:v>
      </x:c>
      <x:c r="M223" s="46" t="str">
        <x:v>مطابقة فقط؛ لا تغيير على الرصيد الحالي.</x:v>
      </x:c>
    </x:row>
    <x:row r="224">
      <x:c r="A224" s="46" t="str">
        <x:v>MATCH_ONLY</x:v>
      </x:c>
      <x:c r="B224" s="46" t="str">
        <x:v>موجود في النظام</x:v>
      </x:c>
      <x:c r="C224" s="46" t="str">
        <x:v>PKG-CUP-COLD</x:v>
      </x:c>
      <x:c r="D224" s="46" t="str">
        <x:v>أكواب باردة</x:v>
      </x:c>
      <x:c r="E224" s="46" t="str">
        <x:v>Cold Drink Cups</x:v>
      </x:c>
      <x:c r="F224" s="46" t="str">
        <x:v>تغليف</x:v>
      </x:c>
      <x:c r="G224" s="46" t="str">
        <x:v>عبوة</x:v>
      </x:c>
      <x:c r="H224" s="46"/>
      <x:c r="I224" s="46"/>
      <x:c r="J224" s="100"/>
      <x:c r="K224" s="46"/>
      <x:c r="L224" s="46" t="str">
        <x:v>نعم</x:v>
      </x:c>
      <x:c r="M224" s="46" t="str">
        <x:v>مطابقة فقط؛ لا تغيير على الرصيد الحالي.</x:v>
      </x:c>
    </x:row>
    <x:row r="225">
      <x:c r="A225" s="46" t="str">
        <x:v>MATCH_ONLY</x:v>
      </x:c>
      <x:c r="B225" s="46" t="str">
        <x:v>موجود في النظام</x:v>
      </x:c>
      <x:c r="C225" s="46" t="str">
        <x:v>PKG-LID-HOT</x:v>
      </x:c>
      <x:c r="D225" s="46" t="str">
        <x:v>أغطية أكواب ساخنة</x:v>
      </x:c>
      <x:c r="E225" s="46" t="str">
        <x:v>Hot Cup Lids</x:v>
      </x:c>
      <x:c r="F225" s="46" t="str">
        <x:v>تغليف</x:v>
      </x:c>
      <x:c r="G225" s="46" t="str">
        <x:v>عبوة</x:v>
      </x:c>
      <x:c r="H225" s="46"/>
      <x:c r="I225" s="46"/>
      <x:c r="J225" s="100"/>
      <x:c r="K225" s="46"/>
      <x:c r="L225" s="46" t="str">
        <x:v>نعم</x:v>
      </x:c>
      <x:c r="M225" s="46" t="str">
        <x:v>مطابقة فقط؛ لا تغيير على الرصيد الحالي.</x:v>
      </x:c>
    </x:row>
    <x:row r="226">
      <x:c r="A226" s="46" t="str">
        <x:v>MATCH_ONLY</x:v>
      </x:c>
      <x:c r="B226" s="46" t="str">
        <x:v>موجود في النظام</x:v>
      </x:c>
      <x:c r="C226" s="46" t="str">
        <x:v>PKG-LID-COLD</x:v>
      </x:c>
      <x:c r="D226" s="46" t="str">
        <x:v>أغطية أكواب باردة</x:v>
      </x:c>
      <x:c r="E226" s="46" t="str">
        <x:v>Cold Cup Lids</x:v>
      </x:c>
      <x:c r="F226" s="46" t="str">
        <x:v>تغليف</x:v>
      </x:c>
      <x:c r="G226" s="46" t="str">
        <x:v>عبوة</x:v>
      </x:c>
      <x:c r="H226" s="46"/>
      <x:c r="I226" s="46"/>
      <x:c r="J226" s="100"/>
      <x:c r="K226" s="46"/>
      <x:c r="L226" s="46" t="str">
        <x:v>نعم</x:v>
      </x:c>
      <x:c r="M226" s="46" t="str">
        <x:v>مطابقة فقط؛ لا تغيير على الرصيد الحالي.</x:v>
      </x:c>
    </x:row>
    <x:row r="227">
      <x:c r="A227" s="46" t="str">
        <x:v>MATCH_ONLY</x:v>
      </x:c>
      <x:c r="B227" s="46" t="str">
        <x:v>موجود في النظام</x:v>
      </x:c>
      <x:c r="C227" s="46" t="str">
        <x:v>PKG-STRAW</x:v>
      </x:c>
      <x:c r="D227" s="46" t="str">
        <x:v>شفاطات</x:v>
      </x:c>
      <x:c r="E227" s="46" t="str">
        <x:v>Drinking Straws</x:v>
      </x:c>
      <x:c r="F227" s="46" t="str">
        <x:v>تغليف</x:v>
      </x:c>
      <x:c r="G227" s="46" t="str">
        <x:v>عبوة</x:v>
      </x:c>
      <x:c r="H227" s="46"/>
      <x:c r="I227" s="46"/>
      <x:c r="J227" s="100"/>
      <x:c r="K227" s="46"/>
      <x:c r="L227" s="46" t="str">
        <x:v>نعم</x:v>
      </x:c>
      <x:c r="M227" s="46" t="str">
        <x:v>مطابقة فقط؛ لا تغيير على الرصيد الحالي.</x:v>
      </x:c>
    </x:row>
    <x:row r="228">
      <x:c r="A228" s="46" t="str">
        <x:v>MATCH_ONLY</x:v>
      </x:c>
      <x:c r="B228" s="46" t="str">
        <x:v>موجود في النظام</x:v>
      </x:c>
      <x:c r="C228" s="46" t="str">
        <x:v>PKG-STIRRER</x:v>
      </x:c>
      <x:c r="D228" s="46" t="str">
        <x:v>عيدان تحريك</x:v>
      </x:c>
      <x:c r="E228" s="46" t="str">
        <x:v>Drink Stirrers</x:v>
      </x:c>
      <x:c r="F228" s="46" t="str">
        <x:v>تغليف</x:v>
      </x:c>
      <x:c r="G228" s="46" t="str">
        <x:v>عبوة</x:v>
      </x:c>
      <x:c r="H228" s="46"/>
      <x:c r="I228" s="46"/>
      <x:c r="J228" s="100"/>
      <x:c r="K228" s="46"/>
      <x:c r="L228" s="46" t="str">
        <x:v>نعم</x:v>
      </x:c>
      <x:c r="M228" s="46" t="str">
        <x:v>مطابقة فقط؛ لا تغيير على الرصيد الحالي.</x:v>
      </x:c>
    </x:row>
    <x:row r="229">
      <x:c r="A229" s="46" t="str">
        <x:v>MATCH_ONLY</x:v>
      </x:c>
      <x:c r="B229" s="46" t="str">
        <x:v>موجود في النظام</x:v>
      </x:c>
      <x:c r="C229" s="46" t="str">
        <x:v>PKG-NAPKIN</x:v>
      </x:c>
      <x:c r="D229" s="46" t="str">
        <x:v>مناديل سفرة</x:v>
      </x:c>
      <x:c r="E229" s="46" t="str">
        <x:v>Table Napkins</x:v>
      </x:c>
      <x:c r="F229" s="46" t="str">
        <x:v>تغليف</x:v>
      </x:c>
      <x:c r="G229" s="46" t="str">
        <x:v>عبوة</x:v>
      </x:c>
      <x:c r="H229" s="46"/>
      <x:c r="I229" s="46"/>
      <x:c r="J229" s="100"/>
      <x:c r="K229" s="46"/>
      <x:c r="L229" s="46" t="str">
        <x:v>نعم</x:v>
      </x:c>
      <x:c r="M229" s="46" t="str">
        <x:v>مطابقة فقط؛ لا تغيير على الرصيد الحالي.</x:v>
      </x:c>
    </x:row>
    <x:row r="230">
      <x:c r="A230" s="46" t="str">
        <x:v>MATCH_ONLY</x:v>
      </x:c>
      <x:c r="B230" s="46" t="str">
        <x:v>موجود في النظام</x:v>
      </x:c>
      <x:c r="C230" s="46" t="str">
        <x:v>PKG-SANDWICH-PAPER</x:v>
      </x:c>
      <x:c r="D230" s="46" t="str">
        <x:v>ورق سندويش</x:v>
      </x:c>
      <x:c r="E230" s="46" t="str">
        <x:v>Sandwich Wrapping Paper</x:v>
      </x:c>
      <x:c r="F230" s="46" t="str">
        <x:v>تغليف</x:v>
      </x:c>
      <x:c r="G230" s="46" t="str">
        <x:v>عبوة</x:v>
      </x:c>
      <x:c r="H230" s="46"/>
      <x:c r="I230" s="46"/>
      <x:c r="J230" s="100"/>
      <x:c r="K230" s="46"/>
      <x:c r="L230" s="46" t="str">
        <x:v>نعم</x:v>
      </x:c>
      <x:c r="M230" s="46" t="str">
        <x:v>مطابقة فقط؛ لا تغيير على الرصيد الحالي.</x:v>
      </x:c>
    </x:row>
    <x:row r="231">
      <x:c r="A231" s="46" t="str">
        <x:v>MATCH_ONLY</x:v>
      </x:c>
      <x:c r="B231" s="46" t="str">
        <x:v>موجود في النظام</x:v>
      </x:c>
      <x:c r="C231" s="46" t="str">
        <x:v>PKG-GREASEPAPER</x:v>
      </x:c>
      <x:c r="D231" s="46" t="str">
        <x:v>ورق مقاوم للدهون</x:v>
      </x:c>
      <x:c r="E231" s="46" t="str">
        <x:v>Greaseproof Paper</x:v>
      </x:c>
      <x:c r="F231" s="46" t="str">
        <x:v>تغليف</x:v>
      </x:c>
      <x:c r="G231" s="46" t="str">
        <x:v>عبوة</x:v>
      </x:c>
      <x:c r="H231" s="46"/>
      <x:c r="I231" s="46"/>
      <x:c r="J231" s="100"/>
      <x:c r="K231" s="46"/>
      <x:c r="L231" s="46" t="str">
        <x:v>نعم</x:v>
      </x:c>
      <x:c r="M231" s="46" t="str">
        <x:v>مطابقة فقط؛ لا تغيير على الرصيد الحالي.</x:v>
      </x:c>
    </x:row>
    <x:row r="232">
      <x:c r="A232" s="46" t="str">
        <x:v>MATCH_ONLY</x:v>
      </x:c>
      <x:c r="B232" s="46" t="str">
        <x:v>موجود في النظام</x:v>
      </x:c>
      <x:c r="C232" s="46" t="str">
        <x:v>PKG-FOOD-BOX</x:v>
      </x:c>
      <x:c r="D232" s="46" t="str">
        <x:v>علب طعام سفري</x:v>
      </x:c>
      <x:c r="E232" s="46" t="str">
        <x:v>Takeaway Food Boxes</x:v>
      </x:c>
      <x:c r="F232" s="46" t="str">
        <x:v>تغليف</x:v>
      </x:c>
      <x:c r="G232" s="46" t="str">
        <x:v>عبوة</x:v>
      </x:c>
      <x:c r="H232" s="46"/>
      <x:c r="I232" s="46"/>
      <x:c r="J232" s="100"/>
      <x:c r="K232" s="46"/>
      <x:c r="L232" s="46" t="str">
        <x:v>نعم</x:v>
      </x:c>
      <x:c r="M232" s="46" t="str">
        <x:v>مطابقة فقط؛ لا تغيير على الرصيد الحالي.</x:v>
      </x:c>
    </x:row>
    <x:row r="233">
      <x:c r="A233" s="46" t="str">
        <x:v>MATCH_ONLY</x:v>
      </x:c>
      <x:c r="B233" s="46" t="str">
        <x:v>موجود في النظام</x:v>
      </x:c>
      <x:c r="C233" s="46" t="str">
        <x:v>PKG-PAPER-BAG</x:v>
      </x:c>
      <x:c r="D233" s="46" t="str">
        <x:v>أكياس ورقية</x:v>
      </x:c>
      <x:c r="E233" s="46" t="str">
        <x:v>Paper Bags</x:v>
      </x:c>
      <x:c r="F233" s="46" t="str">
        <x:v>تغليف</x:v>
      </x:c>
      <x:c r="G233" s="46" t="str">
        <x:v>عبوة</x:v>
      </x:c>
      <x:c r="H233" s="46"/>
      <x:c r="I233" s="46"/>
      <x:c r="J233" s="100"/>
      <x:c r="K233" s="46"/>
      <x:c r="L233" s="46" t="str">
        <x:v>نعم</x:v>
      </x:c>
      <x:c r="M233" s="46" t="str">
        <x:v>مطابقة فقط؛ لا تغيير على الرصيد الحالي.</x:v>
      </x:c>
    </x:row>
    <x:row r="234">
      <x:c r="A234" s="46" t="str">
        <x:v>MATCH_ONLY</x:v>
      </x:c>
      <x:c r="B234" s="46" t="str">
        <x:v>موجود في النظام</x:v>
      </x:c>
      <x:c r="C234" s="46" t="str">
        <x:v>PKG-FOIL</x:v>
      </x:c>
      <x:c r="D234" s="46" t="str">
        <x:v>ورق ألمنيوم</x:v>
      </x:c>
      <x:c r="E234" s="46" t="str">
        <x:v>Aluminium Foil</x:v>
      </x:c>
      <x:c r="F234" s="46" t="str">
        <x:v>تغليف</x:v>
      </x:c>
      <x:c r="G234" s="46" t="str">
        <x:v>عبوة</x:v>
      </x:c>
      <x:c r="H234" s="46"/>
      <x:c r="I234" s="46"/>
      <x:c r="J234" s="100"/>
      <x:c r="K234" s="46"/>
      <x:c r="L234" s="46" t="str">
        <x:v>نعم</x:v>
      </x:c>
      <x:c r="M234" s="46" t="str">
        <x:v>مطابقة فقط؛ لا تغيير على الرصيد الحالي.</x:v>
      </x:c>
    </x:row>
    <x:row r="235">
      <x:c r="A235" s="46" t="str">
        <x:v>MATCH_ONLY</x:v>
      </x:c>
      <x:c r="B235" s="46" t="str">
        <x:v>موجود في النظام</x:v>
      </x:c>
      <x:c r="C235" s="46" t="str">
        <x:v>PKG-CLINGFILM</x:v>
      </x:c>
      <x:c r="D235" s="46" t="str">
        <x:v>نايلون تغليف</x:v>
      </x:c>
      <x:c r="E235" s="46" t="str">
        <x:v>Cling Film</x:v>
      </x:c>
      <x:c r="F235" s="46" t="str">
        <x:v>تغليف</x:v>
      </x:c>
      <x:c r="G235" s="46" t="str">
        <x:v>عبوة</x:v>
      </x:c>
      <x:c r="H235" s="46"/>
      <x:c r="I235" s="46"/>
      <x:c r="J235" s="100"/>
      <x:c r="K235" s="46"/>
      <x:c r="L235" s="46" t="str">
        <x:v>نعم</x:v>
      </x:c>
      <x:c r="M235" s="46" t="str">
        <x:v>مطابقة فقط؛ لا تغيير على الرصيد الحالي.</x:v>
      </x:c>
    </x:row>
    <x:row r="236">
      <x:c r="A236" s="46" t="str">
        <x:v>MATCH_ONLY</x:v>
      </x:c>
      <x:c r="B236" s="46" t="str">
        <x:v>موجود في النظام</x:v>
      </x:c>
      <x:c r="C236" s="46" t="str">
        <x:v>PKG-GLOVES</x:v>
      </x:c>
      <x:c r="D236" s="46" t="str">
        <x:v>قفازات استخدام واحد</x:v>
      </x:c>
      <x:c r="E236" s="46" t="str">
        <x:v>Disposable Gloves</x:v>
      </x:c>
      <x:c r="F236" s="46" t="str">
        <x:v>تغليف</x:v>
      </x:c>
      <x:c r="G236" s="46" t="str">
        <x:v>عبوة</x:v>
      </x:c>
      <x:c r="H236" s="46"/>
      <x:c r="I236" s="46"/>
      <x:c r="J236" s="100"/>
      <x:c r="K236" s="46"/>
      <x:c r="L236" s="46" t="str">
        <x:v>نعم</x:v>
      </x:c>
      <x:c r="M236" s="46" t="str">
        <x:v>مطابقة فقط؛ لا تغيير على الرصيد الحالي.</x:v>
      </x:c>
    </x:row>
    <x:row r="237">
      <x:c r="A237" s="46" t="str">
        <x:v>MATCH_ONLY</x:v>
      </x:c>
      <x:c r="B237" s="46" t="str">
        <x:v>موجود في النظام</x:v>
      </x:c>
      <x:c r="C237" s="46" t="str">
        <x:v>PKG-TOOTHPICK</x:v>
      </x:c>
      <x:c r="D237" s="46" t="str">
        <x:v>أعواد أسنان</x:v>
      </x:c>
      <x:c r="E237" s="46" t="str">
        <x:v>Toothpicks</x:v>
      </x:c>
      <x:c r="F237" s="46" t="str">
        <x:v>تغليف</x:v>
      </x:c>
      <x:c r="G237" s="46" t="str">
        <x:v>عبوة</x:v>
      </x:c>
      <x:c r="H237" s="46"/>
      <x:c r="I237" s="46"/>
      <x:c r="J237" s="100"/>
      <x:c r="K237" s="46"/>
      <x:c r="L237" s="46" t="str">
        <x:v>نعم</x:v>
      </x:c>
      <x:c r="M237" s="46" t="str">
        <x:v>مطابقة فقط؛ لا تغيير على الرصيد الحالي.</x:v>
      </x:c>
    </x:row>
    <x:row r="238">
      <x:c r="A238" s="46" t="str">
        <x:v>MATCH_ONLY</x:v>
      </x:c>
      <x:c r="B238" s="46" t="str">
        <x:v>موجود في النظام</x:v>
      </x:c>
      <x:c r="C238" s="46" t="str">
        <x:v>PKG-STICKER</x:v>
      </x:c>
      <x:c r="D238" s="46" t="str">
        <x:v>ملصقات المنتجات</x:v>
      </x:c>
      <x:c r="E238" s="46" t="str">
        <x:v>Product Stickers</x:v>
      </x:c>
      <x:c r="F238" s="46" t="str">
        <x:v>تغليف</x:v>
      </x:c>
      <x:c r="G238" s="46" t="str">
        <x:v>عبوة</x:v>
      </x:c>
      <x:c r="H238" s="46"/>
      <x:c r="I238" s="46"/>
      <x:c r="J238" s="100"/>
      <x:c r="K238" s="46"/>
      <x:c r="L238" s="46" t="str">
        <x:v>نعم</x:v>
      </x:c>
      <x:c r="M238" s="46" t="str">
        <x:v>مطابقة فقط؛ لا تغيير على الرصيد الحالي.</x:v>
      </x:c>
    </x:row>
    <x:row r="239">
      <x:c r="A239" s="46" t="str">
        <x:v>MATCH_ONLY</x:v>
      </x:c>
      <x:c r="B239" s="46" t="str">
        <x:v>موجود في النظام</x:v>
      </x:c>
      <x:c r="C239" s="46" t="str">
        <x:v>EQP-RECEIPT-ROLL</x:v>
      </x:c>
      <x:c r="D239" s="46" t="str">
        <x:v>رول إيصالات</x:v>
      </x:c>
      <x:c r="E239" s="46" t="str">
        <x:v>Receipt Paper Roll</x:v>
      </x:c>
      <x:c r="F239" s="46" t="str">
        <x:v>مستهلكات معدات</x:v>
      </x:c>
      <x:c r="G239" s="46" t="str">
        <x:v>قطعة</x:v>
      </x:c>
      <x:c r="H239" s="46"/>
      <x:c r="I239" s="46"/>
      <x:c r="J239" s="100"/>
      <x:c r="K239" s="46"/>
      <x:c r="L239" s="46" t="str">
        <x:v>نعم</x:v>
      </x:c>
      <x:c r="M239" s="46" t="str">
        <x:v>مطابقة فقط؛ لا تغيير على الرصيد الحالي.</x:v>
      </x:c>
    </x:row>
    <x:row r="240">
      <x:c r="A240" s="46" t="str">
        <x:v>MATCH_ONLY</x:v>
      </x:c>
      <x:c r="B240" s="46" t="str">
        <x:v>موجود في النظام</x:v>
      </x:c>
      <x:c r="C240" s="46" t="str">
        <x:v>CLN-TISSUE-BOX</x:v>
      </x:c>
      <x:c r="D240" s="46" t="str">
        <x:v>محارم</x:v>
      </x:c>
      <x:c r="E240" s="46" t="str">
        <x:v>Tissues</x:v>
      </x:c>
      <x:c r="F240" s="46" t="str">
        <x:v>تنظيف</x:v>
      </x:c>
      <x:c r="G240" s="46" t="str">
        <x:v>صندوق</x:v>
      </x:c>
      <x:c r="H240" s="46"/>
      <x:c r="I240" s="46"/>
      <x:c r="J240" s="100" t="n">
        <x:v>15000</x:v>
      </x:c>
      <x:c r="K240" s="46"/>
      <x:c r="L240" s="46" t="str">
        <x:v>نعم</x:v>
      </x:c>
      <x:c r="M240" s="46" t="str">
        <x:v>مرجع سعر المشروع: 15,000 ل.س/علبة.</x:v>
      </x:c>
    </x:row>
    <x:row r="241">
      <x:c r="A241" s="46" t="str">
        <x:v>MATCH_ONLY</x:v>
      </x:c>
      <x:c r="B241" s="46" t="str">
        <x:v>موجود في النظام</x:v>
      </x:c>
      <x:c r="C241" s="46" t="str">
        <x:v>CLN-DISH-BUFFALO</x:v>
      </x:c>
      <x:c r="D241" s="46" t="str">
        <x:v>سائل جلي بوفالو</x:v>
      </x:c>
      <x:c r="E241" s="46" t="str">
        <x:v>Buffalo Dishwashing Liquid</x:v>
      </x:c>
      <x:c r="F241" s="46" t="str">
        <x:v>تنظيف</x:v>
      </x:c>
      <x:c r="G241" s="46" t="str">
        <x:v>عبوة</x:v>
      </x:c>
      <x:c r="H241" s="46"/>
      <x:c r="I241" s="46"/>
      <x:c r="J241" s="100" t="n">
        <x:v>14000</x:v>
      </x:c>
      <x:c r="K241" s="46"/>
      <x:c r="L241" s="46" t="str">
        <x:v>نعم</x:v>
      </x:c>
      <x:c r="M241" s="46" t="str">
        <x:v>مرجع سعر المشروع: 14,000 ل.س/عبوة.</x:v>
      </x:c>
    </x:row>
    <x:row r="242">
      <x:c r="A242" s="46" t="str">
        <x:v>MATCH_ONLY</x:v>
      </x:c>
      <x:c r="B242" s="46" t="str">
        <x:v>موجود في النظام</x:v>
      </x:c>
      <x:c r="C242" s="46" t="str">
        <x:v>CLN-AIR-BUFFALO</x:v>
      </x:c>
      <x:c r="D242" s="46" t="str">
        <x:v>معطر بوفالو</x:v>
      </x:c>
      <x:c r="E242" s="46" t="str">
        <x:v>Buffalo Air Freshener</x:v>
      </x:c>
      <x:c r="F242" s="46" t="str">
        <x:v>تنظيف</x:v>
      </x:c>
      <x:c r="G242" s="46" t="str">
        <x:v>عبوة</x:v>
      </x:c>
      <x:c r="H242" s="46"/>
      <x:c r="I242" s="46"/>
      <x:c r="J242" s="100" t="n">
        <x:v>15000</x:v>
      </x:c>
      <x:c r="K242" s="46"/>
      <x:c r="L242" s="46" t="str">
        <x:v>نعم</x:v>
      </x:c>
      <x:c r="M242" s="46" t="str">
        <x:v>حجم العبوة غير محدد.</x:v>
      </x:c>
    </x:row>
    <x:row r="243">
      <x:c r="A243" s="46" t="str">
        <x:v>MATCH_ONLY</x:v>
      </x:c>
      <x:c r="B243" s="46" t="str">
        <x:v>موجود في النظام</x:v>
      </x:c>
      <x:c r="C243" s="46" t="str">
        <x:v>CLN-BLEACH-NOURA</x:v>
      </x:c>
      <x:c r="D243" s="46" t="str">
        <x:v>كلور نورة</x:v>
      </x:c>
      <x:c r="E243" s="46" t="str">
        <x:v>Noura Bleach</x:v>
      </x:c>
      <x:c r="F243" s="46" t="str">
        <x:v>تنظيف</x:v>
      </x:c>
      <x:c r="G243" s="46" t="str">
        <x:v>زجاجة</x:v>
      </x:c>
      <x:c r="H243" s="46"/>
      <x:c r="I243" s="46"/>
      <x:c r="J243" s="100" t="n">
        <x:v>2000</x:v>
      </x:c>
      <x:c r="K243" s="46"/>
      <x:c r="L243" s="46" t="str">
        <x:v>نعم</x:v>
      </x:c>
      <x:c r="M243" s="46" t="str">
        <x:v>750 مل + 50% مجاني.</x:v>
      </x:c>
    </x:row>
    <x:row r="244">
      <x:c r="A244" s="46" t="str">
        <x:v>MATCH_ONLY</x:v>
      </x:c>
      <x:c r="B244" s="46" t="str">
        <x:v>موجود في النظام</x:v>
      </x:c>
      <x:c r="C244" s="46" t="str">
        <x:v>CLN-FLOOR</x:v>
      </x:c>
      <x:c r="D244" s="46" t="str">
        <x:v>منظف أرضيات</x:v>
      </x:c>
      <x:c r="E244" s="46" t="str">
        <x:v>Floor Cleaner</x:v>
      </x:c>
      <x:c r="F244" s="46" t="str">
        <x:v>تنظيف</x:v>
      </x:c>
      <x:c r="G244" s="46" t="str">
        <x:v>لتر</x:v>
      </x:c>
      <x:c r="H244" s="46"/>
      <x:c r="I244" s="46"/>
      <x:c r="J244" s="100"/>
      <x:c r="K244" s="46"/>
      <x:c r="L244" s="46" t="str">
        <x:v>نعم</x:v>
      </x:c>
      <x:c r="M244" s="46" t="str">
        <x:v>مطابقة فقط؛ لا تغيير على الرصيد الحالي.</x:v>
      </x:c>
    </x:row>
    <x:row r="245">
      <x:c r="A245" s="46" t="str">
        <x:v>MATCH_ONLY</x:v>
      </x:c>
      <x:c r="B245" s="46" t="str">
        <x:v>موجود في النظام</x:v>
      </x:c>
      <x:c r="C245" s="46" t="str">
        <x:v>CLN-SURFACE-DISINFECT</x:v>
      </x:c>
      <x:c r="D245" s="46" t="str">
        <x:v>معقم أسطح</x:v>
      </x:c>
      <x:c r="E245" s="46" t="str">
        <x:v>Surface Disinfectant</x:v>
      </x:c>
      <x:c r="F245" s="46" t="str">
        <x:v>تنظيف</x:v>
      </x:c>
      <x:c r="G245" s="46" t="str">
        <x:v>لتر</x:v>
      </x:c>
      <x:c r="H245" s="46"/>
      <x:c r="I245" s="46"/>
      <x:c r="J245" s="100"/>
      <x:c r="K245" s="46"/>
      <x:c r="L245" s="46" t="str">
        <x:v>نعم</x:v>
      </x:c>
      <x:c r="M245" s="46" t="str">
        <x:v>مطابقة فقط؛ لا تغيير على الرصيد الحالي.</x:v>
      </x:c>
    </x:row>
    <x:row r="246">
      <x:c r="A246" s="46" t="str">
        <x:v>MATCH_ONLY</x:v>
      </x:c>
      <x:c r="B246" s="46" t="str">
        <x:v>موجود في النظام</x:v>
      </x:c>
      <x:c r="C246" s="46" t="str">
        <x:v>CLN-HANDSOAP</x:v>
      </x:c>
      <x:c r="D246" s="46" t="str">
        <x:v>صابون يدين</x:v>
      </x:c>
      <x:c r="E246" s="46" t="str">
        <x:v>Hand Soap</x:v>
      </x:c>
      <x:c r="F246" s="46" t="str">
        <x:v>تنظيف</x:v>
      </x:c>
      <x:c r="G246" s="46" t="str">
        <x:v>لتر</x:v>
      </x:c>
      <x:c r="H246" s="46"/>
      <x:c r="I246" s="46"/>
      <x:c r="J246" s="100"/>
      <x:c r="K246" s="46"/>
      <x:c r="L246" s="46" t="str">
        <x:v>نعم</x:v>
      </x:c>
      <x:c r="M246" s="46" t="str">
        <x:v>مطابقة فقط؛ لا تغيير على الرصيد الحالي.</x:v>
      </x:c>
    </x:row>
    <x:row r="247">
      <x:c r="A247" s="46" t="str">
        <x:v>MATCH_ONLY</x:v>
      </x:c>
      <x:c r="B247" s="46" t="str">
        <x:v>موجود في النظام</x:v>
      </x:c>
      <x:c r="C247" s="46" t="str">
        <x:v>CLN-KITCHEN-TOWEL</x:v>
      </x:c>
      <x:c r="D247" s="46" t="str">
        <x:v>مناديل مطبخ</x:v>
      </x:c>
      <x:c r="E247" s="46" t="str">
        <x:v>Kitchen Paper Towels</x:v>
      </x:c>
      <x:c r="F247" s="46" t="str">
        <x:v>تنظيف</x:v>
      </x:c>
      <x:c r="G247" s="46" t="str">
        <x:v>عبوة</x:v>
      </x:c>
      <x:c r="H247" s="46"/>
      <x:c r="I247" s="46"/>
      <x:c r="J247" s="100"/>
      <x:c r="K247" s="46"/>
      <x:c r="L247" s="46" t="str">
        <x:v>نعم</x:v>
      </x:c>
      <x:c r="M247" s="46" t="str">
        <x:v>مطابقة فقط؛ لا تغيير على الرصيد الحالي.</x:v>
      </x:c>
    </x:row>
    <x:row r="248">
      <x:c r="A248" s="46" t="str">
        <x:v>MATCH_ONLY</x:v>
      </x:c>
      <x:c r="B248" s="46" t="str">
        <x:v>موجود في النظام</x:v>
      </x:c>
      <x:c r="C248" s="46" t="str">
        <x:v>CLN-SPONGE</x:v>
      </x:c>
      <x:c r="D248" s="46" t="str">
        <x:v>إسفنج جلي</x:v>
      </x:c>
      <x:c r="E248" s="46" t="str">
        <x:v>Dish Sponge</x:v>
      </x:c>
      <x:c r="F248" s="46" t="str">
        <x:v>تنظيف</x:v>
      </x:c>
      <x:c r="G248" s="46" t="str">
        <x:v>قطعة</x:v>
      </x:c>
      <x:c r="H248" s="46"/>
      <x:c r="I248" s="46"/>
      <x:c r="J248" s="100"/>
      <x:c r="K248" s="46"/>
      <x:c r="L248" s="46" t="str">
        <x:v>نعم</x:v>
      </x:c>
      <x:c r="M248" s="46" t="str">
        <x:v>مطابقة فقط؛ لا تغيير على الرصيد الحالي.</x:v>
      </x:c>
    </x:row>
    <x:row r="249">
      <x:c r="A249" s="46" t="str">
        <x:v>MATCH_ONLY</x:v>
      </x:c>
      <x:c r="B249" s="46" t="str">
        <x:v>موجود في النظام</x:v>
      </x:c>
      <x:c r="C249" s="46" t="str">
        <x:v>CLN-GARBAGE-BAG</x:v>
      </x:c>
      <x:c r="D249" s="46" t="str">
        <x:v>أكياس قمامة</x:v>
      </x:c>
      <x:c r="E249" s="46" t="str">
        <x:v>Garbage Bags</x:v>
      </x:c>
      <x:c r="F249" s="46" t="str">
        <x:v>تنظيف</x:v>
      </x:c>
      <x:c r="G249" s="46" t="str">
        <x:v>عبوة</x:v>
      </x:c>
      <x:c r="H249" s="46"/>
      <x:c r="I249" s="46"/>
      <x:c r="J249" s="100"/>
      <x:c r="K249" s="46"/>
      <x:c r="L249" s="46" t="str">
        <x:v>نعم</x:v>
      </x:c>
      <x:c r="M249" s="46" t="str">
        <x:v>مطابقة فقط؛ لا تغيير على الرصيد الحالي.</x:v>
      </x:c>
    </x:row>
    <x:row r="250">
      <x:c r="A250" s="46" t="str">
        <x:v>MATCH_ONLY</x:v>
      </x:c>
      <x:c r="B250" s="46" t="str">
        <x:v>موجود في النظام</x:v>
      </x:c>
      <x:c r="C250" s="46" t="str">
        <x:v>EQP-COFFEE-FILTER</x:v>
      </x:c>
      <x:c r="D250" s="46" t="str">
        <x:v>فلاتر قهوة ورقية</x:v>
      </x:c>
      <x:c r="E250" s="46" t="str">
        <x:v>Paper Coffee Filters</x:v>
      </x:c>
      <x:c r="F250" s="46" t="str">
        <x:v>مستهلكات معدات</x:v>
      </x:c>
      <x:c r="G250" s="46" t="str">
        <x:v>عبوة</x:v>
      </x:c>
      <x:c r="H250" s="46"/>
      <x:c r="I250" s="46"/>
      <x:c r="J250" s="100"/>
      <x:c r="K250" s="46"/>
      <x:c r="L250" s="46" t="str">
        <x:v>نعم</x:v>
      </x:c>
      <x:c r="M250" s="46" t="str">
        <x:v>مطابقة فقط؛ لا تغيير على الرصيد الحالي.</x:v>
      </x:c>
    </x:row>
    <x:row r="251">
      <x:c r="A251" s="46" t="str">
        <x:v>MATCH_ONLY</x:v>
      </x:c>
      <x:c r="B251" s="46" t="str">
        <x:v>موجود في النظام</x:v>
      </x:c>
      <x:c r="C251" s="46" t="str">
        <x:v>EQP-CHARCOAL</x:v>
      </x:c>
      <x:c r="D251" s="46" t="str">
        <x:v>فحم للشواية</x:v>
      </x:c>
      <x:c r="E251" s="46" t="str">
        <x:v>Grill Charcoal</x:v>
      </x:c>
      <x:c r="F251" s="46" t="str">
        <x:v>مستهلكات معدات</x:v>
      </x:c>
      <x:c r="G251" s="46" t="str">
        <x:v>كغ</x:v>
      </x:c>
      <x:c r="H251" s="46"/>
      <x:c r="I251" s="46"/>
      <x:c r="J251" s="100"/>
      <x:c r="K251" s="46"/>
      <x:c r="L251" s="46" t="str">
        <x:v>نعم</x:v>
      </x:c>
      <x:c r="M251" s="46" t="str">
        <x:v>لبرميل الشوي والفعاليات.</x:v>
      </x:c>
    </x:row>
    <x:row r="252">
      <x:c r="A252" s="46" t="str">
        <x:v>MATCH_ONLY</x:v>
      </x:c>
      <x:c r="B252" s="46" t="str">
        <x:v>موجود في النظام</x:v>
      </x:c>
      <x:c r="C252" s="46" t="str">
        <x:v>EQP-GAS-REFILL</x:v>
      </x:c>
      <x:c r="D252" s="46" t="str">
        <x:v>غاز طبخ / تعبئة أسطوانة</x:v>
      </x:c>
      <x:c r="E252" s="46" t="str">
        <x:v>Cooking Gas Refill</x:v>
      </x:c>
      <x:c r="F252" s="46" t="str">
        <x:v>مستهلكات معدات</x:v>
      </x:c>
      <x:c r="G252" s="46" t="str">
        <x:v>عبوة</x:v>
      </x:c>
      <x:c r="H252" s="46"/>
      <x:c r="I252" s="46"/>
      <x:c r="J252" s="100"/>
      <x:c r="K252" s="46"/>
      <x:c r="L252" s="46" t="str">
        <x:v>نعم</x:v>
      </x:c>
      <x:c r="M252" s="46" t="str">
        <x:v>مطابقة فقط؛ لا تغيير على الرصيد الحالي.</x:v>
      </x:c>
    </x:row>
    <x:row r="253">
      <x:c r="A253" s="46" t="str">
        <x:v>MATCH_ONLY</x:v>
      </x:c>
      <x:c r="B253" s="46" t="str">
        <x:v>موجود في النظام</x:v>
      </x:c>
      <x:c r="C253" s="46" t="str">
        <x:v>EQP-WATER-FILTER</x:v>
      </x:c>
      <x:c r="D253" s="46" t="str">
        <x:v>خرطوشة فلتر مياه</x:v>
      </x:c>
      <x:c r="E253" s="46" t="str">
        <x:v>Water Filter Cartridge</x:v>
      </x:c>
      <x:c r="F253" s="46" t="str">
        <x:v>مستهلكات معدات</x:v>
      </x:c>
      <x:c r="G253" s="46" t="str">
        <x:v>قطعة</x:v>
      </x:c>
      <x:c r="H253" s="46"/>
      <x:c r="I253" s="46"/>
      <x:c r="J253" s="100"/>
      <x:c r="K253" s="46"/>
      <x:c r="L253" s="46" t="str">
        <x:v>نعم</x:v>
      </x:c>
      <x:c r="M253" s="46" t="str">
        <x:v>مطابقة فقط؛ لا تغيير على الرصيد الحالي.</x:v>
      </x:c>
    </x:row>
    <x:row r="254">
      <x:c r="A254" s="46" t="str">
        <x:v>CREATE_INACTIVE</x:v>
      </x:c>
      <x:c r="B254" s="46" t="str">
        <x:v>بحاجة مراجعة</x:v>
      </x:c>
      <x:c r="C254" s="46" t="str">
        <x:v>ING-CHEESE-QASHQAWAN</x:v>
      </x:c>
      <x:c r="D254" s="46" t="str">
        <x:v>جبنة قشقوان</x:v>
      </x:c>
      <x:c r="E254" s="46" t="str">
        <x:v>Qashqawan Cheese</x:v>
      </x:c>
      <x:c r="F254" s="46" t="str">
        <x:v>مكوّن</x:v>
      </x:c>
      <x:c r="G254" s="46" t="str">
        <x:v>كغ</x:v>
      </x:c>
      <x:c r="H254" s="46" t="n">
        <x:v>0</x:v>
      </x:c>
      <x:c r="I254" s="46"/>
      <x:c r="J254" s="100"/>
      <x:c r="K254" s="46"/>
      <x:c r="L254" s="46" t="str">
        <x:v>لا</x:v>
      </x:c>
      <x:c r="M254" s="46" t="str">
        <x:v>مطلوبة لسندويش قشقوان محمصة.</x:v>
      </x:c>
    </x:row>
    <x:row r="255">
      <x:c r="A255" s="46" t="str">
        <x:v>CREATE_INACTIVE</x:v>
      </x:c>
      <x:c r="B255" s="46" t="str">
        <x:v>بحاجة مراجعة</x:v>
      </x:c>
      <x:c r="C255" s="46" t="str">
        <x:v>ING-CHEESE-SHALAL</x:v>
      </x:c>
      <x:c r="D255" s="46" t="str">
        <x:v>جبنة شلل / مشللة</x:v>
      </x:c>
      <x:c r="E255" s="46" t="str">
        <x:v>Shalal Cheese</x:v>
      </x:c>
      <x:c r="F255" s="46" t="str">
        <x:v>مكوّن</x:v>
      </x:c>
      <x:c r="G255" s="46" t="str">
        <x:v>كغ</x:v>
      </x:c>
      <x:c r="H255" s="46" t="n">
        <x:v>0</x:v>
      </x:c>
      <x:c r="I255" s="46"/>
      <x:c r="J255" s="100"/>
      <x:c r="K255" s="46"/>
      <x:c r="L255" s="46" t="str">
        <x:v>لا</x:v>
      </x:c>
      <x:c r="M255" s="46" t="str">
        <x:v>اعتماد الاسم المحلي النهائي مع الفريق.</x:v>
      </x:c>
    </x:row>
    <x:row r="256">
      <x:c r="A256" s="46" t="str">
        <x:v>CREATE_INACTIVE</x:v>
      </x:c>
      <x:c r="B256" s="46" t="str">
        <x:v>بحاجة مراجعة</x:v>
      </x:c>
      <x:c r="C256" s="46" t="str">
        <x:v>ING-MEAT-MORTADELLA</x:v>
      </x:c>
      <x:c r="D256" s="46" t="str">
        <x:v>مرتديلا</x:v>
      </x:c>
      <x:c r="E256" s="46" t="str">
        <x:v>Mortadella</x:v>
      </x:c>
      <x:c r="F256" s="46" t="str">
        <x:v>مكوّن</x:v>
      </x:c>
      <x:c r="G256" s="46" t="str">
        <x:v>كغ</x:v>
      </x:c>
      <x:c r="H256" s="46" t="n">
        <x:v>0</x:v>
      </x:c>
      <x:c r="I256" s="46"/>
      <x:c r="J256" s="100"/>
      <x:c r="K256" s="46"/>
      <x:c r="L256" s="46" t="str">
        <x:v>لا</x:v>
      </x:c>
      <x:c r="M256" s="46" t="str">
        <x:v>للسندويشات.</x:v>
      </x:c>
    </x:row>
    <x:row r="257">
      <x:c r="A257" s="46" t="str">
        <x:v>CREATE_INACTIVE</x:v>
      </x:c>
      <x:c r="B257" s="46" t="str">
        <x:v>بحاجة مراجعة</x:v>
      </x:c>
      <x:c r="C257" s="46" t="str">
        <x:v>ING-MEAT-TURKEY-SMOKED</x:v>
      </x:c>
      <x:c r="D257" s="46" t="str">
        <x:v>حبش مدخن</x:v>
      </x:c>
      <x:c r="E257" s="46" t="str">
        <x:v>Smoked Turkey</x:v>
      </x:c>
      <x:c r="F257" s="46" t="str">
        <x:v>مكوّن</x:v>
      </x:c>
      <x:c r="G257" s="46" t="str">
        <x:v>كغ</x:v>
      </x:c>
      <x:c r="H257" s="46" t="n">
        <x:v>0</x:v>
      </x:c>
      <x:c r="I257" s="46"/>
      <x:c r="J257" s="100"/>
      <x:c r="K257" s="46"/>
      <x:c r="L257" s="46" t="str">
        <x:v>لا</x:v>
      </x:c>
      <x:c r="M257" s="46" t="str">
        <x:v>للسندويشات.</x:v>
      </x:c>
    </x:row>
    <x:row r="258">
      <x:c r="A258" s="46" t="str">
        <x:v>CREATE_INACTIVE</x:v>
      </x:c>
      <x:c r="B258" s="46" t="str">
        <x:v>بحاجة مراجعة</x:v>
      </x:c>
      <x:c r="C258" s="46" t="str">
        <x:v>ING-CAN-TUNA-DRAINED</x:v>
      </x:c>
      <x:c r="D258" s="46" t="str">
        <x:v>تونة معلبة مصفاة</x:v>
      </x:c>
      <x:c r="E258" s="46" t="str">
        <x:v>Drained Canned Tuna</x:v>
      </x:c>
      <x:c r="F258" s="46" t="str">
        <x:v>مكوّن</x:v>
      </x:c>
      <x:c r="G258" s="46" t="str">
        <x:v>كغ</x:v>
      </x:c>
      <x:c r="H258" s="46" t="n">
        <x:v>0</x:v>
      </x:c>
      <x:c r="I258" s="46"/>
      <x:c r="J258" s="100"/>
      <x:c r="K258" s="46"/>
      <x:c r="L258" s="46" t="str">
        <x:v>لا</x:v>
      </x:c>
      <x:c r="M258" s="46" t="str">
        <x:v>الخصم بالوزن بعد التصفية.</x:v>
      </x:c>
    </x:row>
    <x:row r="259">
      <x:c r="A259" s="46" t="str">
        <x:v>CREATE_INACTIVE</x:v>
      </x:c>
      <x:c r="B259" s="46" t="str">
        <x:v>بحاجة مراجعة</x:v>
      </x:c>
      <x:c r="C259" s="46" t="str">
        <x:v>ING-PREP-GARLIC-SAUCE</x:v>
      </x:c>
      <x:c r="D259" s="46" t="str">
        <x:v>ثومية / صوص ثوم</x:v>
      </x:c>
      <x:c r="E259" s="46" t="str">
        <x:v>Garlic Sauce</x:v>
      </x:c>
      <x:c r="F259" s="46" t="str">
        <x:v>مكوّن</x:v>
      </x:c>
      <x:c r="G259" s="46" t="str">
        <x:v>كغ</x:v>
      </x:c>
      <x:c r="H259" s="46" t="n">
        <x:v>0</x:v>
      </x:c>
      <x:c r="I259" s="46"/>
      <x:c r="J259" s="100"/>
      <x:c r="K259" s="46"/>
      <x:c r="L259" s="46" t="str">
        <x:v>لا</x:v>
      </x:c>
      <x:c r="M259" s="46" t="str">
        <x:v>يمكن لاحقاً إنتاجها كدفعة تحضير.</x:v>
      </x:c>
    </x:row>
    <x:row r="260">
      <x:c r="A260" s="46" t="str">
        <x:v>CREATE_INACTIVE</x:v>
      </x:c>
      <x:c r="B260" s="46" t="str">
        <x:v>بحاجة مراجعة</x:v>
      </x:c>
      <x:c r="C260" s="46" t="str">
        <x:v>ING-SAUCE-MAYO-WEIGHT</x:v>
      </x:c>
      <x:c r="D260" s="46" t="str">
        <x:v>مايونيز بالوزن</x:v>
      </x:c>
      <x:c r="E260" s="46" t="str">
        <x:v>Mayonnaise by Weight</x:v>
      </x:c>
      <x:c r="F260" s="46" t="str">
        <x:v>مكوّن</x:v>
      </x:c>
      <x:c r="G260" s="46" t="str">
        <x:v>كغ</x:v>
      </x:c>
      <x:c r="H260" s="46" t="n">
        <x:v>0</x:v>
      </x:c>
      <x:c r="I260" s="46"/>
      <x:c r="J260" s="100"/>
      <x:c r="K260" s="46"/>
      <x:c r="L260" s="46" t="str">
        <x:v>لا</x:v>
      </x:c>
      <x:c r="M260" s="46" t="str">
        <x:v>بديل دقيق عن عبوة المايونيز.</x:v>
      </x:c>
    </x:row>
    <x:row r="261">
      <x:c r="A261" s="46" t="str">
        <x:v>CREATE_INACTIVE</x:v>
      </x:c>
      <x:c r="B261" s="46" t="str">
        <x:v>بحاجة مراجعة</x:v>
      </x:c>
      <x:c r="C261" s="46" t="str">
        <x:v>ING-PICKLE-MIXED-WEIGHT</x:v>
      </x:c>
      <x:c r="D261" s="46" t="str">
        <x:v>مخلل مشكل بالوزن</x:v>
      </x:c>
      <x:c r="E261" s="46" t="str">
        <x:v>Mixed Pickles by Weight</x:v>
      </x:c>
      <x:c r="F261" s="46" t="str">
        <x:v>مكوّن</x:v>
      </x:c>
      <x:c r="G261" s="46" t="str">
        <x:v>كغ</x:v>
      </x:c>
      <x:c r="H261" s="46" t="n">
        <x:v>0</x:v>
      </x:c>
      <x:c r="I261" s="46"/>
      <x:c r="J261" s="100"/>
      <x:c r="K261" s="46"/>
      <x:c r="L261" s="46" t="str">
        <x:v>لا</x:v>
      </x:c>
      <x:c r="M261" s="46" t="str">
        <x:v>بديل دقيق عن عبوة المخلل.</x:v>
      </x:c>
    </x:row>
    <x:row r="262">
      <x:c r="A262" s="46" t="str">
        <x:v>CREATE_INACTIVE</x:v>
      </x:c>
      <x:c r="B262" s="46" t="str">
        <x:v>بحاجة مراجعة</x:v>
      </x:c>
      <x:c r="C262" s="46" t="str">
        <x:v>ING-TOPPING-CRISPY-ONION</x:v>
      </x:c>
      <x:c r="D262" s="46" t="str">
        <x:v>بصل مقرمش</x:v>
      </x:c>
      <x:c r="E262" s="46" t="str">
        <x:v>Crispy Onion</x:v>
      </x:c>
      <x:c r="F262" s="46" t="str">
        <x:v>مكوّن</x:v>
      </x:c>
      <x:c r="G262" s="46" t="str">
        <x:v>كغ</x:v>
      </x:c>
      <x:c r="H262" s="46" t="n">
        <x:v>0</x:v>
      </x:c>
      <x:c r="I262" s="46"/>
      <x:c r="J262" s="100"/>
      <x:c r="K262" s="46"/>
      <x:c r="L262" s="46" t="str">
        <x:v>لا</x:v>
      </x:c>
      <x:c r="M262" s="46" t="str">
        <x:v>للبرميل الأسود والإضافات.</x:v>
      </x:c>
    </x:row>
    <x:row r="263">
      <x:c r="A263" s="46" t="str">
        <x:v>CREATE_INACTIVE</x:v>
      </x:c>
      <x:c r="B263" s="46" t="str">
        <x:v>بحاجة مراجعة</x:v>
      </x:c>
      <x:c r="C263" s="46" t="str">
        <x:v>ING-CHEESE-BURGER-SLICE</x:v>
      </x:c>
      <x:c r="D263" s="46" t="str">
        <x:v>شريحة جبنة برغر</x:v>
      </x:c>
      <x:c r="E263" s="46" t="str">
        <x:v>Burger Cheese Slice</x:v>
      </x:c>
      <x:c r="F263" s="46" t="str">
        <x:v>مكوّن</x:v>
      </x:c>
      <x:c r="G263" s="46" t="str">
        <x:v>قطعة</x:v>
      </x:c>
      <x:c r="H263" s="46" t="n">
        <x:v>0</x:v>
      </x:c>
      <x:c r="I263" s="46"/>
      <x:c r="J263" s="100"/>
      <x:c r="K263" s="46"/>
      <x:c r="L263" s="46" t="str">
        <x:v>لا</x:v>
      </x:c>
      <x:c r="M263" s="46" t="str">
        <x:v>بديل دقيق عن عبوة جبنة البرغر.</x:v>
      </x:c>
    </x:row>
    <x:row r="264">
      <x:c r="A264" s="47" t="str">
        <x:v>CREATE_INACTIVE</x:v>
      </x:c>
      <x:c r="B264" s="47" t="str">
        <x:v>بحاجة مراجعة</x:v>
      </x:c>
      <x:c r="C264" s="47" t="str">
        <x:v>ING-SYRUP-SIMPLE</x:v>
      </x:c>
      <x:c r="D264" s="47" t="str">
        <x:v>سيروب سكر بسيط</x:v>
      </x:c>
      <x:c r="E264" s="47" t="str">
        <x:v>Simple Syrup</x:v>
      </x:c>
      <x:c r="F264" s="47" t="str">
        <x:v>مشروبات ومستلزمات</x:v>
      </x:c>
      <x:c r="G264" s="47" t="str">
        <x:v>لتر</x:v>
      </x:c>
      <x:c r="H264" s="47" t="n">
        <x:v>0</x:v>
      </x:c>
      <x:c r="I264" s="47"/>
      <x:c r="J264" s="101"/>
      <x:c r="K264" s="47"/>
      <x:c r="L264" s="47" t="str">
        <x:v>لا</x:v>
      </x:c>
      <x:c r="M264" s="47" t="str">
        <x:v>للشاي المثلج والكوكتيلات.</x:v>
      </x:c>
    </x:row>
  </x:sheetData>
  <x:conditionalFormatting sqref="A2:A264">
    <x:cfRule type="expression" dxfId="4" priority="1">
      <x:formula>A2="CREATE_INACTIVE"</x:formula>
    </x:cfRule>
    <x:cfRule type="expression" dxfId="5" priority="2">
      <x:formula>A2="MATCH_ONLY"</x:formula>
    </x:cfRule>
  </x:conditionalFormatting>
  <x:dataValidations count="5">
    <x:dataValidation type="list" sqref="A2:A264">
      <x:formula1>"MATCH_ONLY,CREATE_INACTIVE,SKIP"</x:formula1>
    </x:dataValidation>
    <x:dataValidation type="list" sqref="B2:B264">
      <x:formula1>"موجود في النظام,بحاجة مراجعة,مراجع"</x:formula1>
    </x:dataValidation>
    <x:dataValidation type="list" sqref="F2:F264">
      <x:formula1>"مكوّن,مشروبات ومستلزمات,تغليف,تنظيف,مستهلكات معدات,أخرى"</x:formula1>
    </x:dataValidation>
    <x:dataValidation type="list" sqref="G2:G264">
      <x:formula1>"كغ,غ,لتر,مل,قطعة,عبوة,زجاجة,صندوق,حصة,أخرى"</x:formula1>
    </x:dataValidation>
    <x:dataValidation type="list" sqref="L2:L264">
      <x:formula1>"نعم,لا"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21f1178e2b44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7" hidden="0" customWidth="1"/>
    <x:col min="4" max="4" width="24" hidden="0" customWidth="1"/>
    <x:col min="5" max="5" width="28" hidden="0" customWidth="1"/>
    <x:col min="6" max="6" width="26" hidden="0" customWidth="1"/>
    <x:col min="7" max="7" width="14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8" hidden="0" customWidth="1"/>
    <x:col min="13" max="13" width="18" hidden="0" customWidth="1"/>
    <x:col min="14" max="14" width="16" hidden="0" customWidth="1"/>
    <x:col min="15" max="15" width="42" hidden="0" customWidth="1"/>
    <x:col min="16" max="16" width="18" hidden="0" customWidth="1"/>
  </x:cols>
  <x:sheetData>
    <x:row r="1" ht="36" customHeight="1">
      <x:c r="A1" s="81" t="str">
        <x:v>إجراء الاستيراد</x:v>
      </x:c>
      <x:c r="B1" s="82" t="str">
        <x:v>حالة المراجعة</x:v>
      </x:c>
      <x:c r="C1" s="82" t="str">
        <x:v>مفتاح المنتج</x:v>
      </x:c>
      <x:c r="D1" s="82" t="str">
        <x:v>اسم المنتج</x:v>
      </x:c>
      <x:c r="E1" s="82" t="str">
        <x:v>كود مادة المخزون</x:v>
      </x:c>
      <x:c r="F1" s="82" t="str">
        <x:v>مادة المخزون</x:v>
      </x:c>
      <x:c r="G1" s="82" t="str">
        <x:v>الكمية المدخلة</x:v>
      </x:c>
      <x:c r="H1" s="82" t="str">
        <x:v>وحدة الإدخال</x:v>
      </x:c>
      <x:c r="I1" s="82" t="str">
        <x:v>وحدة المخزون</x:v>
      </x:c>
      <x:c r="J1" s="82" t="str">
        <x:v>الكمية الموحّدة</x:v>
      </x:c>
      <x:c r="K1" s="82" t="str">
        <x:v>نسبة الهدر %</x:v>
      </x:c>
      <x:c r="L1" s="82" t="str">
        <x:v>نشط</x:v>
      </x:c>
      <x:c r="M1" s="82" t="str">
        <x:v>كلفة وحدة المخزون</x:v>
      </x:c>
      <x:c r="N1" s="82" t="str">
        <x:v>كلفة السطر</x:v>
      </x:c>
      <x:c r="O1" s="82" t="str">
        <x:v>ملاحظات</x:v>
      </x:c>
      <x:c r="P1" s="83" t="str">
        <x:v>التحقق</x:v>
      </x:c>
    </x:row>
    <x:row r="2">
      <x:c r="A2" s="46" t="str">
        <x:v>UPSERT_INACTIVE</x:v>
      </x:c>
      <x:c r="B2" s="46" t="str">
        <x:v>بحاجة مراجعة</x:v>
      </x:c>
      <x:c r="C2" s="46" t="str">
        <x:v>regular_tea</x:v>
      </x:c>
      <x:c r="D2" s="46" t="str">
        <x:f>IFERROR(VLOOKUP(C2,'المنتجات'!$C$2:$D$500,2,FALSE),"")</x:f>
        <x:v>شاي عادي</x:v>
      </x:c>
      <x:c r="E2" s="46" t="str">
        <x:v>DRK-TEA-AHMAD-BAG</x:v>
      </x:c>
      <x:c r="F2" s="46" t="str">
        <x:f>IFERROR(VLOOKUP(E2,'مواد المخزون'!$C$2:$J$500,2,FALSE),"")</x:f>
        <x:v>شاي أحمد عادي – ظرف</x:v>
      </x:c>
      <x:c r="G2" s="104" t="n">
        <x:v>1</x:v>
      </x:c>
      <x:c r="H2" s="46" t="str">
        <x:v>حصة</x:v>
      </x:c>
      <x:c r="I2" s="46" t="str">
        <x:f>IFERROR(VLOOKUP(E2,'مواد المخزون'!$C$2:$J$500,5,FALSE),"")</x:f>
        <x:v>حصة</x:v>
      </x:c>
      <x:c r="J2" s="104" t="n">
        <x:f>IF(OR(G2="",H2="",I2=""),"",IF(H2=I2,G2,IF(AND(H2="غ",I2="كغ"),G2/1000,IF(AND(H2="كغ",I2="غ"),G2*1000,IF(AND(H2="مل",I2="لتر"),G2/1000,IF(AND(H2="لتر",I2="مل"),G2*1000,""))))))</x:f>
        <x:v>1</x:v>
      </x:c>
      <x:c r="K2" s="108" t="n">
        <x:v>0</x:v>
      </x:c>
      <x:c r="L2" s="46" t="str">
        <x:v>لا</x:v>
      </x:c>
      <x:c r="M2" s="100" t="n">
        <x:f>IFERROR(VLOOKUP(E2,'مواد المخزون'!$C$2:$J$500,8,FALSE),"")</x:f>
        <x:v>420</x:v>
      </x:c>
      <x:c r="N2" s="100" t="n">
        <x:f>IF(OR(J2="",M2=""),"",J2*M2*(1+K2/100))</x:f>
        <x:v>420</x:v>
      </x:c>
      <x:c r="O2" s="46" t="str">
        <x:v>لا يشمل السكر لأنه خيار متغيّر.</x:v>
      </x:c>
      <x:c r="P2" s="46" t="str">
        <x:f>IF(A2="SKIP","متجاوز",IF(C2="","مفتاح منتج ناقص",IF(D2="","منتج غير موجود",IF(E2="","كود مخزون ناقص",IF(F2="","مادة غير موجودة",IF(J2="","خطأ وحدة",IF(G2&lt;=0,"كمية غير صالحة","صالح")))))))</x:f>
        <x:v>صالح</x:v>
      </x:c>
    </x:row>
    <x:row r="3">
      <x:c r="A3" s="46" t="str">
        <x:v>UPSERT_INACTIVE</x:v>
      </x:c>
      <x:c r="B3" s="46" t="str">
        <x:v>بحاجة مراجعة</x:v>
      </x:c>
      <x:c r="C3" s="46" t="str">
        <x:v>mint_tea</x:v>
      </x:c>
      <x:c r="D3" s="46" t="str">
        <x:f>IFERROR(VLOOKUP(C3,'المنتجات'!$C$2:$D$500,2,FALSE),"")</x:f>
        <x:v>شاي مع نعنع</x:v>
      </x:c>
      <x:c r="E3" s="46" t="str">
        <x:v>DRK-TEA-AHMAD-BAG</x:v>
      </x:c>
      <x:c r="F3" s="46" t="str">
        <x:f>IFERROR(VLOOKUP(E3,'مواد المخزون'!$C$2:$J$500,2,FALSE),"")</x:f>
        <x:v>شاي أحمد عادي – ظرف</x:v>
      </x:c>
      <x:c r="G3" s="104" t="n">
        <x:v>1</x:v>
      </x:c>
      <x:c r="H3" s="46" t="str">
        <x:v>حصة</x:v>
      </x:c>
      <x:c r="I3" s="46" t="str">
        <x:f>IFERROR(VLOOKUP(E3,'مواد المخزون'!$C$2:$J$500,5,FALSE),"")</x:f>
        <x:v>حصة</x:v>
      </x:c>
      <x:c r="J3" s="104" t="n">
        <x:f>IF(OR(G3="",H3="",I3=""),"",IF(H3=I3,G3,IF(AND(H3="غ",I3="كغ"),G3/1000,IF(AND(H3="كغ",I3="غ"),G3*1000,IF(AND(H3="مل",I3="لتر"),G3/1000,IF(AND(H3="لتر",I3="مل"),G3*1000,""))))))</x:f>
        <x:v>1</x:v>
      </x:c>
      <x:c r="K3" s="108" t="n">
        <x:v>0</x:v>
      </x:c>
      <x:c r="L3" s="46" t="str">
        <x:v>لا</x:v>
      </x:c>
      <x:c r="M3" s="100" t="n">
        <x:f>IFERROR(VLOOKUP(E3,'مواد المخزون'!$C$2:$J$500,8,FALSE),"")</x:f>
        <x:v>420</x:v>
      </x:c>
      <x:c r="N3" s="100" t="n">
        <x:f>IF(OR(J3="",M3=""),"",J3*M3*(1+K3/100))</x:f>
        <x:v>420</x:v>
      </x:c>
      <x:c r="O3" s="46" t="str"/>
      <x:c r="P3" s="46" t="str">
        <x:f>IF(A3="SKIP","متجاوز",IF(C3="","مفتاح منتج ناقص",IF(D3="","منتج غير موجود",IF(E3="","كود مخزون ناقص",IF(F3="","مادة غير موجودة",IF(J3="","خطأ وحدة",IF(G3&lt;=0,"كمية غير صالحة","صالح")))))))</x:f>
        <x:v>صالح</x:v>
      </x:c>
    </x:row>
    <x:row r="4">
      <x:c r="A4" s="46" t="str">
        <x:v>UPSERT_INACTIVE</x:v>
      </x:c>
      <x:c r="B4" s="46" t="str">
        <x:v>بحاجة مراجعة</x:v>
      </x:c>
      <x:c r="C4" s="46" t="str">
        <x:v>mint_tea</x:v>
      </x:c>
      <x:c r="D4" s="46" t="str">
        <x:f>IFERROR(VLOOKUP(C4,'المنتجات'!$C$2:$D$500,2,FALSE),"")</x:f>
        <x:v>شاي مع نعنع</x:v>
      </x:c>
      <x:c r="E4" s="46" t="str">
        <x:v>ING-HERB-MINT</x:v>
      </x:c>
      <x:c r="F4" s="46" t="str">
        <x:f>IFERROR(VLOOKUP(E4,'مواد المخزون'!$C$2:$J$500,2,FALSE),"")</x:f>
        <x:v>نعنع طازج</x:v>
      </x:c>
      <x:c r="G4" s="104" t="n">
        <x:v>0.05</x:v>
      </x:c>
      <x:c r="H4" s="46" t="str">
        <x:v>عبوة</x:v>
      </x:c>
      <x:c r="I4" s="46" t="str">
        <x:f>IFERROR(VLOOKUP(E4,'مواد المخزون'!$C$2:$J$500,5,FALSE),"")</x:f>
        <x:v>عبوة</x:v>
      </x:c>
      <x:c r="J4" s="104" t="n">
        <x:f>IF(OR(G4="",H4="",I4=""),"",IF(H4=I4,G4,IF(AND(H4="غ",I4="كغ"),G4/1000,IF(AND(H4="كغ",I4="غ"),G4*1000,IF(AND(H4="مل",I4="لتر"),G4/1000,IF(AND(H4="لتر",I4="مل"),G4*1000,""))))))</x:f>
        <x:v>0.05</x:v>
      </x:c>
      <x:c r="K4" s="108" t="n">
        <x:v>0</x:v>
      </x:c>
      <x:c r="L4" s="46" t="str">
        <x:v>لا</x:v>
      </x:c>
      <x:c r="M4" s="100" t="n">
        <x:f>IFERROR(VLOOKUP(E4,'مواد المخزون'!$C$2:$J$500,8,FALSE),"")</x:f>
        <x:v>1500</x:v>
      </x:c>
      <x:c r="N4" s="100" t="n">
        <x:f>IF(OR(J4="",M4=""),"",J4*M4*(1+K4/100))</x:f>
        <x:v>75</x:v>
      </x:c>
      <x:c r="O4" s="46" t="str">
        <x:v>تقدير: 5% من عبوة نعنع؛ راجع حجم العبوة الفعلي.</x:v>
      </x:c>
      <x:c r="P4" s="46" t="str">
        <x:f>IF(A4="SKIP","متجاوز",IF(C4="","مفتاح منتج ناقص",IF(D4="","منتج غير موجود",IF(E4="","كود مخزون ناقص",IF(F4="","مادة غير موجودة",IF(J4="","خطأ وحدة",IF(G4&lt;=0,"كمية غير صالحة","صالح")))))))</x:f>
        <x:v>صالح</x:v>
      </x:c>
    </x:row>
    <x:row r="5">
      <x:c r="A5" s="46" t="str">
        <x:v>UPSERT_INACTIVE</x:v>
      </x:c>
      <x:c r="B5" s="46" t="str">
        <x:v>بحاجة مراجعة</x:v>
      </x:c>
      <x:c r="C5" s="46" t="str">
        <x:v>sage_tea</x:v>
      </x:c>
      <x:c r="D5" s="46" t="str">
        <x:f>IFERROR(VLOOKUP(C5,'المنتجات'!$C$2:$D$500,2,FALSE),"")</x:f>
        <x:v>شاي مع ميرمية</x:v>
      </x:c>
      <x:c r="E5" s="46" t="str">
        <x:v>DRK-TEA-AHMAD-BAG</x:v>
      </x:c>
      <x:c r="F5" s="46" t="str">
        <x:f>IFERROR(VLOOKUP(E5,'مواد المخزون'!$C$2:$J$500,2,FALSE),"")</x:f>
        <x:v>شاي أحمد عادي – ظرف</x:v>
      </x:c>
      <x:c r="G5" s="104" t="n">
        <x:v>1</x:v>
      </x:c>
      <x:c r="H5" s="46" t="str">
        <x:v>حصة</x:v>
      </x:c>
      <x:c r="I5" s="46" t="str">
        <x:f>IFERROR(VLOOKUP(E5,'مواد المخزون'!$C$2:$J$500,5,FALSE),"")</x:f>
        <x:v>حصة</x:v>
      </x:c>
      <x:c r="J5" s="104" t="n">
        <x:f>IF(OR(G5="",H5="",I5=""),"",IF(H5=I5,G5,IF(AND(H5="غ",I5="كغ"),G5/1000,IF(AND(H5="كغ",I5="غ"),G5*1000,IF(AND(H5="مل",I5="لتر"),G5/1000,IF(AND(H5="لتر",I5="مل"),G5*1000,""))))))</x:f>
        <x:v>1</x:v>
      </x:c>
      <x:c r="K5" s="108" t="n">
        <x:v>0</x:v>
      </x:c>
      <x:c r="L5" s="46" t="str">
        <x:v>لا</x:v>
      </x:c>
      <x:c r="M5" s="100" t="n">
        <x:f>IFERROR(VLOOKUP(E5,'مواد المخزون'!$C$2:$J$500,8,FALSE),"")</x:f>
        <x:v>420</x:v>
      </x:c>
      <x:c r="N5" s="100" t="n">
        <x:f>IF(OR(J5="",M5=""),"",J5*M5*(1+K5/100))</x:f>
        <x:v>420</x:v>
      </x:c>
      <x:c r="O5" s="46" t="str"/>
      <x:c r="P5" s="46" t="str">
        <x:f>IF(A5="SKIP","متجاوز",IF(C5="","مفتاح منتج ناقص",IF(D5="","منتج غير موجود",IF(E5="","كود مخزون ناقص",IF(F5="","مادة غير موجودة",IF(J5="","خطأ وحدة",IF(G5&lt;=0,"كمية غير صالحة","صالح")))))))</x:f>
        <x:v>صالح</x:v>
      </x:c>
    </x:row>
    <x:row r="6">
      <x:c r="A6" s="46" t="str">
        <x:v>UPSERT_INACTIVE</x:v>
      </x:c>
      <x:c r="B6" s="46" t="str">
        <x:v>بحاجة مراجعة</x:v>
      </x:c>
      <x:c r="C6" s="46" t="str">
        <x:v>sage_tea</x:v>
      </x:c>
      <x:c r="D6" s="46" t="str">
        <x:f>IFERROR(VLOOKUP(C6,'المنتجات'!$C$2:$D$500,2,FALSE),"")</x:f>
        <x:v>شاي مع ميرمية</x:v>
      </x:c>
      <x:c r="E6" s="46" t="str">
        <x:v>ING-HERB-SAGE</x:v>
      </x:c>
      <x:c r="F6" s="46" t="str">
        <x:f>IFERROR(VLOOKUP(E6,'مواد المخزون'!$C$2:$J$500,2,FALSE),"")</x:f>
        <x:v>ميرمية مجففة</x:v>
      </x:c>
      <x:c r="G6" s="104" t="n">
        <x:v>2</x:v>
      </x:c>
      <x:c r="H6" s="46" t="str">
        <x:v>غ</x:v>
      </x:c>
      <x:c r="I6" s="46" t="str">
        <x:f>IFERROR(VLOOKUP(E6,'مواد المخزون'!$C$2:$J$500,5,FALSE),"")</x:f>
        <x:v>كغ</x:v>
      </x:c>
      <x:c r="J6" s="104" t="n">
        <x:f>IF(OR(G6="",H6="",I6=""),"",IF(H6=I6,G6,IF(AND(H6="غ",I6="كغ"),G6/1000,IF(AND(H6="كغ",I6="غ"),G6*1000,IF(AND(H6="مل",I6="لتر"),G6/1000,IF(AND(H6="لتر",I6="مل"),G6*1000,""))))))</x:f>
        <x:v>0.002</x:v>
      </x:c>
      <x:c r="K6" s="108" t="n">
        <x:v>0</x:v>
      </x:c>
      <x:c r="L6" s="46" t="str">
        <x:v>لا</x:v>
      </x:c>
      <x:c r="M6" s="100" t="str">
        <x:f>IFERROR(VLOOKUP(E6,'مواد المخزون'!$C$2:$J$500,8,FALSE),"")</x:f>
      </x:c>
      <x:c r="N6" s="100" t="str">
        <x:f>IF(OR(J6="",M6=""),"",J6*M6*(1+K6/100))</x:f>
      </x:c>
      <x:c r="O6" s="46" t="str">
        <x:v>جرعة تقديرية 2غ.</x:v>
      </x:c>
      <x:c r="P6" s="46" t="str">
        <x:f>IF(A6="SKIP","متجاوز",IF(C6="","مفتاح منتج ناقص",IF(D6="","منتج غير موجود",IF(E6="","كود مخزون ناقص",IF(F6="","مادة غير موجودة",IF(J6="","خطأ وحدة",IF(G6&lt;=0,"كمية غير صالحة","صالح")))))))</x:f>
        <x:v>صالح</x:v>
      </x:c>
    </x:row>
    <x:row r="7">
      <x:c r="A7" s="46" t="str">
        <x:v>UPSERT_INACTIVE</x:v>
      </x:c>
      <x:c r="B7" s="46" t="str">
        <x:v>بحاجة مراجعة</x:v>
      </x:c>
      <x:c r="C7" s="46" t="str">
        <x:v>earl_grey_tea</x:v>
      </x:c>
      <x:c r="D7" s="46" t="str">
        <x:f>IFERROR(VLOOKUP(C7,'المنتجات'!$C$2:$D$500,2,FALSE),"")</x:f>
        <x:v>شاي إيرل غراي</x:v>
      </x:c>
      <x:c r="E7" s="46" t="str">
        <x:v>DRK-TEA-EARLGREY-BAG</x:v>
      </x:c>
      <x:c r="F7" s="46" t="str">
        <x:f>IFERROR(VLOOKUP(E7,'مواد المخزون'!$C$2:$J$500,2,FALSE),"")</x:f>
        <x:v>شاي أحمد إيرل غراي – ظرف</x:v>
      </x:c>
      <x:c r="G7" s="104" t="n">
        <x:v>1</x:v>
      </x:c>
      <x:c r="H7" s="46" t="str">
        <x:v>حصة</x:v>
      </x:c>
      <x:c r="I7" s="46" t="str">
        <x:f>IFERROR(VLOOKUP(E7,'مواد المخزون'!$C$2:$J$500,5,FALSE),"")</x:f>
        <x:v>حصة</x:v>
      </x:c>
      <x:c r="J7" s="104" t="n">
        <x:f>IF(OR(G7="",H7="",I7=""),"",IF(H7=I7,G7,IF(AND(H7="غ",I7="كغ"),G7/1000,IF(AND(H7="كغ",I7="غ"),G7*1000,IF(AND(H7="مل",I7="لتر"),G7/1000,IF(AND(H7="لتر",I7="مل"),G7*1000,""))))))</x:f>
        <x:v>1</x:v>
      </x:c>
      <x:c r="K7" s="108" t="n">
        <x:v>0</x:v>
      </x:c>
      <x:c r="L7" s="46" t="str">
        <x:v>لا</x:v>
      </x:c>
      <x:c r="M7" s="100" t="n">
        <x:f>IFERROR(VLOOKUP(E7,'مواد المخزون'!$C$2:$J$500,8,FALSE),"")</x:f>
        <x:v>585</x:v>
      </x:c>
      <x:c r="N7" s="100" t="n">
        <x:f>IF(OR(J7="",M7=""),"",J7*M7*(1+K7/100))</x:f>
        <x:v>585</x:v>
      </x:c>
      <x:c r="O7" s="46" t="str"/>
      <x:c r="P7" s="46" t="str">
        <x:f>IF(A7="SKIP","متجاوز",IF(C7="","مفتاح منتج ناقص",IF(D7="","منتج غير موجود",IF(E7="","كود مخزون ناقص",IF(F7="","مادة غير موجودة",IF(J7="","خطأ وحدة",IF(G7&lt;=0,"كمية غير صالحة","صالح")))))))</x:f>
        <x:v>صالح</x:v>
      </x:c>
    </x:row>
    <x:row r="8">
      <x:c r="A8" s="46" t="str">
        <x:v>UPSERT_INACTIVE</x:v>
      </x:c>
      <x:c r="B8" s="46" t="str">
        <x:v>بحاجة مراجعة</x:v>
      </x:c>
      <x:c r="C8" s="46" t="str">
        <x:v>fruit_flavored_tea</x:v>
      </x:c>
      <x:c r="D8" s="46" t="str">
        <x:f>IFERROR(VLOOKUP(C8,'المنتجات'!$C$2:$D$500,2,FALSE),"")</x:f>
        <x:v>شاي فواكه / منكه</x:v>
      </x:c>
      <x:c r="E8" s="46" t="str">
        <x:v>DRK-TEA-FRUIT-BAG</x:v>
      </x:c>
      <x:c r="F8" s="46" t="str">
        <x:f>IFERROR(VLOOKUP(E8,'مواد المخزون'!$C$2:$J$500,2,FALSE),"")</x:f>
        <x:v>شاي أحمد فواكه – ظرف</x:v>
      </x:c>
      <x:c r="G8" s="104" t="n">
        <x:v>1</x:v>
      </x:c>
      <x:c r="H8" s="46" t="str">
        <x:v>حصة</x:v>
      </x:c>
      <x:c r="I8" s="46" t="str">
        <x:f>IFERROR(VLOOKUP(E8,'مواد المخزون'!$C$2:$J$500,5,FALSE),"")</x:f>
        <x:v>حصة</x:v>
      </x:c>
      <x:c r="J8" s="104" t="n">
        <x:f>IF(OR(G8="",H8="",I8=""),"",IF(H8=I8,G8,IF(AND(H8="غ",I8="كغ"),G8/1000,IF(AND(H8="كغ",I8="غ"),G8*1000,IF(AND(H8="مل",I8="لتر"),G8/1000,IF(AND(H8="لتر",I8="مل"),G8*1000,""))))))</x:f>
        <x:v>1</x:v>
      </x:c>
      <x:c r="K8" s="108" t="n">
        <x:v>0</x:v>
      </x:c>
      <x:c r="L8" s="46" t="str">
        <x:v>لا</x:v>
      </x:c>
      <x:c r="M8" s="100" t="n">
        <x:f>IFERROR(VLOOKUP(E8,'مواد المخزون'!$C$2:$J$500,8,FALSE),"")</x:f>
        <x:v>1325</x:v>
      </x:c>
      <x:c r="N8" s="100" t="n">
        <x:f>IF(OR(J8="",M8=""),"",J8*M8*(1+K8/100))</x:f>
        <x:v>1325</x:v>
      </x:c>
      <x:c r="O8" s="46" t="str">
        <x:v>استخدم شاي الفواكه؛ بدّل الكود إلى الشاي المنكّه إذا كان المنتج المقصود.</x:v>
      </x:c>
      <x:c r="P8" s="46" t="str">
        <x:f>IF(A8="SKIP","متجاوز",IF(C8="","مفتاح منتج ناقص",IF(D8="","منتج غير موجود",IF(E8="","كود مخزون ناقص",IF(F8="","مادة غير موجودة",IF(J8="","خطأ وحدة",IF(G8&lt;=0,"كمية غير صالحة","صالح")))))))</x:f>
        <x:v>صالح</x:v>
      </x:c>
    </x:row>
    <x:row r="9">
      <x:c r="A9" s="46" t="str">
        <x:v>UPSERT_INACTIVE</x:v>
      </x:c>
      <x:c r="B9" s="46" t="str">
        <x:v>بحاجة مراجعة</x:v>
      </x:c>
      <x:c r="C9" s="46" t="str">
        <x:v>zhourat</x:v>
      </x:c>
      <x:c r="D9" s="46" t="str">
        <x:f>IFERROR(VLOOKUP(C9,'المنتجات'!$C$2:$D$500,2,FALSE),"")</x:f>
        <x:v>زهورات</x:v>
      </x:c>
      <x:c r="E9" s="46" t="str">
        <x:v>DRK-HERBAL-ZHOURAT</x:v>
      </x:c>
      <x:c r="F9" s="46" t="str">
        <x:f>IFERROR(VLOOKUP(E9,'مواد المخزون'!$C$2:$J$500,2,FALSE),"")</x:f>
        <x:v>زهورات مشكلة</x:v>
      </x:c>
      <x:c r="G9" s="104" t="n">
        <x:v>5</x:v>
      </x:c>
      <x:c r="H9" s="46" t="str">
        <x:v>غ</x:v>
      </x:c>
      <x:c r="I9" s="46" t="str">
        <x:f>IFERROR(VLOOKUP(E9,'مواد المخزون'!$C$2:$J$500,5,FALSE),"")</x:f>
        <x:v>كغ</x:v>
      </x:c>
      <x:c r="J9" s="104" t="n">
        <x:f>IF(OR(G9="",H9="",I9=""),"",IF(H9=I9,G9,IF(AND(H9="غ",I9="كغ"),G9/1000,IF(AND(H9="كغ",I9="غ"),G9*1000,IF(AND(H9="مل",I9="لتر"),G9/1000,IF(AND(H9="لتر",I9="مل"),G9*1000,""))))))</x:f>
        <x:v>0.005</x:v>
      </x:c>
      <x:c r="K9" s="108" t="n">
        <x:v>0</x:v>
      </x:c>
      <x:c r="L9" s="46" t="str">
        <x:v>لا</x:v>
      </x:c>
      <x:c r="M9" s="100" t="str">
        <x:f>IFERROR(VLOOKUP(E9,'مواد المخزون'!$C$2:$J$500,8,FALSE),"")</x:f>
      </x:c>
      <x:c r="N9" s="100" t="str">
        <x:f>IF(OR(J9="",M9=""),"",J9*M9*(1+K9/100))</x:f>
      </x:c>
      <x:c r="O9" s="46" t="str">
        <x:v>تقدير 5غ للكاسة.</x:v>
      </x:c>
      <x:c r="P9" s="46" t="str">
        <x:f>IF(A9="SKIP","متجاوز",IF(C9="","مفتاح منتج ناقص",IF(D9="","منتج غير موجود",IF(E9="","كود مخزون ناقص",IF(F9="","مادة غير موجودة",IF(J9="","خطأ وحدة",IF(G9&lt;=0,"كمية غير صالحة","صالح")))))))</x:f>
        <x:v>صالح</x:v>
      </x:c>
    </x:row>
    <x:row r="10">
      <x:c r="A10" s="46" t="str">
        <x:v>UPSERT_INACTIVE</x:v>
      </x:c>
      <x:c r="B10" s="46" t="str">
        <x:v>بحاجة مراجعة</x:v>
      </x:c>
      <x:c r="C10" s="46" t="str">
        <x:v>hot_chocolate_water</x:v>
      </x:c>
      <x:c r="D10" s="46" t="str">
        <x:f>IFERROR(VLOOKUP(C10,'المنتجات'!$C$2:$D$500,2,FALSE),"")</x:f>
        <x:v>هوت شوكليت بالماء</x:v>
      </x:c>
      <x:c r="E10" s="46" t="str">
        <x:v>DRK-CHOCO-SACHET</x:v>
      </x:c>
      <x:c r="F10" s="46" t="str">
        <x:f>IFERROR(VLOOKUP(E10,'مواد المخزون'!$C$2:$J$500,2,FALSE),"")</x:f>
        <x:v>هوت شوكليت – ظرف</x:v>
      </x:c>
      <x:c r="G10" s="104" t="n">
        <x:v>1</x:v>
      </x:c>
      <x:c r="H10" s="46" t="str">
        <x:v>حصة</x:v>
      </x:c>
      <x:c r="I10" s="46" t="str">
        <x:f>IFERROR(VLOOKUP(E10,'مواد المخزون'!$C$2:$J$500,5,FALSE),"")</x:f>
        <x:v>حصة</x:v>
      </x:c>
      <x:c r="J10" s="104" t="n">
        <x:f>IF(OR(G10="",H10="",I10=""),"",IF(H10=I10,G10,IF(AND(H10="غ",I10="كغ"),G10/1000,IF(AND(H10="كغ",I10="غ"),G10*1000,IF(AND(H10="مل",I10="لتر"),G10/1000,IF(AND(H10="لتر",I10="مل"),G10*1000,""))))))</x:f>
        <x:v>1</x:v>
      </x:c>
      <x:c r="K10" s="108" t="n">
        <x:v>0</x:v>
      </x:c>
      <x:c r="L10" s="46" t="str">
        <x:v>لا</x:v>
      </x:c>
      <x:c r="M10" s="100" t="n">
        <x:f>IFERROR(VLOOKUP(E10,'مواد المخزون'!$C$2:$J$500,8,FALSE),"")</x:f>
        <x:v>3000</x:v>
      </x:c>
      <x:c r="N10" s="100" t="n">
        <x:f>IF(OR(J10="",M10=""),"",J10*M10*(1+K10/100))</x:f>
        <x:v>3000</x:v>
      </x:c>
      <x:c r="O10" s="46" t="str"/>
      <x:c r="P10" s="46" t="str">
        <x:f>IF(A10="SKIP","متجاوز",IF(C10="","مفتاح منتج ناقص",IF(D10="","منتج غير موجود",IF(E10="","كود مخزون ناقص",IF(F10="","مادة غير موجودة",IF(J10="","خطأ وحدة",IF(G10&lt;=0,"كمية غير صالحة","صالح")))))))</x:f>
        <x:v>صالح</x:v>
      </x:c>
    </x:row>
    <x:row r="11">
      <x:c r="A11" s="46" t="str">
        <x:v>UPSERT_INACTIVE</x:v>
      </x:c>
      <x:c r="B11" s="46" t="str">
        <x:v>بحاجة مراجعة</x:v>
      </x:c>
      <x:c r="C11" s="46" t="str">
        <x:v>hot_chocolate_milk</x:v>
      </x:c>
      <x:c r="D11" s="46" t="str">
        <x:f>IFERROR(VLOOKUP(C11,'المنتجات'!$C$2:$D$500,2,FALSE),"")</x:f>
        <x:v>هوت شوكليت بالحليب</x:v>
      </x:c>
      <x:c r="E11" s="46" t="str">
        <x:v>DRK-CHOCO-SACHET</x:v>
      </x:c>
      <x:c r="F11" s="46" t="str">
        <x:f>IFERROR(VLOOKUP(E11,'مواد المخزون'!$C$2:$J$500,2,FALSE),"")</x:f>
        <x:v>هوت شوكليت – ظرف</x:v>
      </x:c>
      <x:c r="G11" s="104" t="n">
        <x:v>1</x:v>
      </x:c>
      <x:c r="H11" s="46" t="str">
        <x:v>حصة</x:v>
      </x:c>
      <x:c r="I11" s="46" t="str">
        <x:f>IFERROR(VLOOKUP(E11,'مواد المخزون'!$C$2:$J$500,5,FALSE),"")</x:f>
        <x:v>حصة</x:v>
      </x:c>
      <x:c r="J11" s="104" t="n">
        <x:f>IF(OR(G11="",H11="",I11=""),"",IF(H11=I11,G11,IF(AND(H11="غ",I11="كغ"),G11/1000,IF(AND(H11="كغ",I11="غ"),G11*1000,IF(AND(H11="مل",I11="لتر"),G11/1000,IF(AND(H11="لتر",I11="مل"),G11*1000,""))))))</x:f>
        <x:v>1</x:v>
      </x:c>
      <x:c r="K11" s="108" t="n">
        <x:v>0</x:v>
      </x:c>
      <x:c r="L11" s="46" t="str">
        <x:v>لا</x:v>
      </x:c>
      <x:c r="M11" s="100" t="n">
        <x:f>IFERROR(VLOOKUP(E11,'مواد المخزون'!$C$2:$J$500,8,FALSE),"")</x:f>
        <x:v>3000</x:v>
      </x:c>
      <x:c r="N11" s="100" t="n">
        <x:f>IF(OR(J11="",M11=""),"",J11*M11*(1+K11/100))</x:f>
        <x:v>3000</x:v>
      </x:c>
      <x:c r="O11" s="46" t="str"/>
      <x:c r="P11" s="46" t="str">
        <x:f>IF(A11="SKIP","متجاوز",IF(C11="","مفتاح منتج ناقص",IF(D11="","منتج غير موجود",IF(E11="","كود مخزون ناقص",IF(F11="","مادة غير موجودة",IF(J11="","خطأ وحدة",IF(G11&lt;=0,"كمية غير صالحة","صالح")))))))</x:f>
        <x:v>صالح</x:v>
      </x:c>
    </x:row>
    <x:row r="12">
      <x:c r="A12" s="46" t="str">
        <x:v>UPSERT_INACTIVE</x:v>
      </x:c>
      <x:c r="B12" s="46" t="str">
        <x:v>بحاجة مراجعة</x:v>
      </x:c>
      <x:c r="C12" s="46" t="str">
        <x:v>hot_chocolate_milk</x:v>
      </x:c>
      <x:c r="D12" s="46" t="str">
        <x:f>IFERROR(VLOOKUP(C12,'المنتجات'!$C$2:$D$500,2,FALSE),"")</x:f>
        <x:v>هوت شوكليت بالحليب</x:v>
      </x:c>
      <x:c r="E12" s="46" t="str">
        <x:v>ING-DAIRY-MILK</x:v>
      </x:c>
      <x:c r="F12" s="46" t="str">
        <x:f>IFERROR(VLOOKUP(E12,'مواد المخزون'!$C$2:$J$500,2,FALSE),"")</x:f>
        <x:v>حليب</x:v>
      </x:c>
      <x:c r="G12" s="104" t="n">
        <x:v>200</x:v>
      </x:c>
      <x:c r="H12" s="46" t="str">
        <x:v>مل</x:v>
      </x:c>
      <x:c r="I12" s="46" t="str">
        <x:f>IFERROR(VLOOKUP(E12,'مواد المخزون'!$C$2:$J$500,5,FALSE),"")</x:f>
        <x:v>لتر</x:v>
      </x:c>
      <x:c r="J12" s="104" t="n">
        <x:f>IF(OR(G12="",H12="",I12=""),"",IF(H12=I12,G12,IF(AND(H12="غ",I12="كغ"),G12/1000,IF(AND(H12="كغ",I12="غ"),G12*1000,IF(AND(H12="مل",I12="لتر"),G12/1000,IF(AND(H12="لتر",I12="مل"),G12*1000,""))))))</x:f>
        <x:v>0.2</x:v>
      </x:c>
      <x:c r="K12" s="108" t="n">
        <x:v>0</x:v>
      </x:c>
      <x:c r="L12" s="46" t="str">
        <x:v>لا</x:v>
      </x:c>
      <x:c r="M12" s="100" t="n">
        <x:f>IFERROR(VLOOKUP(E12,'مواد المخزون'!$C$2:$J$500,8,FALSE),"")</x:f>
        <x:v>15000</x:v>
      </x:c>
      <x:c r="N12" s="100" t="n">
        <x:f>IF(OR(J12="",M12=""),"",J12*M12*(1+K12/100))</x:f>
        <x:v>3000</x:v>
      </x:c>
      <x:c r="O12" s="46" t="str">
        <x:v>تقدير 200مل حليب.</x:v>
      </x:c>
      <x:c r="P12" s="46" t="str">
        <x:f>IF(A12="SKIP","متجاوز",IF(C12="","مفتاح منتج ناقص",IF(D12="","منتج غير موجود",IF(E12="","كود مخزون ناقص",IF(F12="","مادة غير موجودة",IF(J12="","خطأ وحدة",IF(G12&lt;=0,"كمية غير صالحة","صالح")))))))</x:f>
        <x:v>صالح</x:v>
      </x:c>
    </x:row>
    <x:row r="13">
      <x:c r="A13" s="46" t="str">
        <x:v>UPSERT_INACTIVE</x:v>
      </x:c>
      <x:c r="B13" s="46" t="str">
        <x:v>بحاجة مراجعة</x:v>
      </x:c>
      <x:c r="C13" s="46" t="str">
        <x:v>matcha_water</x:v>
      </x:c>
      <x:c r="D13" s="46" t="str">
        <x:f>IFERROR(VLOOKUP(C13,'المنتجات'!$C$2:$D$500,2,FALSE),"")</x:f>
        <x:v>ماتشا بالماء</x:v>
      </x:c>
      <x:c r="E13" s="46" t="str">
        <x:v>DRK-MATCHA-PORTION</x:v>
      </x:c>
      <x:c r="F13" s="46" t="str">
        <x:f>IFERROR(VLOOKUP(E13,'مواد المخزون'!$C$2:$J$500,2,FALSE),"")</x:f>
        <x:v>ماتشا – حصة</x:v>
      </x:c>
      <x:c r="G13" s="104" t="n">
        <x:v>1</x:v>
      </x:c>
      <x:c r="H13" s="46" t="str">
        <x:v>حصة</x:v>
      </x:c>
      <x:c r="I13" s="46" t="str">
        <x:f>IFERROR(VLOOKUP(E13,'مواد المخزون'!$C$2:$J$500,5,FALSE),"")</x:f>
        <x:v>حصة</x:v>
      </x:c>
      <x:c r="J13" s="104" t="n">
        <x:f>IF(OR(G13="",H13="",I13=""),"",IF(H13=I13,G13,IF(AND(H13="غ",I13="كغ"),G13/1000,IF(AND(H13="كغ",I13="غ"),G13*1000,IF(AND(H13="مل",I13="لتر"),G13/1000,IF(AND(H13="لتر",I13="مل"),G13*1000,""))))))</x:f>
        <x:v>1</x:v>
      </x:c>
      <x:c r="K13" s="108" t="n">
        <x:v>0</x:v>
      </x:c>
      <x:c r="L13" s="46" t="str">
        <x:v>لا</x:v>
      </x:c>
      <x:c r="M13" s="100" t="n">
        <x:f>IFERROR(VLOOKUP(E13,'مواد المخزون'!$C$2:$J$500,8,FALSE),"")</x:f>
        <x:v>4450</x:v>
      </x:c>
      <x:c r="N13" s="100" t="n">
        <x:f>IF(OR(J13="",M13=""),"",J13*M13*(1+K13/100))</x:f>
        <x:v>4450</x:v>
      </x:c>
      <x:c r="O13" s="46" t="str"/>
      <x:c r="P13" s="46" t="str">
        <x:f>IF(A13="SKIP","متجاوز",IF(C13="","مفتاح منتج ناقص",IF(D13="","منتج غير موجود",IF(E13="","كود مخزون ناقص",IF(F13="","مادة غير موجودة",IF(J13="","خطأ وحدة",IF(G13&lt;=0,"كمية غير صالحة","صالح")))))))</x:f>
        <x:v>صالح</x:v>
      </x:c>
    </x:row>
    <x:row r="14">
      <x:c r="A14" s="46" t="str">
        <x:v>UPSERT_INACTIVE</x:v>
      </x:c>
      <x:c r="B14" s="46" t="str">
        <x:v>بحاجة مراجعة</x:v>
      </x:c>
      <x:c r="C14" s="46" t="str">
        <x:v>hot_matcha_latte</x:v>
      </x:c>
      <x:c r="D14" s="46" t="str">
        <x:f>IFERROR(VLOOKUP(C14,'المنتجات'!$C$2:$D$500,2,FALSE),"")</x:f>
        <x:v>ماتشا لاتيه ساخن</x:v>
      </x:c>
      <x:c r="E14" s="46" t="str">
        <x:v>DRK-MATCHA-PORTION</x:v>
      </x:c>
      <x:c r="F14" s="46" t="str">
        <x:f>IFERROR(VLOOKUP(E14,'مواد المخزون'!$C$2:$J$500,2,FALSE),"")</x:f>
        <x:v>ماتشا – حصة</x:v>
      </x:c>
      <x:c r="G14" s="104" t="n">
        <x:v>1</x:v>
      </x:c>
      <x:c r="H14" s="46" t="str">
        <x:v>حصة</x:v>
      </x:c>
      <x:c r="I14" s="46" t="str">
        <x:f>IFERROR(VLOOKUP(E14,'مواد المخزون'!$C$2:$J$500,5,FALSE),"")</x:f>
        <x:v>حصة</x:v>
      </x:c>
      <x:c r="J14" s="104" t="n">
        <x:f>IF(OR(G14="",H14="",I14=""),"",IF(H14=I14,G14,IF(AND(H14="غ",I14="كغ"),G14/1000,IF(AND(H14="كغ",I14="غ"),G14*1000,IF(AND(H14="مل",I14="لتر"),G14/1000,IF(AND(H14="لتر",I14="مل"),G14*1000,""))))))</x:f>
        <x:v>1</x:v>
      </x:c>
      <x:c r="K14" s="108" t="n">
        <x:v>0</x:v>
      </x:c>
      <x:c r="L14" s="46" t="str">
        <x:v>لا</x:v>
      </x:c>
      <x:c r="M14" s="100" t="n">
        <x:f>IFERROR(VLOOKUP(E14,'مواد المخزون'!$C$2:$J$500,8,FALSE),"")</x:f>
        <x:v>4450</x:v>
      </x:c>
      <x:c r="N14" s="100" t="n">
        <x:f>IF(OR(J14="",M14=""),"",J14*M14*(1+K14/100))</x:f>
        <x:v>4450</x:v>
      </x:c>
      <x:c r="O14" s="46" t="str"/>
      <x:c r="P14" s="46" t="str">
        <x:f>IF(A14="SKIP","متجاوز",IF(C14="","مفتاح منتج ناقص",IF(D14="","منتج غير موجود",IF(E14="","كود مخزون ناقص",IF(F14="","مادة غير موجودة",IF(J14="","خطأ وحدة",IF(G14&lt;=0,"كمية غير صالحة","صالح")))))))</x:f>
        <x:v>صالح</x:v>
      </x:c>
    </x:row>
    <x:row r="15">
      <x:c r="A15" s="46" t="str">
        <x:v>UPSERT_INACTIVE</x:v>
      </x:c>
      <x:c r="B15" s="46" t="str">
        <x:v>بحاجة مراجعة</x:v>
      </x:c>
      <x:c r="C15" s="46" t="str">
        <x:v>hot_matcha_latte</x:v>
      </x:c>
      <x:c r="D15" s="46" t="str">
        <x:f>IFERROR(VLOOKUP(C15,'المنتجات'!$C$2:$D$500,2,FALSE),"")</x:f>
        <x:v>ماتشا لاتيه ساخن</x:v>
      </x:c>
      <x:c r="E15" s="46" t="str">
        <x:v>ING-DAIRY-MILK</x:v>
      </x:c>
      <x:c r="F15" s="46" t="str">
        <x:f>IFERROR(VLOOKUP(E15,'مواد المخزون'!$C$2:$J$500,2,FALSE),"")</x:f>
        <x:v>حليب</x:v>
      </x:c>
      <x:c r="G15" s="104" t="n">
        <x:v>200</x:v>
      </x:c>
      <x:c r="H15" s="46" t="str">
        <x:v>مل</x:v>
      </x:c>
      <x:c r="I15" s="46" t="str">
        <x:f>IFERROR(VLOOKUP(E15,'مواد المخزون'!$C$2:$J$500,5,FALSE),"")</x:f>
        <x:v>لتر</x:v>
      </x:c>
      <x:c r="J15" s="104" t="n">
        <x:f>IF(OR(G15="",H15="",I15=""),"",IF(H15=I15,G15,IF(AND(H15="غ",I15="كغ"),G15/1000,IF(AND(H15="كغ",I15="غ"),G15*1000,IF(AND(H15="مل",I15="لتر"),G15/1000,IF(AND(H15="لتر",I15="مل"),G15*1000,""))))))</x:f>
        <x:v>0.2</x:v>
      </x:c>
      <x:c r="K15" s="108" t="n">
        <x:v>0</x:v>
      </x:c>
      <x:c r="L15" s="46" t="str">
        <x:v>لا</x:v>
      </x:c>
      <x:c r="M15" s="100" t="n">
        <x:f>IFERROR(VLOOKUP(E15,'مواد المخزون'!$C$2:$J$500,8,FALSE),"")</x:f>
        <x:v>15000</x:v>
      </x:c>
      <x:c r="N15" s="100" t="n">
        <x:f>IF(OR(J15="",M15=""),"",J15*M15*(1+K15/100))</x:f>
        <x:v>3000</x:v>
      </x:c>
      <x:c r="O15" s="46" t="str">
        <x:v>تقدير 200مل حليب.</x:v>
      </x:c>
      <x:c r="P15" s="46" t="str">
        <x:f>IF(A15="SKIP","متجاوز",IF(C15="","مفتاح منتج ناقص",IF(D15="","منتج غير موجود",IF(E15="","كود مخزون ناقص",IF(F15="","مادة غير موجودة",IF(J15="","خطأ وحدة",IF(G15&lt;=0,"كمية غير صالحة","صالح")))))))</x:f>
        <x:v>صالح</x:v>
      </x:c>
    </x:row>
    <x:row r="16">
      <x:c r="A16" s="46" t="str">
        <x:v>UPSERT_INACTIVE</x:v>
      </x:c>
      <x:c r="B16" s="46" t="str">
        <x:v>بحاجة مراجعة</x:v>
      </x:c>
      <x:c r="C16" s="46" t="str">
        <x:v>cola_7up_glass</x:v>
      </x:c>
      <x:c r="D16" s="46" t="str">
        <x:f>IFERROR(VLOOKUP(C16,'المنتجات'!$C$2:$D$500,2,FALSE),"")</x:f>
        <x:v>كولا / سفن أب — كاسة</x:v>
      </x:c>
      <x:c r="E16" s="46" t="str">
        <x:v>DRK-SODA-SUPRIN-225</x:v>
      </x:c>
      <x:c r="F16" s="46" t="str">
        <x:f>IFERROR(VLOOKUP(E16,'مواد المخزون'!$C$2:$J$500,2,FALSE),"")</x:f>
        <x:v>سوبرين سفن أب / كولا 2.25 لتر</x:v>
      </x:c>
      <x:c r="G16" s="104" t="n">
        <x:v>0.111</x:v>
      </x:c>
      <x:c r="H16" s="46" t="str">
        <x:v>زجاجة</x:v>
      </x:c>
      <x:c r="I16" s="46" t="str">
        <x:f>IFERROR(VLOOKUP(E16,'مواد المخزون'!$C$2:$J$500,5,FALSE),"")</x:f>
        <x:v>زجاجة</x:v>
      </x:c>
      <x:c r="J16" s="104" t="n">
        <x:f>IF(OR(G16="",H16="",I16=""),"",IF(H16=I16,G16,IF(AND(H16="غ",I16="كغ"),G16/1000,IF(AND(H16="كغ",I16="غ"),G16*1000,IF(AND(H16="مل",I16="لتر"),G16/1000,IF(AND(H16="لتر",I16="مل"),G16*1000,""))))))</x:f>
        <x:v>0.111</x:v>
      </x:c>
      <x:c r="K16" s="108" t="n">
        <x:v>0</x:v>
      </x:c>
      <x:c r="L16" s="46" t="str">
        <x:v>لا</x:v>
      </x:c>
      <x:c r="M16" s="100" t="n">
        <x:f>IFERROR(VLOOKUP(E16,'مواد المخزون'!$C$2:$J$500,8,FALSE),"")</x:f>
        <x:v>15000</x:v>
      </x:c>
      <x:c r="N16" s="100" t="n">
        <x:f>IF(OR(J16="",M16=""),"",J16*M16*(1+K16/100))</x:f>
        <x:v>1665</x:v>
      </x:c>
      <x:c r="O16" s="46" t="str">
        <x:v>يعادل تقريباً 250مل من زجاجة 2.25 لتر.</x:v>
      </x:c>
      <x:c r="P16" s="46" t="str">
        <x:f>IF(A16="SKIP","متجاوز",IF(C16="","مفتاح منتج ناقص",IF(D16="","منتج غير موجود",IF(E16="","كود مخزون ناقص",IF(F16="","مادة غير موجودة",IF(J16="","خطأ وحدة",IF(G16&lt;=0,"كمية غير صالحة","صالح")))))))</x:f>
        <x:v>صالح</x:v>
      </x:c>
    </x:row>
    <x:row r="17">
      <x:c r="A17" s="46" t="str">
        <x:v>UPSERT_INACTIVE</x:v>
      </x:c>
      <x:c r="B17" s="46" t="str">
        <x:v>بحاجة مراجعة</x:v>
      </x:c>
      <x:c r="C17" s="46" t="str">
        <x:v>canned_fizzy_drink</x:v>
      </x:c>
      <x:c r="D17" s="46" t="str">
        <x:f>IFERROR(VLOOKUP(C17,'المنتجات'!$C$2:$D$500,2,FALSE),"")</x:f>
        <x:v>مشروب معلب / غازي</x:v>
      </x:c>
      <x:c r="E17" s="46" t="str">
        <x:v>DRK-SODA-CAN</x:v>
      </x:c>
      <x:c r="F17" s="46" t="str">
        <x:f>IFERROR(VLOOKUP(E17,'مواد المخزون'!$C$2:$J$500,2,FALSE),"")</x:f>
        <x:v>صودا – علبة</x:v>
      </x:c>
      <x:c r="G17" s="104" t="n">
        <x:v>1</x:v>
      </x:c>
      <x:c r="H17" s="46" t="str">
        <x:v>قطعة</x:v>
      </x:c>
      <x:c r="I17" s="46" t="str">
        <x:f>IFERROR(VLOOKUP(E17,'مواد المخزون'!$C$2:$J$500,5,FALSE),"")</x:f>
        <x:v>قطعة</x:v>
      </x:c>
      <x:c r="J17" s="104" t="n">
        <x:f>IF(OR(G17="",H17="",I17=""),"",IF(H17=I17,G17,IF(AND(H17="غ",I17="كغ"),G17/1000,IF(AND(H17="كغ",I17="غ"),G17*1000,IF(AND(H17="مل",I17="لتر"),G17/1000,IF(AND(H17="لتر",I17="مل"),G17*1000,""))))))</x:f>
        <x:v>1</x:v>
      </x:c>
      <x:c r="K17" s="108" t="n">
        <x:v>0</x:v>
      </x:c>
      <x:c r="L17" s="46" t="str">
        <x:v>لا</x:v>
      </x:c>
      <x:c r="M17" s="100" t="str">
        <x:f>IFERROR(VLOOKUP(E17,'مواد المخزون'!$C$2:$J$500,8,FALSE),"")</x:f>
      </x:c>
      <x:c r="N17" s="100" t="str">
        <x:f>IF(OR(J17="",M17=""),"",J17*M17*(1+K17/100))</x:f>
      </x:c>
      <x:c r="O17" s="46" t="str"/>
      <x:c r="P17" s="46" t="str">
        <x:f>IF(A17="SKIP","متجاوز",IF(C17="","مفتاح منتج ناقص",IF(D17="","منتج غير موجود",IF(E17="","كود مخزون ناقص",IF(F17="","مادة غير موجودة",IF(J17="","خطأ وحدة",IF(G17&lt;=0,"كمية غير صالحة","صالح")))))))</x:f>
        <x:v>صالح</x:v>
      </x:c>
    </x:row>
    <x:row r="18">
      <x:c r="A18" s="46" t="str">
        <x:v>UPSERT_INACTIVE</x:v>
      </x:c>
      <x:c r="B18" s="46" t="str">
        <x:v>بحاجة مراجعة</x:v>
      </x:c>
      <x:c r="C18" s="46" t="str">
        <x:v>juice_glass</x:v>
      </x:c>
      <x:c r="D18" s="46" t="str">
        <x:f>IFERROR(VLOOKUP(C18,'المنتجات'!$C$2:$D$500,2,FALSE),"")</x:f>
        <x:v>عصير كاسة</x:v>
      </x:c>
      <x:c r="E18" s="46" t="str">
        <x:v>DRK-JUICE-FIORI-1L</x:v>
      </x:c>
      <x:c r="F18" s="46" t="str">
        <x:f>IFERROR(VLOOKUP(E18,'مواد المخزون'!$C$2:$J$500,2,FALSE),"")</x:f>
        <x:v>عصير فيوري 1 لتر</x:v>
      </x:c>
      <x:c r="G18" s="104" t="n">
        <x:v>250</x:v>
      </x:c>
      <x:c r="H18" s="46" t="str">
        <x:v>مل</x:v>
      </x:c>
      <x:c r="I18" s="46" t="str">
        <x:f>IFERROR(VLOOKUP(E18,'مواد المخزون'!$C$2:$J$500,5,FALSE),"")</x:f>
        <x:v>لتر</x:v>
      </x:c>
      <x:c r="J18" s="104" t="n">
        <x:f>IF(OR(G18="",H18="",I18=""),"",IF(H18=I18,G18,IF(AND(H18="غ",I18="كغ"),G18/1000,IF(AND(H18="كغ",I18="غ"),G18*1000,IF(AND(H18="مل",I18="لتر"),G18/1000,IF(AND(H18="لتر",I18="مل"),G18*1000,""))))))</x:f>
        <x:v>0.25</x:v>
      </x:c>
      <x:c r="K18" s="108" t="n">
        <x:v>0</x:v>
      </x:c>
      <x:c r="L18" s="46" t="str">
        <x:v>لا</x:v>
      </x:c>
      <x:c r="M18" s="100" t="n">
        <x:f>IFERROR(VLOOKUP(E18,'مواد المخزون'!$C$2:$J$500,8,FALSE),"")</x:f>
        <x:v>15000</x:v>
      </x:c>
      <x:c r="N18" s="100" t="n">
        <x:f>IF(OR(J18="",M18=""),"",J18*M18*(1+K18/100))</x:f>
        <x:v>3750</x:v>
      </x:c>
      <x:c r="O18" s="46" t="str">
        <x:v>تقدير كاسة 250مل.</x:v>
      </x:c>
      <x:c r="P18" s="46" t="str">
        <x:f>IF(A18="SKIP","متجاوز",IF(C18="","مفتاح منتج ناقص",IF(D18="","منتج غير موجود",IF(E18="","كود مخزون ناقص",IF(F18="","مادة غير موجودة",IF(J18="","خطأ وحدة",IF(G18&lt;=0,"كمية غير صالحة","صالح")))))))</x:f>
        <x:v>صالح</x:v>
      </x:c>
    </x:row>
    <x:row r="19">
      <x:c r="A19" s="46" t="str">
        <x:v>UPSERT_INACTIVE</x:v>
      </x:c>
      <x:c r="B19" s="46" t="str">
        <x:v>بحاجة مراجعة</x:v>
      </x:c>
      <x:c r="C19" s="46" t="str">
        <x:v>large_juice</x:v>
      </x:c>
      <x:c r="D19" s="46" t="str">
        <x:f>IFERROR(VLOOKUP(C19,'المنتجات'!$C$2:$D$500,2,FALSE),"")</x:f>
        <x:v>عصير كبير</x:v>
      </x:c>
      <x:c r="E19" s="46" t="str">
        <x:v>DRK-JUICE-FIORI-1L</x:v>
      </x:c>
      <x:c r="F19" s="46" t="str">
        <x:f>IFERROR(VLOOKUP(E19,'مواد المخزون'!$C$2:$J$500,2,FALSE),"")</x:f>
        <x:v>عصير فيوري 1 لتر</x:v>
      </x:c>
      <x:c r="G19" s="104" t="n">
        <x:v>400</x:v>
      </x:c>
      <x:c r="H19" s="46" t="str">
        <x:v>مل</x:v>
      </x:c>
      <x:c r="I19" s="46" t="str">
        <x:f>IFERROR(VLOOKUP(E19,'مواد المخزون'!$C$2:$J$500,5,FALSE),"")</x:f>
        <x:v>لتر</x:v>
      </x:c>
      <x:c r="J19" s="104" t="n">
        <x:f>IF(OR(G19="",H19="",I19=""),"",IF(H19=I19,G19,IF(AND(H19="غ",I19="كغ"),G19/1000,IF(AND(H19="كغ",I19="غ"),G19*1000,IF(AND(H19="مل",I19="لتر"),G19/1000,IF(AND(H19="لتر",I19="مل"),G19*1000,""))))))</x:f>
        <x:v>0.4</x:v>
      </x:c>
      <x:c r="K19" s="108" t="n">
        <x:v>0</x:v>
      </x:c>
      <x:c r="L19" s="46" t="str">
        <x:v>لا</x:v>
      </x:c>
      <x:c r="M19" s="100" t="n">
        <x:f>IFERROR(VLOOKUP(E19,'مواد المخزون'!$C$2:$J$500,8,FALSE),"")</x:f>
        <x:v>15000</x:v>
      </x:c>
      <x:c r="N19" s="100" t="n">
        <x:f>IF(OR(J19="",M19=""),"",J19*M19*(1+K19/100))</x:f>
        <x:v>6000</x:v>
      </x:c>
      <x:c r="O19" s="46" t="str">
        <x:v>تقدير كاسة كبيرة 400مل.</x:v>
      </x:c>
      <x:c r="P19" s="46" t="str">
        <x:f>IF(A19="SKIP","متجاوز",IF(C19="","مفتاح منتج ناقص",IF(D19="","منتج غير موجود",IF(E19="","كود مخزون ناقص",IF(F19="","مادة غير موجودة",IF(J19="","خطأ وحدة",IF(G19&lt;=0,"كمية غير صالحة","صالح")))))))</x:f>
        <x:v>صالح</x:v>
      </x:c>
    </x:row>
    <x:row r="20">
      <x:c r="A20" s="46" t="str">
        <x:v>UPSERT_INACTIVE</x:v>
      </x:c>
      <x:c r="B20" s="46" t="str">
        <x:v>بحاجة مراجعة</x:v>
      </x:c>
      <x:c r="C20" s="46" t="str">
        <x:v>cold_yogurt_drink</x:v>
      </x:c>
      <x:c r="D20" s="46" t="str">
        <x:f>IFERROR(VLOOKUP(C20,'المنتجات'!$C$2:$D$500,2,FALSE),"")</x:f>
        <x:v>شنينة / لبن بارد</x:v>
      </x:c>
      <x:c r="E20" s="46" t="str">
        <x:v>DRK-AYRAN-READY</x:v>
      </x:c>
      <x:c r="F20" s="46" t="str">
        <x:f>IFERROR(VLOOKUP(E20,'مواد المخزون'!$C$2:$J$500,2,FALSE),"")</x:f>
        <x:v>شنينة جاهزة</x:v>
      </x:c>
      <x:c r="G20" s="104" t="n">
        <x:v>300</x:v>
      </x:c>
      <x:c r="H20" s="46" t="str">
        <x:v>مل</x:v>
      </x:c>
      <x:c r="I20" s="46" t="str">
        <x:f>IFERROR(VLOOKUP(E20,'مواد المخزون'!$C$2:$J$500,5,FALSE),"")</x:f>
        <x:v>لتر</x:v>
      </x:c>
      <x:c r="J20" s="104" t="n">
        <x:f>IF(OR(G20="",H20="",I20=""),"",IF(H20=I20,G20,IF(AND(H20="غ",I20="كغ"),G20/1000,IF(AND(H20="كغ",I20="غ"),G20*1000,IF(AND(H20="مل",I20="لتر"),G20/1000,IF(AND(H20="لتر",I20="مل"),G20*1000,""))))))</x:f>
        <x:v>0.3</x:v>
      </x:c>
      <x:c r="K20" s="108" t="n">
        <x:v>0</x:v>
      </x:c>
      <x:c r="L20" s="46" t="str">
        <x:v>لا</x:v>
      </x:c>
      <x:c r="M20" s="100" t="str">
        <x:f>IFERROR(VLOOKUP(E20,'مواد المخزون'!$C$2:$J$500,8,FALSE),"")</x:f>
      </x:c>
      <x:c r="N20" s="100" t="str">
        <x:f>IF(OR(J20="",M20=""),"",J20*M20*(1+K20/100))</x:f>
      </x:c>
      <x:c r="O20" s="46" t="str">
        <x:v>على أساس شنينة جاهزة.</x:v>
      </x:c>
      <x:c r="P20" s="46" t="str">
        <x:f>IF(A20="SKIP","متجاوز",IF(C20="","مفتاح منتج ناقص",IF(D20="","منتج غير موجود",IF(E20="","كود مخزون ناقص",IF(F20="","مادة غير موجودة",IF(J20="","خطأ وحدة",IF(G20&lt;=0,"كمية غير صالحة","صالح")))))))</x:f>
        <x:v>صالح</x:v>
      </x:c>
    </x:row>
    <x:row r="21">
      <x:c r="A21" s="46" t="str">
        <x:v>UPSERT_INACTIVE</x:v>
      </x:c>
      <x:c r="B21" s="46" t="str">
        <x:v>بحاجة مراجعة</x:v>
      </x:c>
      <x:c r="C21" s="46" t="str">
        <x:v>dibs_lemon</x:v>
      </x:c>
      <x:c r="D21" s="46" t="str">
        <x:f>IFERROR(VLOOKUP(C21,'المنتجات'!$C$2:$D$500,2,FALSE),"")</x:f>
        <x:v>دبس وليمون</x:v>
      </x:c>
      <x:c r="E21" s="46" t="str">
        <x:v>ING-SWEET-GRAPEMOLASSES</x:v>
      </x:c>
      <x:c r="F21" s="46" t="str">
        <x:f>IFERROR(VLOOKUP(E21,'مواد المخزون'!$C$2:$J$500,2,FALSE),"")</x:f>
        <x:v>دبس عنب</x:v>
      </x:c>
      <x:c r="G21" s="104" t="n">
        <x:v>30</x:v>
      </x:c>
      <x:c r="H21" s="46" t="str">
        <x:v>غ</x:v>
      </x:c>
      <x:c r="I21" s="46" t="str">
        <x:f>IFERROR(VLOOKUP(E21,'مواد المخزون'!$C$2:$J$500,5,FALSE),"")</x:f>
        <x:v>كغ</x:v>
      </x:c>
      <x:c r="J21" s="104" t="n">
        <x:f>IF(OR(G21="",H21="",I21=""),"",IF(H21=I21,G21,IF(AND(H21="غ",I21="كغ"),G21/1000,IF(AND(H21="كغ",I21="غ"),G21*1000,IF(AND(H21="مل",I21="لتر"),G21/1000,IF(AND(H21="لتر",I21="مل"),G21*1000,""))))))</x:f>
        <x:v>0.03</x:v>
      </x:c>
      <x:c r="K21" s="108" t="n">
        <x:v>0</x:v>
      </x:c>
      <x:c r="L21" s="46" t="str">
        <x:v>لا</x:v>
      </x:c>
      <x:c r="M21" s="100" t="str">
        <x:f>IFERROR(VLOOKUP(E21,'مواد المخزون'!$C$2:$J$500,8,FALSE),"")</x:f>
      </x:c>
      <x:c r="N21" s="100" t="str">
        <x:f>IF(OR(J21="",M21=""),"",J21*M21*(1+K21/100))</x:f>
      </x:c>
      <x:c r="O21" s="46" t="str">
        <x:v>تقدير 30غ دبس عنب.</x:v>
      </x:c>
      <x:c r="P21" s="46" t="str">
        <x:f>IF(A21="SKIP","متجاوز",IF(C21="","مفتاح منتج ناقص",IF(D21="","منتج غير موجود",IF(E21="","كود مخزون ناقص",IF(F21="","مادة غير موجودة",IF(J21="","خطأ وحدة",IF(G21&lt;=0,"كمية غير صالحة","صالح")))))))</x:f>
        <x:v>صالح</x:v>
      </x:c>
    </x:row>
    <x:row r="22">
      <x:c r="A22" s="46" t="str">
        <x:v>UPSERT_INACTIVE</x:v>
      </x:c>
      <x:c r="B22" s="46" t="str">
        <x:v>بحاجة مراجعة</x:v>
      </x:c>
      <x:c r="C22" s="46" t="str">
        <x:v>dibs_lemon</x:v>
      </x:c>
      <x:c r="D22" s="46" t="str">
        <x:f>IFERROR(VLOOKUP(C22,'المنتجات'!$C$2:$D$500,2,FALSE),"")</x:f>
        <x:v>دبس وليمون</x:v>
      </x:c>
      <x:c r="E22" s="46" t="str">
        <x:v>ING-FRT-LEMON</x:v>
      </x:c>
      <x:c r="F22" s="46" t="str">
        <x:f>IFERROR(VLOOKUP(E22,'مواد المخزون'!$C$2:$J$500,2,FALSE),"")</x:f>
        <x:v>ليمون</x:v>
      </x:c>
      <x:c r="G22" s="104" t="n">
        <x:v>35</x:v>
      </x:c>
      <x:c r="H22" s="46" t="str">
        <x:v>غ</x:v>
      </x:c>
      <x:c r="I22" s="46" t="str">
        <x:f>IFERROR(VLOOKUP(E22,'مواد المخزون'!$C$2:$J$500,5,FALSE),"")</x:f>
        <x:v>كغ</x:v>
      </x:c>
      <x:c r="J22" s="104" t="n">
        <x:f>IF(OR(G22="",H22="",I22=""),"",IF(H22=I22,G22,IF(AND(H22="غ",I22="كغ"),G22/1000,IF(AND(H22="كغ",I22="غ"),G22*1000,IF(AND(H22="مل",I22="لتر"),G22/1000,IF(AND(H22="لتر",I22="مل"),G22*1000,""))))))</x:f>
        <x:v>0.035</x:v>
      </x:c>
      <x:c r="K22" s="108" t="n">
        <x:v>0</x:v>
      </x:c>
      <x:c r="L22" s="46" t="str">
        <x:v>لا</x:v>
      </x:c>
      <x:c r="M22" s="100" t="n">
        <x:f>IFERROR(VLOOKUP(E22,'مواد المخزون'!$C$2:$J$500,8,FALSE),"")</x:f>
        <x:v>30000</x:v>
      </x:c>
      <x:c r="N22" s="100" t="n">
        <x:f>IF(OR(J22="",M22=""),"",J22*M22*(1+K22/100))</x:f>
        <x:v>1050</x:v>
      </x:c>
      <x:c r="O22" s="46" t="str">
        <x:v>تقدير 35غ ليمون.</x:v>
      </x:c>
      <x:c r="P22" s="46" t="str">
        <x:f>IF(A22="SKIP","متجاوز",IF(C22="","مفتاح منتج ناقص",IF(D22="","منتج غير موجود",IF(E22="","كود مخزون ناقص",IF(F22="","مادة غير موجودة",IF(J22="","خطأ وحدة",IF(G22&lt;=0,"كمية غير صالحة","صالح")))))))</x:f>
        <x:v>صالح</x:v>
      </x:c>
    </x:row>
    <x:row r="23">
      <x:c r="A23" s="46" t="str">
        <x:v>UPSERT_INACTIVE</x:v>
      </x:c>
      <x:c r="B23" s="46" t="str">
        <x:v>بحاجة مراجعة</x:v>
      </x:c>
      <x:c r="C23" s="46" t="str">
        <x:v>karma_jallab</x:v>
      </x:c>
      <x:c r="D23" s="46" t="str">
        <x:f>IFERROR(VLOOKUP(C23,'المنتجات'!$C$2:$D$500,2,FALSE),"")</x:f>
        <x:v>جلاب الكرمة</x:v>
      </x:c>
      <x:c r="E23" s="46" t="str">
        <x:v>DRK-LOCAL-JALLAB</x:v>
      </x:c>
      <x:c r="F23" s="46" t="str">
        <x:f>IFERROR(VLOOKUP(E23,'مواد المخزون'!$C$2:$J$500,2,FALSE),"")</x:f>
        <x:v>جلاب مركز</x:v>
      </x:c>
      <x:c r="G23" s="104" t="n">
        <x:v>40</x:v>
      </x:c>
      <x:c r="H23" s="46" t="str">
        <x:v>مل</x:v>
      </x:c>
      <x:c r="I23" s="46" t="str">
        <x:f>IFERROR(VLOOKUP(E23,'مواد المخزون'!$C$2:$J$500,5,FALSE),"")</x:f>
        <x:v>لتر</x:v>
      </x:c>
      <x:c r="J23" s="104" t="n">
        <x:f>IF(OR(G23="",H23="",I23=""),"",IF(H23=I23,G23,IF(AND(H23="غ",I23="كغ"),G23/1000,IF(AND(H23="كغ",I23="غ"),G23*1000,IF(AND(H23="مل",I23="لتر"),G23/1000,IF(AND(H23="لتر",I23="مل"),G23*1000,""))))))</x:f>
        <x:v>0.04</x:v>
      </x:c>
      <x:c r="K23" s="108" t="n">
        <x:v>0</x:v>
      </x:c>
      <x:c r="L23" s="46" t="str">
        <x:v>لا</x:v>
      </x:c>
      <x:c r="M23" s="100" t="str">
        <x:f>IFERROR(VLOOKUP(E23,'مواد المخزون'!$C$2:$J$500,8,FALSE),"")</x:f>
      </x:c>
      <x:c r="N23" s="100" t="str">
        <x:f>IF(OR(J23="",M23=""),"",J23*M23*(1+K23/100))</x:f>
      </x:c>
      <x:c r="O23" s="46" t="str">
        <x:v>تقدير 40مل مركز؛ المكسرات خيار ولا تدخل بالوصفة الأساسية.</x:v>
      </x:c>
      <x:c r="P23" s="46" t="str">
        <x:f>IF(A23="SKIP","متجاوز",IF(C23="","مفتاح منتج ناقص",IF(D23="","منتج غير موجود",IF(E23="","كود مخزون ناقص",IF(F23="","مادة غير موجودة",IF(J23="","خطأ وحدة",IF(G23&lt;=0,"كمية غير صالحة","صالح")))))))</x:f>
        <x:v>صالح</x:v>
      </x:c>
    </x:row>
    <x:row r="24">
      <x:c r="A24" s="46" t="str">
        <x:v>UPSERT_INACTIVE</x:v>
      </x:c>
      <x:c r="B24" s="46" t="str">
        <x:v>بحاجة مراجعة</x:v>
      </x:c>
      <x:c r="C24" s="46" t="str">
        <x:v>iced_matcha_latte</x:v>
      </x:c>
      <x:c r="D24" s="46" t="str">
        <x:f>IFERROR(VLOOKUP(C24,'المنتجات'!$C$2:$D$500,2,FALSE),"")</x:f>
        <x:v>آيس ماتشا لاتيه</x:v>
      </x:c>
      <x:c r="E24" s="46" t="str">
        <x:v>DRK-MATCHA-PORTION</x:v>
      </x:c>
      <x:c r="F24" s="46" t="str">
        <x:f>IFERROR(VLOOKUP(E24,'مواد المخزون'!$C$2:$J$500,2,FALSE),"")</x:f>
        <x:v>ماتشا – حصة</x:v>
      </x:c>
      <x:c r="G24" s="104" t="n">
        <x:v>1</x:v>
      </x:c>
      <x:c r="H24" s="46" t="str">
        <x:v>حصة</x:v>
      </x:c>
      <x:c r="I24" s="46" t="str">
        <x:f>IFERROR(VLOOKUP(E24,'مواد المخزون'!$C$2:$J$500,5,FALSE),"")</x:f>
        <x:v>حصة</x:v>
      </x:c>
      <x:c r="J24" s="104" t="n">
        <x:f>IF(OR(G24="",H24="",I24=""),"",IF(H24=I24,G24,IF(AND(H24="غ",I24="كغ"),G24/1000,IF(AND(H24="كغ",I24="غ"),G24*1000,IF(AND(H24="مل",I24="لتر"),G24/1000,IF(AND(H24="لتر",I24="مل"),G24*1000,""))))))</x:f>
        <x:v>1</x:v>
      </x:c>
      <x:c r="K24" s="108" t="n">
        <x:v>0</x:v>
      </x:c>
      <x:c r="L24" s="46" t="str">
        <x:v>لا</x:v>
      </x:c>
      <x:c r="M24" s="100" t="n">
        <x:f>IFERROR(VLOOKUP(E24,'مواد المخزون'!$C$2:$J$500,8,FALSE),"")</x:f>
        <x:v>4450</x:v>
      </x:c>
      <x:c r="N24" s="100" t="n">
        <x:f>IF(OR(J24="",M24=""),"",J24*M24*(1+K24/100))</x:f>
        <x:v>4450</x:v>
      </x:c>
      <x:c r="O24" s="46" t="str"/>
      <x:c r="P24" s="46" t="str">
        <x:f>IF(A24="SKIP","متجاوز",IF(C24="","مفتاح منتج ناقص",IF(D24="","منتج غير موجود",IF(E24="","كود مخزون ناقص",IF(F24="","مادة غير موجودة",IF(J24="","خطأ وحدة",IF(G24&lt;=0,"كمية غير صالحة","صالح")))))))</x:f>
        <x:v>صالح</x:v>
      </x:c>
    </x:row>
    <x:row r="25">
      <x:c r="A25" s="46" t="str">
        <x:v>UPSERT_INACTIVE</x:v>
      </x:c>
      <x:c r="B25" s="46" t="str">
        <x:v>بحاجة مراجعة</x:v>
      </x:c>
      <x:c r="C25" s="46" t="str">
        <x:v>iced_matcha_latte</x:v>
      </x:c>
      <x:c r="D25" s="46" t="str">
        <x:f>IFERROR(VLOOKUP(C25,'المنتجات'!$C$2:$D$500,2,FALSE),"")</x:f>
        <x:v>آيس ماتشا لاتيه</x:v>
      </x:c>
      <x:c r="E25" s="46" t="str">
        <x:v>ING-DAIRY-MILK</x:v>
      </x:c>
      <x:c r="F25" s="46" t="str">
        <x:f>IFERROR(VLOOKUP(E25,'مواد المخزون'!$C$2:$J$500,2,FALSE),"")</x:f>
        <x:v>حليب</x:v>
      </x:c>
      <x:c r="G25" s="104" t="n">
        <x:v>200</x:v>
      </x:c>
      <x:c r="H25" s="46" t="str">
        <x:v>مل</x:v>
      </x:c>
      <x:c r="I25" s="46" t="str">
        <x:f>IFERROR(VLOOKUP(E25,'مواد المخزون'!$C$2:$J$500,5,FALSE),"")</x:f>
        <x:v>لتر</x:v>
      </x:c>
      <x:c r="J25" s="104" t="n">
        <x:f>IF(OR(G25="",H25="",I25=""),"",IF(H25=I25,G25,IF(AND(H25="غ",I25="كغ"),G25/1000,IF(AND(H25="كغ",I25="غ"),G25*1000,IF(AND(H25="مل",I25="لتر"),G25/1000,IF(AND(H25="لتر",I25="مل"),G25*1000,""))))))</x:f>
        <x:v>0.2</x:v>
      </x:c>
      <x:c r="K25" s="108" t="n">
        <x:v>0</x:v>
      </x:c>
      <x:c r="L25" s="46" t="str">
        <x:v>لا</x:v>
      </x:c>
      <x:c r="M25" s="100" t="n">
        <x:f>IFERROR(VLOOKUP(E25,'مواد المخزون'!$C$2:$J$500,8,FALSE),"")</x:f>
        <x:v>15000</x:v>
      </x:c>
      <x:c r="N25" s="100" t="n">
        <x:f>IF(OR(J25="",M25=""),"",J25*M25*(1+K25/100))</x:f>
        <x:v>3000</x:v>
      </x:c>
      <x:c r="O25" s="46" t="str">
        <x:v>تقدير 200مل حليب.</x:v>
      </x:c>
      <x:c r="P25" s="46" t="str">
        <x:f>IF(A25="SKIP","متجاوز",IF(C25="","مفتاح منتج ناقص",IF(D25="","منتج غير موجود",IF(E25="","كود مخزون ناقص",IF(F25="","مادة غير موجودة",IF(J25="","خطأ وحدة",IF(G25&lt;=0,"كمية غير صالحة","صالح")))))))</x:f>
        <x:v>صالح</x:v>
      </x:c>
    </x:row>
    <x:row r="26">
      <x:c r="A26" s="46" t="str">
        <x:v>UPSERT_INACTIVE</x:v>
      </x:c>
      <x:c r="B26" s="46" t="str">
        <x:v>بحاجة مراجعة</x:v>
      </x:c>
      <x:c r="C26" s="46" t="str">
        <x:v>iced_matcha_latte</x:v>
      </x:c>
      <x:c r="D26" s="46" t="str">
        <x:f>IFERROR(VLOOKUP(C26,'المنتجات'!$C$2:$D$500,2,FALSE),"")</x:f>
        <x:v>آيس ماتشا لاتيه</x:v>
      </x:c>
      <x:c r="E26" s="46" t="str">
        <x:v>DRK-ICE</x:v>
      </x:c>
      <x:c r="F26" s="46" t="str">
        <x:f>IFERROR(VLOOKUP(E26,'مواد المخزون'!$C$2:$J$500,2,FALSE),"")</x:f>
        <x:v>ثلج</x:v>
      </x:c>
      <x:c r="G26" s="104" t="n">
        <x:v>150</x:v>
      </x:c>
      <x:c r="H26" s="46" t="str">
        <x:v>غ</x:v>
      </x:c>
      <x:c r="I26" s="46" t="str">
        <x:f>IFERROR(VLOOKUP(E26,'مواد المخزون'!$C$2:$J$500,5,FALSE),"")</x:f>
        <x:v>كغ</x:v>
      </x:c>
      <x:c r="J26" s="104" t="n">
        <x:f>IF(OR(G26="",H26="",I26=""),"",IF(H26=I26,G26,IF(AND(H26="غ",I26="كغ"),G26/1000,IF(AND(H26="كغ",I26="غ"),G26*1000,IF(AND(H26="مل",I26="لتر"),G26/1000,IF(AND(H26="لتر",I26="مل"),G26*1000,""))))))</x:f>
        <x:v>0.15</x:v>
      </x:c>
      <x:c r="K26" s="108" t="n">
        <x:v>0</x:v>
      </x:c>
      <x:c r="L26" s="46" t="str">
        <x:v>لا</x:v>
      </x:c>
      <x:c r="M26" s="100" t="n">
        <x:f>IFERROR(VLOOKUP(E26,'مواد المخزون'!$C$2:$J$500,8,FALSE),"")</x:f>
        <x:v>4000</x:v>
      </x:c>
      <x:c r="N26" s="100" t="n">
        <x:f>IF(OR(J26="",M26=""),"",J26*M26*(1+K26/100))</x:f>
        <x:v>600</x:v>
      </x:c>
      <x:c r="O26" s="46" t="str">
        <x:v>تقدير 150غ ثلج.</x:v>
      </x:c>
      <x:c r="P26" s="46" t="str">
        <x:f>IF(A26="SKIP","متجاوز",IF(C26="","مفتاح منتج ناقص",IF(D26="","منتج غير موجود",IF(E26="","كود مخزون ناقص",IF(F26="","مادة غير موجودة",IF(J26="","خطأ وحدة",IF(G26&lt;=0,"كمية غير صالحة","صالح")))))))</x:f>
        <x:v>صالح</x:v>
      </x:c>
    </x:row>
    <x:row r="27">
      <x:c r="A27" s="46" t="str">
        <x:v>UPSERT_INACTIVE</x:v>
      </x:c>
      <x:c r="B27" s="46" t="str">
        <x:v>بحاجة مراجعة</x:v>
      </x:c>
      <x:c r="C27" s="46" t="str">
        <x:v>wajib_cup_mate</x:v>
      </x:c>
      <x:c r="D27" s="46" t="str">
        <x:f>IFERROR(VLOOKUP(C27,'المنتجات'!$C$2:$D$500,2,FALSE),"")</x:f>
        <x:v>كاسة الواجب — متّة مشاريب</x:v>
      </x:c>
      <x:c r="E27" s="46" t="str">
        <x:v>DRK-MATE-YERBA</x:v>
      </x:c>
      <x:c r="F27" s="46" t="str">
        <x:f>IFERROR(VLOOKUP(E27,'مواد المخزون'!$C$2:$J$500,2,FALSE),"")</x:f>
        <x:v>متة</x:v>
      </x:c>
      <x:c r="G27" s="104" t="n">
        <x:v>25</x:v>
      </x:c>
      <x:c r="H27" s="46" t="str">
        <x:v>غ</x:v>
      </x:c>
      <x:c r="I27" s="46" t="str">
        <x:f>IFERROR(VLOOKUP(E27,'مواد المخزون'!$C$2:$J$500,5,FALSE),"")</x:f>
        <x:v>كغ</x:v>
      </x:c>
      <x:c r="J27" s="104" t="n">
        <x:f>IF(OR(G27="",H27="",I27=""),"",IF(H27=I27,G27,IF(AND(H27="غ",I27="كغ"),G27/1000,IF(AND(H27="كغ",I27="غ"),G27*1000,IF(AND(H27="مل",I27="لتر"),G27/1000,IF(AND(H27="لتر",I27="مل"),G27*1000,""))))))</x:f>
        <x:v>0.025</x:v>
      </x:c>
      <x:c r="K27" s="108" t="n">
        <x:v>0</x:v>
      </x:c>
      <x:c r="L27" s="46" t="str">
        <x:v>لا</x:v>
      </x:c>
      <x:c r="M27" s="100" t="str">
        <x:f>IFERROR(VLOOKUP(E27,'مواد المخزون'!$C$2:$J$500,8,FALSE),"")</x:f>
      </x:c>
      <x:c r="N27" s="100" t="str">
        <x:f>IF(OR(J27="",M27=""),"",J27*M27*(1+K27/100))</x:f>
      </x:c>
      <x:c r="O27" s="46" t="str">
        <x:v>تقدير 25غ متّة للكاسة.</x:v>
      </x:c>
      <x:c r="P27" s="46" t="str">
        <x:f>IF(A27="SKIP","متجاوز",IF(C27="","مفتاح منتج ناقص",IF(D27="","منتج غير موجود",IF(E27="","كود مخزون ناقص",IF(F27="","مادة غير موجودة",IF(J27="","خطأ وحدة",IF(G27&lt;=0,"كمية غير صالحة","صالح")))))))</x:f>
        <x:v>صالح</x:v>
      </x:c>
    </x:row>
    <x:row r="28">
      <x:c r="A28" s="46" t="str">
        <x:v>UPSERT_INACTIVE</x:v>
      </x:c>
      <x:c r="B28" s="46" t="str">
        <x:v>بحاجة مراجعة</x:v>
      </x:c>
      <x:c r="C28" s="46" t="str">
        <x:v>table_mate</x:v>
      </x:c>
      <x:c r="D28" s="46" t="str">
        <x:f>IFERROR(VLOOKUP(C28,'المنتجات'!$C$2:$D$500,2,FALSE),"")</x:f>
        <x:v>متّة طاولة</x:v>
      </x:c>
      <x:c r="E28" s="46" t="str">
        <x:v>DRK-MATE-YERBA</x:v>
      </x:c>
      <x:c r="F28" s="46" t="str">
        <x:f>IFERROR(VLOOKUP(E28,'مواد المخزون'!$C$2:$J$500,2,FALSE),"")</x:f>
        <x:v>متة</x:v>
      </x:c>
      <x:c r="G28" s="104" t="n">
        <x:v>50</x:v>
      </x:c>
      <x:c r="H28" s="46" t="str">
        <x:v>غ</x:v>
      </x:c>
      <x:c r="I28" s="46" t="str">
        <x:f>IFERROR(VLOOKUP(E28,'مواد المخزون'!$C$2:$J$500,5,FALSE),"")</x:f>
        <x:v>كغ</x:v>
      </x:c>
      <x:c r="J28" s="104" t="n">
        <x:f>IF(OR(G28="",H28="",I28=""),"",IF(H28=I28,G28,IF(AND(H28="غ",I28="كغ"),G28/1000,IF(AND(H28="كغ",I28="غ"),G28*1000,IF(AND(H28="مل",I28="لتر"),G28/1000,IF(AND(H28="لتر",I28="مل"),G28*1000,""))))))</x:f>
        <x:v>0.05</x:v>
      </x:c>
      <x:c r="K28" s="108" t="n">
        <x:v>0</x:v>
      </x:c>
      <x:c r="L28" s="46" t="str">
        <x:v>لا</x:v>
      </x:c>
      <x:c r="M28" s="100" t="str">
        <x:f>IFERROR(VLOOKUP(E28,'مواد المخزون'!$C$2:$J$500,8,FALSE),"")</x:f>
      </x:c>
      <x:c r="N28" s="100" t="str">
        <x:f>IF(OR(J28="",M28=""),"",J28*M28*(1+K28/100))</x:f>
      </x:c>
      <x:c r="O28" s="46" t="str">
        <x:v>تقدير 50غ للطاولة.</x:v>
      </x:c>
      <x:c r="P28" s="46" t="str">
        <x:f>IF(A28="SKIP","متجاوز",IF(C28="","مفتاح منتج ناقص",IF(D28="","منتج غير موجود",IF(E28="","كود مخزون ناقص",IF(F28="","مادة غير موجودة",IF(J28="","خطأ وحدة",IF(G28&lt;=0,"كمية غير صالحة","صالح")))))))</x:f>
        <x:v>صالح</x:v>
      </x:c>
    </x:row>
    <x:row r="29">
      <x:c r="A29" s="46" t="str">
        <x:v>UPSERT_INACTIVE</x:v>
      </x:c>
      <x:c r="B29" s="46" t="str">
        <x:v>بحاجة مراجعة</x:v>
      </x:c>
      <x:c r="C29" s="46" t="str">
        <x:v>basalt_zhourat</x:v>
      </x:c>
      <x:c r="D29" s="46" t="str">
        <x:f>IFERROR(VLOOKUP(C29,'المنتجات'!$C$2:$D$500,2,FALSE),"")</x:f>
        <x:v>زهرات البازلت</x:v>
      </x:c>
      <x:c r="E29" s="46" t="str">
        <x:v>DRK-HERBAL-ZHOURAT</x:v>
      </x:c>
      <x:c r="F29" s="46" t="str">
        <x:f>IFERROR(VLOOKUP(E29,'مواد المخزون'!$C$2:$J$500,2,FALSE),"")</x:f>
        <x:v>زهورات مشكلة</x:v>
      </x:c>
      <x:c r="G29" s="104" t="n">
        <x:v>5</x:v>
      </x:c>
      <x:c r="H29" s="46" t="str">
        <x:v>غ</x:v>
      </x:c>
      <x:c r="I29" s="46" t="str">
        <x:f>IFERROR(VLOOKUP(E29,'مواد المخزون'!$C$2:$J$500,5,FALSE),"")</x:f>
        <x:v>كغ</x:v>
      </x:c>
      <x:c r="J29" s="104" t="n">
        <x:f>IF(OR(G29="",H29="",I29=""),"",IF(H29=I29,G29,IF(AND(H29="غ",I29="كغ"),G29/1000,IF(AND(H29="كغ",I29="غ"),G29*1000,IF(AND(H29="مل",I29="لتر"),G29/1000,IF(AND(H29="لتر",I29="مل"),G29*1000,""))))))</x:f>
        <x:v>0.005</x:v>
      </x:c>
      <x:c r="K29" s="108" t="n">
        <x:v>0</x:v>
      </x:c>
      <x:c r="L29" s="46" t="str">
        <x:v>لا</x:v>
      </x:c>
      <x:c r="M29" s="100" t="str">
        <x:f>IFERROR(VLOOKUP(E29,'مواد المخزون'!$C$2:$J$500,8,FALSE),"")</x:f>
      </x:c>
      <x:c r="N29" s="100" t="str">
        <x:f>IF(OR(J29="",M29=""),"",J29*M29*(1+K29/100))</x:f>
      </x:c>
      <x:c r="O29" s="46" t="str">
        <x:v>تقدير 5غ.</x:v>
      </x:c>
      <x:c r="P29" s="46" t="str">
        <x:f>IF(A29="SKIP","متجاوز",IF(C29="","مفتاح منتج ناقص",IF(D29="","منتج غير موجود",IF(E29="","كود مخزون ناقص",IF(F29="","مادة غير موجودة",IF(J29="","خطأ وحدة",IF(G29&lt;=0,"كمية غير صالحة","صالح")))))))</x:f>
        <x:v>صالح</x:v>
      </x:c>
    </x:row>
    <x:row r="30">
      <x:c r="A30" s="46" t="str">
        <x:v>UPSERT_INACTIVE</x:v>
      </x:c>
      <x:c r="B30" s="46" t="str">
        <x:v>بحاجة مراجعة</x:v>
      </x:c>
      <x:c r="C30" s="46" t="str">
        <x:v>apple_sage_tea</x:v>
      </x:c>
      <x:c r="D30" s="46" t="str">
        <x:f>IFERROR(VLOOKUP(C30,'المنتجات'!$C$2:$D$500,2,FALSE),"")</x:f>
        <x:v>شاي تفاح وميرمية</x:v>
      </x:c>
      <x:c r="E30" s="46" t="str">
        <x:v>DRK-TEA-AHMAD-BAG</x:v>
      </x:c>
      <x:c r="F30" s="46" t="str">
        <x:f>IFERROR(VLOOKUP(E30,'مواد المخزون'!$C$2:$J$500,2,FALSE),"")</x:f>
        <x:v>شاي أحمد عادي – ظرف</x:v>
      </x:c>
      <x:c r="G30" s="104" t="n">
        <x:v>1</x:v>
      </x:c>
      <x:c r="H30" s="46" t="str">
        <x:v>حصة</x:v>
      </x:c>
      <x:c r="I30" s="46" t="str">
        <x:f>IFERROR(VLOOKUP(E30,'مواد المخزون'!$C$2:$J$500,5,FALSE),"")</x:f>
        <x:v>حصة</x:v>
      </x:c>
      <x:c r="J30" s="104" t="n">
        <x:f>IF(OR(G30="",H30="",I30=""),"",IF(H30=I30,G30,IF(AND(H30="غ",I30="كغ"),G30/1000,IF(AND(H30="كغ",I30="غ"),G30*1000,IF(AND(H30="مل",I30="لتر"),G30/1000,IF(AND(H30="لتر",I30="مل"),G30*1000,""))))))</x:f>
        <x:v>1</x:v>
      </x:c>
      <x:c r="K30" s="108" t="n">
        <x:v>0</x:v>
      </x:c>
      <x:c r="L30" s="46" t="str">
        <x:v>لا</x:v>
      </x:c>
      <x:c r="M30" s="100" t="n">
        <x:f>IFERROR(VLOOKUP(E30,'مواد المخزون'!$C$2:$J$500,8,FALSE),"")</x:f>
        <x:v>420</x:v>
      </x:c>
      <x:c r="N30" s="100" t="n">
        <x:f>IF(OR(J30="",M30=""),"",J30*M30*(1+K30/100))</x:f>
        <x:v>420</x:v>
      </x:c>
      <x:c r="O30" s="46" t="str"/>
      <x:c r="P30" s="46" t="str">
        <x:f>IF(A30="SKIP","متجاوز",IF(C30="","مفتاح منتج ناقص",IF(D30="","منتج غير موجود",IF(E30="","كود مخزون ناقص",IF(F30="","مادة غير موجودة",IF(J30="","خطأ وحدة",IF(G30&lt;=0,"كمية غير صالحة","صالح")))))))</x:f>
        <x:v>صالح</x:v>
      </x:c>
    </x:row>
    <x:row r="31">
      <x:c r="A31" s="46" t="str">
        <x:v>UPSERT_INACTIVE</x:v>
      </x:c>
      <x:c r="B31" s="46" t="str">
        <x:v>بحاجة مراجعة</x:v>
      </x:c>
      <x:c r="C31" s="46" t="str">
        <x:v>apple_sage_tea</x:v>
      </x:c>
      <x:c r="D31" s="46" t="str">
        <x:f>IFERROR(VLOOKUP(C31,'المنتجات'!$C$2:$D$500,2,FALSE),"")</x:f>
        <x:v>شاي تفاح وميرمية</x:v>
      </x:c>
      <x:c r="E31" s="46" t="str">
        <x:v>ING-FRT-APPLE</x:v>
      </x:c>
      <x:c r="F31" s="46" t="str">
        <x:f>IFERROR(VLOOKUP(E31,'مواد المخزون'!$C$2:$J$500,2,FALSE),"")</x:f>
        <x:v>تفاح</x:v>
      </x:c>
      <x:c r="G31" s="104" t="n">
        <x:v>50</x:v>
      </x:c>
      <x:c r="H31" s="46" t="str">
        <x:v>غ</x:v>
      </x:c>
      <x:c r="I31" s="46" t="str">
        <x:f>IFERROR(VLOOKUP(E31,'مواد المخزون'!$C$2:$J$500,5,FALSE),"")</x:f>
        <x:v>كغ</x:v>
      </x:c>
      <x:c r="J31" s="104" t="n">
        <x:f>IF(OR(G31="",H31="",I31=""),"",IF(H31=I31,G31,IF(AND(H31="غ",I31="كغ"),G31/1000,IF(AND(H31="كغ",I31="غ"),G31*1000,IF(AND(H31="مل",I31="لتر"),G31/1000,IF(AND(H31="لتر",I31="مل"),G31*1000,""))))))</x:f>
        <x:v>0.05</x:v>
      </x:c>
      <x:c r="K31" s="108" t="n">
        <x:v>0</x:v>
      </x:c>
      <x:c r="L31" s="46" t="str">
        <x:v>لا</x:v>
      </x:c>
      <x:c r="M31" s="100" t="str">
        <x:f>IFERROR(VLOOKUP(E31,'مواد المخزون'!$C$2:$J$500,8,FALSE),"")</x:f>
      </x:c>
      <x:c r="N31" s="100" t="str">
        <x:f>IF(OR(J31="",M31=""),"",J31*M31*(1+K31/100))</x:f>
      </x:c>
      <x:c r="O31" s="46" t="str">
        <x:v>تقدير 50غ تفاح.</x:v>
      </x:c>
      <x:c r="P31" s="46" t="str">
        <x:f>IF(A31="SKIP","متجاوز",IF(C31="","مفتاح منتج ناقص",IF(D31="","منتج غير موجود",IF(E31="","كود مخزون ناقص",IF(F31="","مادة غير موجودة",IF(J31="","خطأ وحدة",IF(G31&lt;=0,"كمية غير صالحة","صالح")))))))</x:f>
        <x:v>صالح</x:v>
      </x:c>
    </x:row>
    <x:row r="32">
      <x:c r="A32" s="46" t="str">
        <x:v>UPSERT_INACTIVE</x:v>
      </x:c>
      <x:c r="B32" s="46" t="str">
        <x:v>بحاجة مراجعة</x:v>
      </x:c>
      <x:c r="C32" s="46" t="str">
        <x:v>apple_sage_tea</x:v>
      </x:c>
      <x:c r="D32" s="46" t="str">
        <x:f>IFERROR(VLOOKUP(C32,'المنتجات'!$C$2:$D$500,2,FALSE),"")</x:f>
        <x:v>شاي تفاح وميرمية</x:v>
      </x:c>
      <x:c r="E32" s="46" t="str">
        <x:v>ING-HERB-SAGE</x:v>
      </x:c>
      <x:c r="F32" s="46" t="str">
        <x:f>IFERROR(VLOOKUP(E32,'مواد المخزون'!$C$2:$J$500,2,FALSE),"")</x:f>
        <x:v>ميرمية مجففة</x:v>
      </x:c>
      <x:c r="G32" s="104" t="n">
        <x:v>2</x:v>
      </x:c>
      <x:c r="H32" s="46" t="str">
        <x:v>غ</x:v>
      </x:c>
      <x:c r="I32" s="46" t="str">
        <x:f>IFERROR(VLOOKUP(E32,'مواد المخزون'!$C$2:$J$500,5,FALSE),"")</x:f>
        <x:v>كغ</x:v>
      </x:c>
      <x:c r="J32" s="104" t="n">
        <x:f>IF(OR(G32="",H32="",I32=""),"",IF(H32=I32,G32,IF(AND(H32="غ",I32="كغ"),G32/1000,IF(AND(H32="كغ",I32="غ"),G32*1000,IF(AND(H32="مل",I32="لتر"),G32/1000,IF(AND(H32="لتر",I32="مل"),G32*1000,""))))))</x:f>
        <x:v>0.002</x:v>
      </x:c>
      <x:c r="K32" s="108" t="n">
        <x:v>0</x:v>
      </x:c>
      <x:c r="L32" s="46" t="str">
        <x:v>لا</x:v>
      </x:c>
      <x:c r="M32" s="100" t="str">
        <x:f>IFERROR(VLOOKUP(E32,'مواد المخزون'!$C$2:$J$500,8,FALSE),"")</x:f>
      </x:c>
      <x:c r="N32" s="100" t="str">
        <x:f>IF(OR(J32="",M32=""),"",J32*M32*(1+K32/100))</x:f>
      </x:c>
      <x:c r="O32" s="46" t="str">
        <x:v>تقدير 2غ ميرمية.</x:v>
      </x:c>
      <x:c r="P32" s="46" t="str">
        <x:f>IF(A32="SKIP","متجاوز",IF(C32="","مفتاح منتج ناقص",IF(D32="","منتج غير موجود",IF(E32="","كود مخزون ناقص",IF(F32="","مادة غير موجودة",IF(J32="","خطأ وحدة",IF(G32&lt;=0,"كمية غير صالحة","صالح")))))))</x:f>
        <x:v>صالح</x:v>
      </x:c>
    </x:row>
    <x:row r="33">
      <x:c r="A33" s="46" t="str">
        <x:v>UPSERT_INACTIVE</x:v>
      </x:c>
      <x:c r="B33" s="46" t="str">
        <x:v>بحاجة مراجعة</x:v>
      </x:c>
      <x:c r="C33" s="46" t="str">
        <x:v>rayan_arak_glass</x:v>
      </x:c>
      <x:c r="D33" s="46" t="str">
        <x:f>IFERROR(VLOOKUP(C33,'المنتجات'!$C$2:$D$500,2,FALSE),"")</x:f>
        <x:v>عرق الريان - كأس</x:v>
      </x:c>
      <x:c r="E33" s="46" t="str">
        <x:v>DRK-ALC-ARAK-RAYAN</x:v>
      </x:c>
      <x:c r="F33" s="46" t="str">
        <x:f>IFERROR(VLOOKUP(E33,'مواد المخزون'!$C$2:$J$500,2,FALSE),"")</x:f>
        <x:v>عرق الريان</x:v>
      </x:c>
      <x:c r="G33" s="104" t="n">
        <x:v>50</x:v>
      </x:c>
      <x:c r="H33" s="46" t="str">
        <x:v>مل</x:v>
      </x:c>
      <x:c r="I33" s="46" t="str">
        <x:f>IFERROR(VLOOKUP(E33,'مواد المخزون'!$C$2:$J$500,5,FALSE),"")</x:f>
        <x:v>لتر</x:v>
      </x:c>
      <x:c r="J33" s="104" t="n">
        <x:f>IF(OR(G33="",H33="",I33=""),"",IF(H33=I33,G33,IF(AND(H33="غ",I33="كغ"),G33/1000,IF(AND(H33="كغ",I33="غ"),G33*1000,IF(AND(H33="مل",I33="لتر"),G33/1000,IF(AND(H33="لتر",I33="مل"),G33*1000,""))))))</x:f>
        <x:v>0.05</x:v>
      </x:c>
      <x:c r="K33" s="108" t="n">
        <x:v>0</x:v>
      </x:c>
      <x:c r="L33" s="46" t="str">
        <x:v>لا</x:v>
      </x:c>
      <x:c r="M33" s="100" t="n">
        <x:f>IFERROR(VLOOKUP(E33,'مواد المخزون'!$C$2:$J$500,8,FALSE),"")</x:f>
        <x:v>52000</x:v>
      </x:c>
      <x:c r="N33" s="100" t="n">
        <x:f>IF(OR(J33="",M33=""),"",J33*M33*(1+K33/100))</x:f>
        <x:v>2600</x:v>
      </x:c>
      <x:c r="O33" s="46" t="str">
        <x:v>راجع حجم الكأس الفعلي.</x:v>
      </x:c>
      <x:c r="P33" s="46" t="str">
        <x:f>IF(A33="SKIP","متجاوز",IF(C33="","مفتاح منتج ناقص",IF(D33="","منتج غير موجود",IF(E33="","كود مخزون ناقص",IF(F33="","مادة غير موجودة",IF(J33="","خطأ وحدة",IF(G33&lt;=0,"كمية غير صالحة","صالح")))))))</x:f>
        <x:v>صالح</x:v>
      </x:c>
    </x:row>
    <x:row r="34">
      <x:c r="A34" s="46" t="str">
        <x:v>UPSERT_INACTIVE</x:v>
      </x:c>
      <x:c r="B34" s="46" t="str">
        <x:v>بحاجة مراجعة</x:v>
      </x:c>
      <x:c r="C34" s="46" t="str">
        <x:v>rayan_arak_small_carafe</x:v>
      </x:c>
      <x:c r="D34" s="46" t="str">
        <x:f>IFERROR(VLOOKUP(C34,'المنتجات'!$C$2:$D$500,2,FALSE),"")</x:f>
        <x:v>عرق الريان — كاراف صغير</x:v>
      </x:c>
      <x:c r="E34" s="46" t="str">
        <x:v>DRK-ALC-ARAK-RAYAN</x:v>
      </x:c>
      <x:c r="F34" s="46" t="str">
        <x:f>IFERROR(VLOOKUP(E34,'مواد المخزون'!$C$2:$J$500,2,FALSE),"")</x:f>
        <x:v>عرق الريان</x:v>
      </x:c>
      <x:c r="G34" s="104" t="n">
        <x:v>250</x:v>
      </x:c>
      <x:c r="H34" s="46" t="str">
        <x:v>مل</x:v>
      </x:c>
      <x:c r="I34" s="46" t="str">
        <x:f>IFERROR(VLOOKUP(E34,'مواد المخزون'!$C$2:$J$500,5,FALSE),"")</x:f>
        <x:v>لتر</x:v>
      </x:c>
      <x:c r="J34" s="104" t="n">
        <x:f>IF(OR(G34="",H34="",I34=""),"",IF(H34=I34,G34,IF(AND(H34="غ",I34="كغ"),G34/1000,IF(AND(H34="كغ",I34="غ"),G34*1000,IF(AND(H34="مل",I34="لتر"),G34/1000,IF(AND(H34="لتر",I34="مل"),G34*1000,""))))))</x:f>
        <x:v>0.25</x:v>
      </x:c>
      <x:c r="K34" s="108" t="n">
        <x:v>0</x:v>
      </x:c>
      <x:c r="L34" s="46" t="str">
        <x:v>لا</x:v>
      </x:c>
      <x:c r="M34" s="100" t="n">
        <x:f>IFERROR(VLOOKUP(E34,'مواد المخزون'!$C$2:$J$500,8,FALSE),"")</x:f>
        <x:v>52000</x:v>
      </x:c>
      <x:c r="N34" s="100" t="n">
        <x:f>IF(OR(J34="",M34=""),"",J34*M34*(1+K34/100))</x:f>
        <x:v>13000</x:v>
      </x:c>
      <x:c r="O34" s="46" t="str">
        <x:v>راجع حجم الكاراف الفعلي.</x:v>
      </x:c>
      <x:c r="P34" s="46" t="str">
        <x:f>IF(A34="SKIP","متجاوز",IF(C34="","مفتاح منتج ناقص",IF(D34="","منتج غير موجود",IF(E34="","كود مخزون ناقص",IF(F34="","مادة غير موجودة",IF(J34="","خطأ وحدة",IF(G34&lt;=0,"كمية غير صالحة","صالح")))))))</x:f>
        <x:v>صالح</x:v>
      </x:c>
    </x:row>
    <x:row r="35">
      <x:c r="A35" s="46" t="str">
        <x:v>UPSERT_INACTIVE</x:v>
      </x:c>
      <x:c r="B35" s="46" t="str">
        <x:v>بحاجة مراجعة</x:v>
      </x:c>
      <x:c r="C35" s="46" t="str">
        <x:v>rayan_arak_table_liter</x:v>
      </x:c>
      <x:c r="D35" s="46" t="str">
        <x:f>IFERROR(VLOOKUP(C35,'المنتجات'!$C$2:$D$500,2,FALSE),"")</x:f>
        <x:v>عرق الريان — لتر طاولة</x:v>
      </x:c>
      <x:c r="E35" s="46" t="str">
        <x:v>DRK-ALC-ARAK-RAYAN</x:v>
      </x:c>
      <x:c r="F35" s="46" t="str">
        <x:f>IFERROR(VLOOKUP(E35,'مواد المخزون'!$C$2:$J$500,2,FALSE),"")</x:f>
        <x:v>عرق الريان</x:v>
      </x:c>
      <x:c r="G35" s="104" t="n">
        <x:v>1</x:v>
      </x:c>
      <x:c r="H35" s="46" t="str">
        <x:v>لتر</x:v>
      </x:c>
      <x:c r="I35" s="46" t="str">
        <x:f>IFERROR(VLOOKUP(E35,'مواد المخزون'!$C$2:$J$500,5,FALSE),"")</x:f>
        <x:v>لتر</x:v>
      </x:c>
      <x:c r="J35" s="104" t="n">
        <x:f>IF(OR(G35="",H35="",I35=""),"",IF(H35=I35,G35,IF(AND(H35="غ",I35="كغ"),G35/1000,IF(AND(H35="كغ",I35="غ"),G35*1000,IF(AND(H35="مل",I35="لتر"),G35/1000,IF(AND(H35="لتر",I35="مل"),G35*1000,""))))))</x:f>
        <x:v>1</x:v>
      </x:c>
      <x:c r="K35" s="108" t="n">
        <x:v>0</x:v>
      </x:c>
      <x:c r="L35" s="46" t="str">
        <x:v>لا</x:v>
      </x:c>
      <x:c r="M35" s="100" t="n">
        <x:f>IFERROR(VLOOKUP(E35,'مواد المخزون'!$C$2:$J$500,8,FALSE),"")</x:f>
        <x:v>52000</x:v>
      </x:c>
      <x:c r="N35" s="100" t="n">
        <x:f>IF(OR(J35="",M35=""),"",J35*M35*(1+K35/100))</x:f>
        <x:v>52000</x:v>
      </x:c>
      <x:c r="O35" s="46" t="str"/>
      <x:c r="P35" s="46" t="str">
        <x:f>IF(A35="SKIP","متجاوز",IF(C35="","مفتاح منتج ناقص",IF(D35="","منتج غير موجود",IF(E35="","كود مخزون ناقص",IF(F35="","مادة غير موجودة",IF(J35="","خطأ وحدة",IF(G35&lt;=0,"كمية غير صالحة","صالح")))))))</x:f>
        <x:v>صالح</x:v>
      </x:c>
    </x:row>
    <x:row r="36">
      <x:c r="A36" s="46" t="str">
        <x:v>UPSERT_INACTIVE</x:v>
      </x:c>
      <x:c r="B36" s="46" t="str">
        <x:v>بحاجة مراجعة</x:v>
      </x:c>
      <x:c r="C36" s="46" t="str">
        <x:v>light_beer</x:v>
      </x:c>
      <x:c r="D36" s="46" t="str">
        <x:f>IFERROR(VLOOKUP(C36,'المنتجات'!$C$2:$D$500,2,FALSE),"")</x:f>
        <x:v>بيرة خفيفة</x:v>
      </x:c>
      <x:c r="E36" s="46" t="str">
        <x:v>DRK-ALC-BEER-LIGHT</x:v>
      </x:c>
      <x:c r="F36" s="46" t="str">
        <x:f>IFERROR(VLOOKUP(E36,'مواد المخزون'!$C$2:$J$500,2,FALSE),"")</x:f>
        <x:v>بيرة خفيفة</x:v>
      </x:c>
      <x:c r="G36" s="104" t="n">
        <x:v>1</x:v>
      </x:c>
      <x:c r="H36" s="46" t="str">
        <x:v>زجاجة</x:v>
      </x:c>
      <x:c r="I36" s="46" t="str">
        <x:f>IFERROR(VLOOKUP(E36,'مواد المخزون'!$C$2:$J$500,5,FALSE),"")</x:f>
        <x:v>زجاجة</x:v>
      </x:c>
      <x:c r="J36" s="104" t="n">
        <x:f>IF(OR(G36="",H36="",I36=""),"",IF(H36=I36,G36,IF(AND(H36="غ",I36="كغ"),G36/1000,IF(AND(H36="كغ",I36="غ"),G36*1000,IF(AND(H36="مل",I36="لتر"),G36/1000,IF(AND(H36="لتر",I36="مل"),G36*1000,""))))))</x:f>
        <x:v>1</x:v>
      </x:c>
      <x:c r="K36" s="108" t="n">
        <x:v>0</x:v>
      </x:c>
      <x:c r="L36" s="46" t="str">
        <x:v>لا</x:v>
      </x:c>
      <x:c r="M36" s="100" t="n">
        <x:f>IFERROR(VLOOKUP(E36,'مواد المخزون'!$C$2:$J$500,8,FALSE),"")</x:f>
        <x:v>35000</x:v>
      </x:c>
      <x:c r="N36" s="100" t="n">
        <x:f>IF(OR(J36="",M36=""),"",J36*M36*(1+K36/100))</x:f>
        <x:v>35000</x:v>
      </x:c>
      <x:c r="O36" s="46" t="str"/>
      <x:c r="P36" s="46" t="str">
        <x:f>IF(A36="SKIP","متجاوز",IF(C36="","مفتاح منتج ناقص",IF(D36="","منتج غير موجود",IF(E36="","كود مخزون ناقص",IF(F36="","مادة غير موجودة",IF(J36="","خطأ وحدة",IF(G36&lt;=0,"كمية غير صالحة","صالح")))))))</x:f>
        <x:v>صالح</x:v>
      </x:c>
    </x:row>
    <x:row r="37">
      <x:c r="A37" s="46" t="str">
        <x:v>UPSERT_INACTIVE</x:v>
      </x:c>
      <x:c r="B37" s="46" t="str">
        <x:v>بحاجة مراجعة</x:v>
      </x:c>
      <x:c r="C37" s="46" t="str">
        <x:v>strong_beer</x:v>
      </x:c>
      <x:c r="D37" s="46" t="str">
        <x:f>IFERROR(VLOOKUP(C37,'المنتجات'!$C$2:$D$500,2,FALSE),"")</x:f>
        <x:v>بيرة ثقيلة</x:v>
      </x:c>
      <x:c r="E37" s="46" t="str">
        <x:v>DRK-ALC-BEER-STRONG</x:v>
      </x:c>
      <x:c r="F37" s="46" t="str">
        <x:f>IFERROR(VLOOKUP(E37,'مواد المخزون'!$C$2:$J$500,2,FALSE),"")</x:f>
        <x:v>بيرة ثقيلة</x:v>
      </x:c>
      <x:c r="G37" s="104" t="n">
        <x:v>1</x:v>
      </x:c>
      <x:c r="H37" s="46" t="str">
        <x:v>زجاجة</x:v>
      </x:c>
      <x:c r="I37" s="46" t="str">
        <x:f>IFERROR(VLOOKUP(E37,'مواد المخزون'!$C$2:$J$500,5,FALSE),"")</x:f>
        <x:v>زجاجة</x:v>
      </x:c>
      <x:c r="J37" s="104" t="n">
        <x:f>IF(OR(G37="",H37="",I37=""),"",IF(H37=I37,G37,IF(AND(H37="غ",I37="كغ"),G37/1000,IF(AND(H37="كغ",I37="غ"),G37*1000,IF(AND(H37="مل",I37="لتر"),G37/1000,IF(AND(H37="لتر",I37="مل"),G37*1000,""))))))</x:f>
        <x:v>1</x:v>
      </x:c>
      <x:c r="K37" s="108" t="n">
        <x:v>0</x:v>
      </x:c>
      <x:c r="L37" s="46" t="str">
        <x:v>لا</x:v>
      </x:c>
      <x:c r="M37" s="100" t="n">
        <x:f>IFERROR(VLOOKUP(E37,'مواد المخزون'!$C$2:$J$500,8,FALSE),"")</x:f>
        <x:v>40000</x:v>
      </x:c>
      <x:c r="N37" s="100" t="n">
        <x:f>IF(OR(J37="",M37=""),"",J37*M37*(1+K37/100))</x:f>
        <x:v>40000</x:v>
      </x:c>
      <x:c r="O37" s="46" t="str"/>
      <x:c r="P37" s="46" t="str">
        <x:f>IF(A37="SKIP","متجاوز",IF(C37="","مفتاح منتج ناقص",IF(D37="","منتج غير موجود",IF(E37="","كود مخزون ناقص",IF(F37="","مادة غير موجودة",IF(J37="","خطأ وحدة",IF(G37&lt;=0,"كمية غير صالحة","صالح")))))))</x:f>
        <x:v>صالح</x:v>
      </x:c>
    </x:row>
    <x:row r="38">
      <x:c r="A38" s="46" t="str">
        <x:v>UPSERT_INACTIVE</x:v>
      </x:c>
      <x:c r="B38" s="46" t="str">
        <x:v>بحاجة مراجعة</x:v>
      </x:c>
      <x:c r="C38" s="46" t="str">
        <x:v>hub_labneh_herbs</x:v>
      </x:c>
      <x:c r="D38" s="46" t="str">
        <x:f>IFERROR(VLOOKUP(C38,'المنتجات'!$C$2:$D$500,2,FALSE),"")</x:f>
        <x:v>لبنة وأعشاب</x:v>
      </x:c>
      <x:c r="E38" s="46" t="str">
        <x:v>ING-BREAD-SAMOON</x:v>
      </x:c>
      <x:c r="F38" s="46" t="str">
        <x:f>IFERROR(VLOOKUP(E38,'مواد المخزون'!$C$2:$J$500,2,FALSE),"")</x:f>
        <x:v>خبز سمون</x:v>
      </x:c>
      <x:c r="G38" s="104" t="n">
        <x:v>1</x:v>
      </x:c>
      <x:c r="H38" s="46" t="str">
        <x:v>قطعة</x:v>
      </x:c>
      <x:c r="I38" s="46" t="str">
        <x:f>IFERROR(VLOOKUP(E38,'مواد المخزون'!$C$2:$J$500,5,FALSE),"")</x:f>
        <x:v>قطعة</x:v>
      </x:c>
      <x:c r="J38" s="104" t="n">
        <x:f>IF(OR(G38="",H38="",I38=""),"",IF(H38=I38,G38,IF(AND(H38="غ",I38="كغ"),G38/1000,IF(AND(H38="كغ",I38="غ"),G38*1000,IF(AND(H38="مل",I38="لتر"),G38/1000,IF(AND(H38="لتر",I38="مل"),G38*1000,""))))))</x:f>
        <x:v>1</x:v>
      </x:c>
      <x:c r="K38" s="108" t="n">
        <x:v>0</x:v>
      </x:c>
      <x:c r="L38" s="46" t="str">
        <x:v>لا</x:v>
      </x:c>
      <x:c r="M38" s="100" t="str">
        <x:f>IFERROR(VLOOKUP(E38,'مواد المخزون'!$C$2:$J$500,8,FALSE),"")</x:f>
      </x:c>
      <x:c r="N38" s="100" t="str">
        <x:f>IF(OR(J38="",M38=""),"",J38*M38*(1+K38/100))</x:f>
      </x:c>
      <x:c r="O38" s="46" t="str">
        <x:v>بدّل نوع الخبز بحسب المنتج الفعلي.</x:v>
      </x:c>
      <x:c r="P38" s="46" t="str">
        <x:f>IF(A38="SKIP","متجاوز",IF(C38="","مفتاح منتج ناقص",IF(D38="","منتج غير موجود",IF(E38="","كود مخزون ناقص",IF(F38="","مادة غير موجودة",IF(J38="","خطأ وحدة",IF(G38&lt;=0,"كمية غير صالحة","صالح")))))))</x:f>
        <x:v>صالح</x:v>
      </x:c>
    </x:row>
    <x:row r="39">
      <x:c r="A39" s="46" t="str">
        <x:v>UPSERT_INACTIVE</x:v>
      </x:c>
      <x:c r="B39" s="46" t="str">
        <x:v>بحاجة مراجعة</x:v>
      </x:c>
      <x:c r="C39" s="46" t="str">
        <x:v>hub_labneh_herbs</x:v>
      </x:c>
      <x:c r="D39" s="46" t="str">
        <x:f>IFERROR(VLOOKUP(C39,'المنتجات'!$C$2:$D$500,2,FALSE),"")</x:f>
        <x:v>لبنة وأعشاب</x:v>
      </x:c>
      <x:c r="E39" s="46" t="str">
        <x:v>ING-DAIRY-LABNEH</x:v>
      </x:c>
      <x:c r="F39" s="46" t="str">
        <x:f>IFERROR(VLOOKUP(E39,'مواد المخزون'!$C$2:$J$500,2,FALSE),"")</x:f>
        <x:v>لبنة</x:v>
      </x:c>
      <x:c r="G39" s="104" t="n">
        <x:v>100</x:v>
      </x:c>
      <x:c r="H39" s="46" t="str">
        <x:v>غ</x:v>
      </x:c>
      <x:c r="I39" s="46" t="str">
        <x:f>IFERROR(VLOOKUP(E39,'مواد المخزون'!$C$2:$J$500,5,FALSE),"")</x:f>
        <x:v>كغ</x:v>
      </x:c>
      <x:c r="J39" s="104" t="n">
        <x:f>IF(OR(G39="",H39="",I39=""),"",IF(H39=I39,G39,IF(AND(H39="غ",I39="كغ"),G39/1000,IF(AND(H39="كغ",I39="غ"),G39*1000,IF(AND(H39="مل",I39="لتر"),G39/1000,IF(AND(H39="لتر",I39="مل"),G39*1000,""))))))</x:f>
        <x:v>0.1</x:v>
      </x:c>
      <x:c r="K39" s="108" t="n">
        <x:v>0</x:v>
      </x:c>
      <x:c r="L39" s="46" t="str">
        <x:v>لا</x:v>
      </x:c>
      <x:c r="M39" s="100" t="str">
        <x:f>IFERROR(VLOOKUP(E39,'مواد المخزون'!$C$2:$J$500,8,FALSE),"")</x:f>
      </x:c>
      <x:c r="N39" s="100" t="str">
        <x:f>IF(OR(J39="",M39=""),"",J39*M39*(1+K39/100))</x:f>
      </x:c>
      <x:c r="O39" s="46" t="str"/>
      <x:c r="P39" s="46" t="str">
        <x:f>IF(A39="SKIP","متجاوز",IF(C39="","مفتاح منتج ناقص",IF(D39="","منتج غير موجود",IF(E39="","كود مخزون ناقص",IF(F39="","مادة غير موجودة",IF(J39="","خطأ وحدة",IF(G39&lt;=0,"كمية غير صالحة","صالح")))))))</x:f>
        <x:v>صالح</x:v>
      </x:c>
    </x:row>
    <x:row r="40">
      <x:c r="A40" s="46" t="str">
        <x:v>UPSERT_INACTIVE</x:v>
      </x:c>
      <x:c r="B40" s="46" t="str">
        <x:v>بحاجة مراجعة</x:v>
      </x:c>
      <x:c r="C40" s="46" t="str">
        <x:v>hub_labneh_herbs</x:v>
      </x:c>
      <x:c r="D40" s="46" t="str">
        <x:f>IFERROR(VLOOKUP(C40,'المنتجات'!$C$2:$D$500,2,FALSE),"")</x:f>
        <x:v>لبنة وأعشاب</x:v>
      </x:c>
      <x:c r="E40" s="46" t="str">
        <x:v>ING-HERB-MINT</x:v>
      </x:c>
      <x:c r="F40" s="46" t="str">
        <x:f>IFERROR(VLOOKUP(E40,'مواد المخزون'!$C$2:$J$500,2,FALSE),"")</x:f>
        <x:v>نعنع طازج</x:v>
      </x:c>
      <x:c r="G40" s="104" t="n">
        <x:v>0.05</x:v>
      </x:c>
      <x:c r="H40" s="46" t="str">
        <x:v>عبوة</x:v>
      </x:c>
      <x:c r="I40" s="46" t="str">
        <x:f>IFERROR(VLOOKUP(E40,'مواد المخزون'!$C$2:$J$500,5,FALSE),"")</x:f>
        <x:v>عبوة</x:v>
      </x:c>
      <x:c r="J40" s="104" t="n">
        <x:f>IF(OR(G40="",H40="",I40=""),"",IF(H40=I40,G40,IF(AND(H40="غ",I40="كغ"),G40/1000,IF(AND(H40="كغ",I40="غ"),G40*1000,IF(AND(H40="مل",I40="لتر"),G40/1000,IF(AND(H40="لتر",I40="مل"),G40*1000,""))))))</x:f>
        <x:v>0.05</x:v>
      </x:c>
      <x:c r="K40" s="108" t="n">
        <x:v>0</x:v>
      </x:c>
      <x:c r="L40" s="46" t="str">
        <x:v>لا</x:v>
      </x:c>
      <x:c r="M40" s="100" t="n">
        <x:f>IFERROR(VLOOKUP(E40,'مواد المخزون'!$C$2:$J$500,8,FALSE),"")</x:f>
        <x:v>1500</x:v>
      </x:c>
      <x:c r="N40" s="100" t="n">
        <x:f>IF(OR(J40="",M40=""),"",J40*M40*(1+K40/100))</x:f>
        <x:v>75</x:v>
      </x:c>
      <x:c r="O40" s="46" t="str">
        <x:v>نعنع مرفق تلقائياً مع اللبنة.</x:v>
      </x:c>
      <x:c r="P40" s="46" t="str">
        <x:f>IF(A40="SKIP","متجاوز",IF(C40="","مفتاح منتج ناقص",IF(D40="","منتج غير موجود",IF(E40="","كود مخزون ناقص",IF(F40="","مادة غير موجودة",IF(J40="","خطأ وحدة",IF(G40&lt;=0,"كمية غير صالحة","صالح")))))))</x:f>
        <x:v>صالح</x:v>
      </x:c>
    </x:row>
    <x:row r="41">
      <x:c r="A41" s="46" t="str">
        <x:v>UPSERT_INACTIVE</x:v>
      </x:c>
      <x:c r="B41" s="46" t="str">
        <x:v>بحاجة مراجعة</x:v>
      </x:c>
      <x:c r="C41" s="46" t="str">
        <x:v>hub_labneh_herbs</x:v>
      </x:c>
      <x:c r="D41" s="46" t="str">
        <x:f>IFERROR(VLOOKUP(C41,'المنتجات'!$C$2:$D$500,2,FALSE),"")</x:f>
        <x:v>لبنة وأعشاب</x:v>
      </x:c>
      <x:c r="E41" s="46" t="str">
        <x:v>ING-OIL-OLIVE</x:v>
      </x:c>
      <x:c r="F41" s="46" t="str">
        <x:f>IFERROR(VLOOKUP(E41,'مواد المخزون'!$C$2:$J$500,2,FALSE),"")</x:f>
        <x:v>زيت زيتون</x:v>
      </x:c>
      <x:c r="G41" s="104" t="n">
        <x:v>10</x:v>
      </x:c>
      <x:c r="H41" s="46" t="str">
        <x:v>مل</x:v>
      </x:c>
      <x:c r="I41" s="46" t="str">
        <x:f>IFERROR(VLOOKUP(E41,'مواد المخزون'!$C$2:$J$500,5,FALSE),"")</x:f>
        <x:v>لتر</x:v>
      </x:c>
      <x:c r="J41" s="104" t="n">
        <x:f>IF(OR(G41="",H41="",I41=""),"",IF(H41=I41,G41,IF(AND(H41="غ",I41="كغ"),G41/1000,IF(AND(H41="كغ",I41="غ"),G41*1000,IF(AND(H41="مل",I41="لتر"),G41/1000,IF(AND(H41="لتر",I41="مل"),G41*1000,""))))))</x:f>
        <x:v>0.01</x:v>
      </x:c>
      <x:c r="K41" s="108" t="n">
        <x:v>0</x:v>
      </x:c>
      <x:c r="L41" s="46" t="str">
        <x:v>لا</x:v>
      </x:c>
      <x:c r="M41" s="100" t="str">
        <x:f>IFERROR(VLOOKUP(E41,'مواد المخزون'!$C$2:$J$500,8,FALSE),"")</x:f>
      </x:c>
      <x:c r="N41" s="100" t="str">
        <x:f>IF(OR(J41="",M41=""),"",J41*M41*(1+K41/100))</x:f>
      </x:c>
      <x:c r="O41" s="46" t="str"/>
      <x:c r="P41" s="46" t="str">
        <x:f>IF(A41="SKIP","متجاوز",IF(C41="","مفتاح منتج ناقص",IF(D41="","منتج غير موجود",IF(E41="","كود مخزون ناقص",IF(F41="","مادة غير موجودة",IF(J41="","خطأ وحدة",IF(G41&lt;=0,"كمية غير صالحة","صالح")))))))</x:f>
        <x:v>صالح</x:v>
      </x:c>
    </x:row>
    <x:row r="42">
      <x:c r="A42" s="46" t="str">
        <x:v>UPSERT_INACTIVE</x:v>
      </x:c>
      <x:c r="B42" s="46" t="str">
        <x:v>بحاجة مراجعة</x:v>
      </x:c>
      <x:c r="C42" s="46" t="str">
        <x:v>hub_labneh_herbs</x:v>
      </x:c>
      <x:c r="D42" s="46" t="str">
        <x:f>IFERROR(VLOOKUP(C42,'المنتجات'!$C$2:$D$500,2,FALSE),"")</x:f>
        <x:v>لبنة وأعشاب</x:v>
      </x:c>
      <x:c r="E42" s="46" t="str">
        <x:v>ING-VEG-TOMATO</x:v>
      </x:c>
      <x:c r="F42" s="46" t="str">
        <x:f>IFERROR(VLOOKUP(E42,'مواد المخزون'!$C$2:$J$500,2,FALSE),"")</x:f>
        <x:v>بندورة</x:v>
      </x:c>
      <x:c r="G42" s="104" t="n">
        <x:v>50</x:v>
      </x:c>
      <x:c r="H42" s="46" t="str">
        <x:v>غ</x:v>
      </x:c>
      <x:c r="I42" s="46" t="str">
        <x:f>IFERROR(VLOOKUP(E42,'مواد المخزون'!$C$2:$J$500,5,FALSE),"")</x:f>
        <x:v>كغ</x:v>
      </x:c>
      <x:c r="J42" s="104" t="n">
        <x:f>IF(OR(G42="",H42="",I42=""),"",IF(H42=I42,G42,IF(AND(H42="غ",I42="كغ"),G42/1000,IF(AND(H42="كغ",I42="غ"),G42*1000,IF(AND(H42="مل",I42="لتر"),G42/1000,IF(AND(H42="لتر",I42="مل"),G42*1000,""))))))</x:f>
        <x:v>0.05</x:v>
      </x:c>
      <x:c r="K42" s="108" t="n">
        <x:v>0</x:v>
      </x:c>
      <x:c r="L42" s="46" t="str">
        <x:v>لا</x:v>
      </x:c>
      <x:c r="M42" s="100" t="n">
        <x:f>IFERROR(VLOOKUP(E42,'مواد المخزون'!$C$2:$J$500,8,FALSE),"")</x:f>
        <x:v>9000</x:v>
      </x:c>
      <x:c r="N42" s="100" t="n">
        <x:f>IF(OR(J42="",M42=""),"",J42*M42*(1+K42/100))</x:f>
        <x:v>450</x:v>
      </x:c>
      <x:c r="O42" s="46" t="str"/>
      <x:c r="P42" s="46" t="str">
        <x:f>IF(A42="SKIP","متجاوز",IF(C42="","مفتاح منتج ناقص",IF(D42="","منتج غير موجود",IF(E42="","كود مخزون ناقص",IF(F42="","مادة غير موجودة",IF(J42="","خطأ وحدة",IF(G42&lt;=0,"كمية غير صالحة","صالح")))))))</x:f>
        <x:v>صالح</x:v>
      </x:c>
    </x:row>
    <x:row r="43">
      <x:c r="A43" s="46" t="str">
        <x:v>UPSERT_INACTIVE</x:v>
      </x:c>
      <x:c r="B43" s="46" t="str">
        <x:v>بحاجة مراجعة</x:v>
      </x:c>
      <x:c r="C43" s="46" t="str">
        <x:v>hub_labneh_herbs</x:v>
      </x:c>
      <x:c r="D43" s="46" t="str">
        <x:f>IFERROR(VLOOKUP(C43,'المنتجات'!$C$2:$D$500,2,FALSE),"")</x:f>
        <x:v>لبنة وأعشاب</x:v>
      </x:c>
      <x:c r="E43" s="46" t="str">
        <x:v>ING-VEG-CUCUMBER</x:v>
      </x:c>
      <x:c r="F43" s="46" t="str">
        <x:f>IFERROR(VLOOKUP(E43,'مواد المخزون'!$C$2:$J$500,2,FALSE),"")</x:f>
        <x:v>خيار / بعجور</x:v>
      </x:c>
      <x:c r="G43" s="104" t="n">
        <x:v>50</x:v>
      </x:c>
      <x:c r="H43" s="46" t="str">
        <x:v>غ</x:v>
      </x:c>
      <x:c r="I43" s="46" t="str">
        <x:f>IFERROR(VLOOKUP(E43,'مواد المخزون'!$C$2:$J$500,5,FALSE),"")</x:f>
        <x:v>كغ</x:v>
      </x:c>
      <x:c r="J43" s="104" t="n">
        <x:f>IF(OR(G43="",H43="",I43=""),"",IF(H43=I43,G43,IF(AND(H43="غ",I43="كغ"),G43/1000,IF(AND(H43="كغ",I43="غ"),G43*1000,IF(AND(H43="مل",I43="لتر"),G43/1000,IF(AND(H43="لتر",I43="مل"),G43*1000,""))))))</x:f>
        <x:v>0.05</x:v>
      </x:c>
      <x:c r="K43" s="108" t="n">
        <x:v>0</x:v>
      </x:c>
      <x:c r="L43" s="46" t="str">
        <x:v>لا</x:v>
      </x:c>
      <x:c r="M43" s="100" t="n">
        <x:f>IFERROR(VLOOKUP(E43,'مواد المخزون'!$C$2:$J$500,8,FALSE),"")</x:f>
        <x:v>5000</x:v>
      </x:c>
      <x:c r="N43" s="100" t="n">
        <x:f>IF(OR(J43="",M43=""),"",J43*M43*(1+K43/100))</x:f>
        <x:v>250</x:v>
      </x:c>
      <x:c r="O43" s="46" t="str"/>
      <x:c r="P43" s="46" t="str">
        <x:f>IF(A43="SKIP","متجاوز",IF(C43="","مفتاح منتج ناقص",IF(D43="","منتج غير موجود",IF(E43="","كود مخزون ناقص",IF(F43="","مادة غير موجودة",IF(J43="","خطأ وحدة",IF(G43&lt;=0,"كمية غير صالحة","صالح")))))))</x:f>
        <x:v>صالح</x:v>
      </x:c>
    </x:row>
    <x:row r="44">
      <x:c r="A44" s="46" t="str">
        <x:v>UPSERT_INACTIVE</x:v>
      </x:c>
      <x:c r="B44" s="46" t="str">
        <x:v>بحاجة مراجعة</x:v>
      </x:c>
      <x:c r="C44" s="46" t="str">
        <x:v>hub_zaatar_olive_oil</x:v>
      </x:c>
      <x:c r="D44" s="46" t="str">
        <x:f>IFERROR(VLOOKUP(C44,'المنتجات'!$C$2:$D$500,2,FALSE),"")</x:f>
        <x:v>زيت وزعتر</x:v>
      </x:c>
      <x:c r="E44" s="46" t="str">
        <x:v>ING-BREAD-SAMOON</x:v>
      </x:c>
      <x:c r="F44" s="46" t="str">
        <x:f>IFERROR(VLOOKUP(E44,'مواد المخزون'!$C$2:$J$500,2,FALSE),"")</x:f>
        <x:v>خبز سمون</x:v>
      </x:c>
      <x:c r="G44" s="104" t="n">
        <x:v>1</x:v>
      </x:c>
      <x:c r="H44" s="46" t="str">
        <x:v>قطعة</x:v>
      </x:c>
      <x:c r="I44" s="46" t="str">
        <x:f>IFERROR(VLOOKUP(E44,'مواد المخزون'!$C$2:$J$500,5,FALSE),"")</x:f>
        <x:v>قطعة</x:v>
      </x:c>
      <x:c r="J44" s="104" t="n">
        <x:f>IF(OR(G44="",H44="",I44=""),"",IF(H44=I44,G44,IF(AND(H44="غ",I44="كغ"),G44/1000,IF(AND(H44="كغ",I44="غ"),G44*1000,IF(AND(H44="مل",I44="لتر"),G44/1000,IF(AND(H44="لتر",I44="مل"),G44*1000,""))))))</x:f>
        <x:v>1</x:v>
      </x:c>
      <x:c r="K44" s="108" t="n">
        <x:v>0</x:v>
      </x:c>
      <x:c r="L44" s="46" t="str">
        <x:v>لا</x:v>
      </x:c>
      <x:c r="M44" s="100" t="str">
        <x:f>IFERROR(VLOOKUP(E44,'مواد المخزون'!$C$2:$J$500,8,FALSE),"")</x:f>
      </x:c>
      <x:c r="N44" s="100" t="str">
        <x:f>IF(OR(J44="",M44=""),"",J44*M44*(1+K44/100))</x:f>
      </x:c>
      <x:c r="O44" s="46" t="str"/>
      <x:c r="P44" s="46" t="str">
        <x:f>IF(A44="SKIP","متجاوز",IF(C44="","مفتاح منتج ناقص",IF(D44="","منتج غير موجود",IF(E44="","كود مخزون ناقص",IF(F44="","مادة غير موجودة",IF(J44="","خطأ وحدة",IF(G44&lt;=0,"كمية غير صالحة","صالح")))))))</x:f>
        <x:v>صالح</x:v>
      </x:c>
    </x:row>
    <x:row r="45">
      <x:c r="A45" s="46" t="str">
        <x:v>UPSERT_INACTIVE</x:v>
      </x:c>
      <x:c r="B45" s="46" t="str">
        <x:v>بحاجة مراجعة</x:v>
      </x:c>
      <x:c r="C45" s="46" t="str">
        <x:v>hub_zaatar_olive_oil</x:v>
      </x:c>
      <x:c r="D45" s="46" t="str">
        <x:f>IFERROR(VLOOKUP(C45,'المنتجات'!$C$2:$D$500,2,FALSE),"")</x:f>
        <x:v>زيت وزعتر</x:v>
      </x:c>
      <x:c r="E45" s="46" t="str">
        <x:v>ING-OIL-OLIVE</x:v>
      </x:c>
      <x:c r="F45" s="46" t="str">
        <x:f>IFERROR(VLOOKUP(E45,'مواد المخزون'!$C$2:$J$500,2,FALSE),"")</x:f>
        <x:v>زيت زيتون</x:v>
      </x:c>
      <x:c r="G45" s="104" t="n">
        <x:v>20</x:v>
      </x:c>
      <x:c r="H45" s="46" t="str">
        <x:v>مل</x:v>
      </x:c>
      <x:c r="I45" s="46" t="str">
        <x:f>IFERROR(VLOOKUP(E45,'مواد المخزون'!$C$2:$J$500,5,FALSE),"")</x:f>
        <x:v>لتر</x:v>
      </x:c>
      <x:c r="J45" s="104" t="n">
        <x:f>IF(OR(G45="",H45="",I45=""),"",IF(H45=I45,G45,IF(AND(H45="غ",I45="كغ"),G45/1000,IF(AND(H45="كغ",I45="غ"),G45*1000,IF(AND(H45="مل",I45="لتر"),G45/1000,IF(AND(H45="لتر",I45="مل"),G45*1000,""))))))</x:f>
        <x:v>0.02</x:v>
      </x:c>
      <x:c r="K45" s="108" t="n">
        <x:v>0</x:v>
      </x:c>
      <x:c r="L45" s="46" t="str">
        <x:v>لا</x:v>
      </x:c>
      <x:c r="M45" s="100" t="str">
        <x:f>IFERROR(VLOOKUP(E45,'مواد المخزون'!$C$2:$J$500,8,FALSE),"")</x:f>
      </x:c>
      <x:c r="N45" s="100" t="str">
        <x:f>IF(OR(J45="",M45=""),"",J45*M45*(1+K45/100))</x:f>
      </x:c>
      <x:c r="O45" s="46" t="str"/>
      <x:c r="P45" s="46" t="str">
        <x:f>IF(A45="SKIP","متجاوز",IF(C45="","مفتاح منتج ناقص",IF(D45="","منتج غير موجود",IF(E45="","كود مخزون ناقص",IF(F45="","مادة غير موجودة",IF(J45="","خطأ وحدة",IF(G45&lt;=0,"كمية غير صالحة","صالح")))))))</x:f>
        <x:v>صالح</x:v>
      </x:c>
    </x:row>
    <x:row r="46">
      <x:c r="A46" s="46" t="str">
        <x:v>UPSERT_INACTIVE</x:v>
      </x:c>
      <x:c r="B46" s="46" t="str">
        <x:v>بحاجة مراجعة</x:v>
      </x:c>
      <x:c r="C46" s="46" t="str">
        <x:v>hub_zaatar_olive_oil</x:v>
      </x:c>
      <x:c r="D46" s="46" t="str">
        <x:f>IFERROR(VLOOKUP(C46,'المنتجات'!$C$2:$D$500,2,FALSE),"")</x:f>
        <x:v>زيت وزعتر</x:v>
      </x:c>
      <x:c r="E46" s="46" t="str">
        <x:v>ING-HERB-DRIEDTHYME</x:v>
      </x:c>
      <x:c r="F46" s="46" t="str">
        <x:f>IFERROR(VLOOKUP(E46,'مواد المخزون'!$C$2:$J$500,2,FALSE),"")</x:f>
        <x:v>زعتر يابس</x:v>
      </x:c>
      <x:c r="G46" s="104" t="n">
        <x:v>15</x:v>
      </x:c>
      <x:c r="H46" s="46" t="str">
        <x:v>غ</x:v>
      </x:c>
      <x:c r="I46" s="46" t="str">
        <x:f>IFERROR(VLOOKUP(E46,'مواد المخزون'!$C$2:$J$500,5,FALSE),"")</x:f>
        <x:v>كغ</x:v>
      </x:c>
      <x:c r="J46" s="104" t="n">
        <x:f>IF(OR(G46="",H46="",I46=""),"",IF(H46=I46,G46,IF(AND(H46="غ",I46="كغ"),G46/1000,IF(AND(H46="كغ",I46="غ"),G46*1000,IF(AND(H46="مل",I46="لتر"),G46/1000,IF(AND(H46="لتر",I46="مل"),G46*1000,""))))))</x:f>
        <x:v>0.015</x:v>
      </x:c>
      <x:c r="K46" s="108" t="n">
        <x:v>0</x:v>
      </x:c>
      <x:c r="L46" s="46" t="str">
        <x:v>لا</x:v>
      </x:c>
      <x:c r="M46" s="100" t="str">
        <x:f>IFERROR(VLOOKUP(E46,'مواد المخزون'!$C$2:$J$500,8,FALSE),"")</x:f>
      </x:c>
      <x:c r="N46" s="100" t="str">
        <x:f>IF(OR(J46="",M46=""),"",J46*M46*(1+K46/100))</x:f>
      </x:c>
      <x:c r="O46" s="46" t="str"/>
      <x:c r="P46" s="46" t="str">
        <x:f>IF(A46="SKIP","متجاوز",IF(C46="","مفتاح منتج ناقص",IF(D46="","منتج غير موجود",IF(E46="","كود مخزون ناقص",IF(F46="","مادة غير موجودة",IF(J46="","خطأ وحدة",IF(G46&lt;=0,"كمية غير صالحة","صالح")))))))</x:f>
        <x:v>صالح</x:v>
      </x:c>
    </x:row>
    <x:row r="47">
      <x:c r="A47" s="46" t="str">
        <x:v>UPSERT_INACTIVE</x:v>
      </x:c>
      <x:c r="B47" s="46" t="str">
        <x:v>بحاجة مراجعة</x:v>
      </x:c>
      <x:c r="C47" s="46" t="str">
        <x:v>hub_zaatar_olive_oil</x:v>
      </x:c>
      <x:c r="D47" s="46" t="str">
        <x:f>IFERROR(VLOOKUP(C47,'المنتجات'!$C$2:$D$500,2,FALSE),"")</x:f>
        <x:v>زيت وزعتر</x:v>
      </x:c>
      <x:c r="E47" s="46" t="str">
        <x:v>ING-VEG-TOMATO</x:v>
      </x:c>
      <x:c r="F47" s="46" t="str">
        <x:f>IFERROR(VLOOKUP(E47,'مواد المخزون'!$C$2:$J$500,2,FALSE),"")</x:f>
        <x:v>بندورة</x:v>
      </x:c>
      <x:c r="G47" s="104" t="n">
        <x:v>40</x:v>
      </x:c>
      <x:c r="H47" s="46" t="str">
        <x:v>غ</x:v>
      </x:c>
      <x:c r="I47" s="46" t="str">
        <x:f>IFERROR(VLOOKUP(E47,'مواد المخزون'!$C$2:$J$500,5,FALSE),"")</x:f>
        <x:v>كغ</x:v>
      </x:c>
      <x:c r="J47" s="104" t="n">
        <x:f>IF(OR(G47="",H47="",I47=""),"",IF(H47=I47,G47,IF(AND(H47="غ",I47="كغ"),G47/1000,IF(AND(H47="كغ",I47="غ"),G47*1000,IF(AND(H47="مل",I47="لتر"),G47/1000,IF(AND(H47="لتر",I47="مل"),G47*1000,""))))))</x:f>
        <x:v>0.04</x:v>
      </x:c>
      <x:c r="K47" s="108" t="n">
        <x:v>0</x:v>
      </x:c>
      <x:c r="L47" s="46" t="str">
        <x:v>لا</x:v>
      </x:c>
      <x:c r="M47" s="100" t="n">
        <x:f>IFERROR(VLOOKUP(E47,'مواد المخزون'!$C$2:$J$500,8,FALSE),"")</x:f>
        <x:v>9000</x:v>
      </x:c>
      <x:c r="N47" s="100" t="n">
        <x:f>IF(OR(J47="",M47=""),"",J47*M47*(1+K47/100))</x:f>
        <x:v>360</x:v>
      </x:c>
      <x:c r="O47" s="46" t="str"/>
      <x:c r="P47" s="46" t="str">
        <x:f>IF(A47="SKIP","متجاوز",IF(C47="","مفتاح منتج ناقص",IF(D47="","منتج غير موجود",IF(E47="","كود مخزون ناقص",IF(F47="","مادة غير موجودة",IF(J47="","خطأ وحدة",IF(G47&lt;=0,"كمية غير صالحة","صالح")))))))</x:f>
        <x:v>صالح</x:v>
      </x:c>
    </x:row>
    <x:row r="48">
      <x:c r="A48" s="46" t="str">
        <x:v>UPSERT_INACTIVE</x:v>
      </x:c>
      <x:c r="B48" s="46" t="str">
        <x:v>بحاجة مراجعة</x:v>
      </x:c>
      <x:c r="C48" s="46" t="str">
        <x:v>hub_zaatar_olive_oil</x:v>
      </x:c>
      <x:c r="D48" s="46" t="str">
        <x:f>IFERROR(VLOOKUP(C48,'المنتجات'!$C$2:$D$500,2,FALSE),"")</x:f>
        <x:v>زيت وزعتر</x:v>
      </x:c>
      <x:c r="E48" s="46" t="str">
        <x:v>ING-VEG-CUCUMBER</x:v>
      </x:c>
      <x:c r="F48" s="46" t="str">
        <x:f>IFERROR(VLOOKUP(E48,'مواد المخزون'!$C$2:$J$500,2,FALSE),"")</x:f>
        <x:v>خيار / بعجور</x:v>
      </x:c>
      <x:c r="G48" s="104" t="n">
        <x:v>40</x:v>
      </x:c>
      <x:c r="H48" s="46" t="str">
        <x:v>غ</x:v>
      </x:c>
      <x:c r="I48" s="46" t="str">
        <x:f>IFERROR(VLOOKUP(E48,'مواد المخزون'!$C$2:$J$500,5,FALSE),"")</x:f>
        <x:v>كغ</x:v>
      </x:c>
      <x:c r="J48" s="104" t="n">
        <x:f>IF(OR(G48="",H48="",I48=""),"",IF(H48=I48,G48,IF(AND(H48="غ",I48="كغ"),G48/1000,IF(AND(H48="كغ",I48="غ"),G48*1000,IF(AND(H48="مل",I48="لتر"),G48/1000,IF(AND(H48="لتر",I48="مل"),G48*1000,""))))))</x:f>
        <x:v>0.04</x:v>
      </x:c>
      <x:c r="K48" s="108" t="n">
        <x:v>0</x:v>
      </x:c>
      <x:c r="L48" s="46" t="str">
        <x:v>لا</x:v>
      </x:c>
      <x:c r="M48" s="100" t="n">
        <x:f>IFERROR(VLOOKUP(E48,'مواد المخزون'!$C$2:$J$500,8,FALSE),"")</x:f>
        <x:v>5000</x:v>
      </x:c>
      <x:c r="N48" s="100" t="n">
        <x:f>IF(OR(J48="",M48=""),"",J48*M48*(1+K48/100))</x:f>
        <x:v>200</x:v>
      </x:c>
      <x:c r="O48" s="46" t="str"/>
      <x:c r="P48" s="46" t="str">
        <x:f>IF(A48="SKIP","متجاوز",IF(C48="","مفتاح منتج ناقص",IF(D48="","منتج غير موجود",IF(E48="","كود مخزون ناقص",IF(F48="","مادة غير موجودة",IF(J48="","خطأ وحدة",IF(G48&lt;=0,"كمية غير صالحة","صالح")))))))</x:f>
        <x:v>صالح</x:v>
      </x:c>
    </x:row>
    <x:row r="49">
      <x:c r="A49" s="46" t="str">
        <x:v>UPSERT_INACTIVE</x:v>
      </x:c>
      <x:c r="B49" s="46" t="str">
        <x:v>بحاجة مراجعة</x:v>
      </x:c>
      <x:c r="C49" s="46" t="str">
        <x:v>hub_muhammara</x:v>
      </x:c>
      <x:c r="D49" s="46" t="str">
        <x:f>IFERROR(VLOOKUP(C49,'المنتجات'!$C$2:$D$500,2,FALSE),"")</x:f>
        <x:v>محمّرة</x:v>
      </x:c>
      <x:c r="E49" s="46" t="str">
        <x:v>ING-BREAD-SAMOON</x:v>
      </x:c>
      <x:c r="F49" s="46" t="str">
        <x:f>IFERROR(VLOOKUP(E49,'مواد المخزون'!$C$2:$J$500,2,FALSE),"")</x:f>
        <x:v>خبز سمون</x:v>
      </x:c>
      <x:c r="G49" s="104" t="n">
        <x:v>1</x:v>
      </x:c>
      <x:c r="H49" s="46" t="str">
        <x:v>قطعة</x:v>
      </x:c>
      <x:c r="I49" s="46" t="str">
        <x:f>IFERROR(VLOOKUP(E49,'مواد المخزون'!$C$2:$J$500,5,FALSE),"")</x:f>
        <x:v>قطعة</x:v>
      </x:c>
      <x:c r="J49" s="104" t="n">
        <x:f>IF(OR(G49="",H49="",I49=""),"",IF(H49=I49,G49,IF(AND(H49="غ",I49="كغ"),G49/1000,IF(AND(H49="كغ",I49="غ"),G49*1000,IF(AND(H49="مل",I49="لتر"),G49/1000,IF(AND(H49="لتر",I49="مل"),G49*1000,""))))))</x:f>
        <x:v>1</x:v>
      </x:c>
      <x:c r="K49" s="108" t="n">
        <x:v>0</x:v>
      </x:c>
      <x:c r="L49" s="46" t="str">
        <x:v>لا</x:v>
      </x:c>
      <x:c r="M49" s="100" t="str">
        <x:f>IFERROR(VLOOKUP(E49,'مواد المخزون'!$C$2:$J$500,8,FALSE),"")</x:f>
      </x:c>
      <x:c r="N49" s="100" t="str">
        <x:f>IF(OR(J49="",M49=""),"",J49*M49*(1+K49/100))</x:f>
      </x:c>
      <x:c r="O49" s="46" t="str"/>
      <x:c r="P49" s="46" t="str">
        <x:f>IF(A49="SKIP","متجاوز",IF(C49="","مفتاح منتج ناقص",IF(D49="","منتج غير موجود",IF(E49="","كود مخزون ناقص",IF(F49="","مادة غير موجودة",IF(J49="","خطأ وحدة",IF(G49&lt;=0,"كمية غير صالحة","صالح")))))))</x:f>
        <x:v>صالح</x:v>
      </x:c>
    </x:row>
    <x:row r="50">
      <x:c r="A50" s="46" t="str">
        <x:v>UPSERT_INACTIVE</x:v>
      </x:c>
      <x:c r="B50" s="46" t="str">
        <x:v>بحاجة مراجعة</x:v>
      </x:c>
      <x:c r="C50" s="46" t="str">
        <x:v>hub_muhammara</x:v>
      </x:c>
      <x:c r="D50" s="46" t="str">
        <x:f>IFERROR(VLOOKUP(C50,'المنتجات'!$C$2:$D$500,2,FALSE),"")</x:f>
        <x:v>محمّرة</x:v>
      </x:c>
      <x:c r="E50" s="46" t="str">
        <x:v>ING-PREP-MUHAMMARA</x:v>
      </x:c>
      <x:c r="F50" s="46" t="str">
        <x:f>IFERROR(VLOOKUP(E50,'مواد المخزون'!$C$2:$J$500,2,FALSE),"")</x:f>
        <x:v>محمّرة جاهزة</x:v>
      </x:c>
      <x:c r="G50" s="104" t="n">
        <x:v>120</x:v>
      </x:c>
      <x:c r="H50" s="46" t="str">
        <x:v>غ</x:v>
      </x:c>
      <x:c r="I50" s="46" t="str">
        <x:f>IFERROR(VLOOKUP(E50,'مواد المخزون'!$C$2:$J$500,5,FALSE),"")</x:f>
        <x:v>كغ</x:v>
      </x:c>
      <x:c r="J50" s="104" t="n">
        <x:f>IF(OR(G50="",H50="",I50=""),"",IF(H50=I50,G50,IF(AND(H50="غ",I50="كغ"),G50/1000,IF(AND(H50="كغ",I50="غ"),G50*1000,IF(AND(H50="مل",I50="لتر"),G50/1000,IF(AND(H50="لتر",I50="مل"),G50*1000,""))))))</x:f>
        <x:v>0.12</x:v>
      </x:c>
      <x:c r="K50" s="108" t="n">
        <x:v>0</x:v>
      </x:c>
      <x:c r="L50" s="46" t="str">
        <x:v>لا</x:v>
      </x:c>
      <x:c r="M50" s="100" t="str">
        <x:f>IFERROR(VLOOKUP(E50,'مواد المخزون'!$C$2:$J$500,8,FALSE),"")</x:f>
      </x:c>
      <x:c r="N50" s="100" t="str">
        <x:f>IF(OR(J50="",M50=""),"",J50*M50*(1+K50/100))</x:f>
      </x:c>
      <x:c r="O50" s="46" t="str"/>
      <x:c r="P50" s="46" t="str">
        <x:f>IF(A50="SKIP","متجاوز",IF(C50="","مفتاح منتج ناقص",IF(D50="","منتج غير موجود",IF(E50="","كود مخزون ناقص",IF(F50="","مادة غير موجودة",IF(J50="","خطأ وحدة",IF(G50&lt;=0,"كمية غير صالحة","صالح")))))))</x:f>
        <x:v>صالح</x:v>
      </x:c>
    </x:row>
    <x:row r="51">
      <x:c r="A51" s="46" t="str">
        <x:v>UPSERT_INACTIVE</x:v>
      </x:c>
      <x:c r="B51" s="46" t="str">
        <x:v>بحاجة مراجعة</x:v>
      </x:c>
      <x:c r="C51" s="46" t="str">
        <x:v>hub_muhammara</x:v>
      </x:c>
      <x:c r="D51" s="46" t="str">
        <x:f>IFERROR(VLOOKUP(C51,'المنتجات'!$C$2:$D$500,2,FALSE),"")</x:f>
        <x:v>محمّرة</x:v>
      </x:c>
      <x:c r="E51" s="46" t="str">
        <x:v>ING-PICKLE-MIXED-WEIGHT</x:v>
      </x:c>
      <x:c r="F51" s="46" t="str">
        <x:f>IFERROR(VLOOKUP(E51,'مواد المخزون'!$C$2:$J$500,2,FALSE),"")</x:f>
        <x:v>مخلل مشكل بالوزن</x:v>
      </x:c>
      <x:c r="G51" s="104" t="n">
        <x:v>30</x:v>
      </x:c>
      <x:c r="H51" s="46" t="str">
        <x:v>غ</x:v>
      </x:c>
      <x:c r="I51" s="46" t="str">
        <x:f>IFERROR(VLOOKUP(E51,'مواد المخزون'!$C$2:$J$500,5,FALSE),"")</x:f>
        <x:v>كغ</x:v>
      </x:c>
      <x:c r="J51" s="104" t="n">
        <x:f>IF(OR(G51="",H51="",I51=""),"",IF(H51=I51,G51,IF(AND(H51="غ",I51="كغ"),G51/1000,IF(AND(H51="كغ",I51="غ"),G51*1000,IF(AND(H51="مل",I51="لتر"),G51/1000,IF(AND(H51="لتر",I51="مل"),G51*1000,""))))))</x:f>
        <x:v>0.03</x:v>
      </x:c>
      <x:c r="K51" s="108" t="n">
        <x:v>0</x:v>
      </x:c>
      <x:c r="L51" s="46" t="str">
        <x:v>لا</x:v>
      </x:c>
      <x:c r="M51" s="100" t="str">
        <x:f>IFERROR(VLOOKUP(E51,'مواد المخزون'!$C$2:$J$500,8,FALSE),"")</x:f>
      </x:c>
      <x:c r="N51" s="100" t="str">
        <x:f>IF(OR(J51="",M51=""),"",J51*M51*(1+K51/100))</x:f>
      </x:c>
      <x:c r="O51" s="46" t="str">
        <x:v>تقدير حصة المخلل من العبوة.</x:v>
      </x:c>
      <x:c r="P51" s="46" t="str">
        <x:f>IF(A51="SKIP","متجاوز",IF(C51="","مفتاح منتج ناقص",IF(D51="","منتج غير موجود",IF(E51="","كود مخزون ناقص",IF(F51="","مادة غير موجودة",IF(J51="","خطأ وحدة",IF(G51&lt;=0,"كمية غير صالحة","صالح")))))))</x:f>
        <x:v>صالح</x:v>
      </x:c>
    </x:row>
    <x:row r="52">
      <x:c r="A52" s="46" t="str">
        <x:v>UPSERT_INACTIVE</x:v>
      </x:c>
      <x:c r="B52" s="46" t="str">
        <x:v>بحاجة مراجعة</x:v>
      </x:c>
      <x:c r="C52" s="46" t="str">
        <x:v>hub_baladi_cheese</x:v>
      </x:c>
      <x:c r="D52" s="46" t="str">
        <x:f>IFERROR(VLOOKUP(C52,'المنتجات'!$C$2:$D$500,2,FALSE),"")</x:f>
        <x:v>الجبنة البلدية</x:v>
      </x:c>
      <x:c r="E52" s="46" t="str">
        <x:v>ING-BREAD-SAMOON</x:v>
      </x:c>
      <x:c r="F52" s="46" t="str">
        <x:f>IFERROR(VLOOKUP(E52,'مواد المخزون'!$C$2:$J$500,2,FALSE),"")</x:f>
        <x:v>خبز سمون</x:v>
      </x:c>
      <x:c r="G52" s="104" t="n">
        <x:v>1</x:v>
      </x:c>
      <x:c r="H52" s="46" t="str">
        <x:v>قطعة</x:v>
      </x:c>
      <x:c r="I52" s="46" t="str">
        <x:f>IFERROR(VLOOKUP(E52,'مواد المخزون'!$C$2:$J$500,5,FALSE),"")</x:f>
        <x:v>قطعة</x:v>
      </x:c>
      <x:c r="J52" s="104" t="n">
        <x:f>IF(OR(G52="",H52="",I52=""),"",IF(H52=I52,G52,IF(AND(H52="غ",I52="كغ"),G52/1000,IF(AND(H52="كغ",I52="غ"),G52*1000,IF(AND(H52="مل",I52="لتر"),G52/1000,IF(AND(H52="لتر",I52="مل"),G52*1000,""))))))</x:f>
        <x:v>1</x:v>
      </x:c>
      <x:c r="K52" s="108" t="n">
        <x:v>0</x:v>
      </x:c>
      <x:c r="L52" s="46" t="str">
        <x:v>لا</x:v>
      </x:c>
      <x:c r="M52" s="100" t="str">
        <x:f>IFERROR(VLOOKUP(E52,'مواد المخزون'!$C$2:$J$500,8,FALSE),"")</x:f>
      </x:c>
      <x:c r="N52" s="100" t="str">
        <x:f>IF(OR(J52="",M52=""),"",J52*M52*(1+K52/100))</x:f>
      </x:c>
      <x:c r="O52" s="46" t="str"/>
      <x:c r="P52" s="46" t="str">
        <x:f>IF(A52="SKIP","متجاوز",IF(C52="","مفتاح منتج ناقص",IF(D52="","منتج غير موجود",IF(E52="","كود مخزون ناقص",IF(F52="","مادة غير موجودة",IF(J52="","خطأ وحدة",IF(G52&lt;=0,"كمية غير صالحة","صالح")))))))</x:f>
        <x:v>صالح</x:v>
      </x:c>
    </x:row>
    <x:row r="53">
      <x:c r="A53" s="46" t="str">
        <x:v>UPSERT_INACTIVE</x:v>
      </x:c>
      <x:c r="B53" s="46" t="str">
        <x:v>بحاجة مراجعة</x:v>
      </x:c>
      <x:c r="C53" s="46" t="str">
        <x:v>hub_baladi_cheese</x:v>
      </x:c>
      <x:c r="D53" s="46" t="str">
        <x:f>IFERROR(VLOOKUP(C53,'المنتجات'!$C$2:$D$500,2,FALSE),"")</x:f>
        <x:v>الجبنة البلدية</x:v>
      </x:c>
      <x:c r="E53" s="46" t="str">
        <x:v>ING-CHEESE-WHITE</x:v>
      </x:c>
      <x:c r="F53" s="46" t="str">
        <x:f>IFERROR(VLOOKUP(E53,'مواد المخزون'!$C$2:$J$500,2,FALSE),"")</x:f>
        <x:v>جبنة بيضاء</x:v>
      </x:c>
      <x:c r="G53" s="104" t="n">
        <x:v>100</x:v>
      </x:c>
      <x:c r="H53" s="46" t="str">
        <x:v>غ</x:v>
      </x:c>
      <x:c r="I53" s="46" t="str">
        <x:f>IFERROR(VLOOKUP(E53,'مواد المخزون'!$C$2:$J$500,5,FALSE),"")</x:f>
        <x:v>كغ</x:v>
      </x:c>
      <x:c r="J53" s="104" t="n">
        <x:f>IF(OR(G53="",H53="",I53=""),"",IF(H53=I53,G53,IF(AND(H53="غ",I53="كغ"),G53/1000,IF(AND(H53="كغ",I53="غ"),G53*1000,IF(AND(H53="مل",I53="لتر"),G53/1000,IF(AND(H53="لتر",I53="مل"),G53*1000,""))))))</x:f>
        <x:v>0.1</x:v>
      </x:c>
      <x:c r="K53" s="108" t="n">
        <x:v>0</x:v>
      </x:c>
      <x:c r="L53" s="46" t="str">
        <x:v>لا</x:v>
      </x:c>
      <x:c r="M53" s="100" t="str">
        <x:f>IFERROR(VLOOKUP(E53,'مواد المخزون'!$C$2:$J$500,8,FALSE),"")</x:f>
      </x:c>
      <x:c r="N53" s="100" t="str">
        <x:f>IF(OR(J53="",M53=""),"",J53*M53*(1+K53/100))</x:f>
      </x:c>
      <x:c r="O53" s="46" t="str"/>
      <x:c r="P53" s="46" t="str">
        <x:f>IF(A53="SKIP","متجاوز",IF(C53="","مفتاح منتج ناقص",IF(D53="","منتج غير موجود",IF(E53="","كود مخزون ناقص",IF(F53="","مادة غير موجودة",IF(J53="","خطأ وحدة",IF(G53&lt;=0,"كمية غير صالحة","صالح")))))))</x:f>
        <x:v>صالح</x:v>
      </x:c>
    </x:row>
    <x:row r="54">
      <x:c r="A54" s="46" t="str">
        <x:v>UPSERT_INACTIVE</x:v>
      </x:c>
      <x:c r="B54" s="46" t="str">
        <x:v>بحاجة مراجعة</x:v>
      </x:c>
      <x:c r="C54" s="46" t="str">
        <x:v>hub_baladi_cheese</x:v>
      </x:c>
      <x:c r="D54" s="46" t="str">
        <x:f>IFERROR(VLOOKUP(C54,'المنتجات'!$C$2:$D$500,2,FALSE),"")</x:f>
        <x:v>الجبنة البلدية</x:v>
      </x:c>
      <x:c r="E54" s="46" t="str">
        <x:v>ING-HERB-BASIL</x:v>
      </x:c>
      <x:c r="F54" s="46" t="str">
        <x:f>IFERROR(VLOOKUP(E54,'مواد المخزون'!$C$2:$J$500,2,FALSE),"")</x:f>
        <x:v>حبق / ريحان</x:v>
      </x:c>
      <x:c r="G54" s="104" t="n">
        <x:v>0.05</x:v>
      </x:c>
      <x:c r="H54" s="46" t="str">
        <x:v>عبوة</x:v>
      </x:c>
      <x:c r="I54" s="46" t="str">
        <x:f>IFERROR(VLOOKUP(E54,'مواد المخزون'!$C$2:$J$500,5,FALSE),"")</x:f>
        <x:v>عبوة</x:v>
      </x:c>
      <x:c r="J54" s="104" t="n">
        <x:f>IF(OR(G54="",H54="",I54=""),"",IF(H54=I54,G54,IF(AND(H54="غ",I54="كغ"),G54/1000,IF(AND(H54="كغ",I54="غ"),G54*1000,IF(AND(H54="مل",I54="لتر"),G54/1000,IF(AND(H54="لتر",I54="مل"),G54*1000,""))))))</x:f>
        <x:v>0.05</x:v>
      </x:c>
      <x:c r="K54" s="108" t="n">
        <x:v>0</x:v>
      </x:c>
      <x:c r="L54" s="46" t="str">
        <x:v>لا</x:v>
      </x:c>
      <x:c r="M54" s="100" t="str">
        <x:f>IFERROR(VLOOKUP(E54,'مواد المخزون'!$C$2:$J$500,8,FALSE),"")</x:f>
      </x:c>
      <x:c r="N54" s="100" t="str">
        <x:f>IF(OR(J54="",M54=""),"",J54*M54*(1+K54/100))</x:f>
      </x:c>
      <x:c r="O54" s="46" t="str"/>
      <x:c r="P54" s="46" t="str">
        <x:f>IF(A54="SKIP","متجاوز",IF(C54="","مفتاح منتج ناقص",IF(D54="","منتج غير موجود",IF(E54="","كود مخزون ناقص",IF(F54="","مادة غير موجودة",IF(J54="","خطأ وحدة",IF(G54&lt;=0,"كمية غير صالحة","صالح")))))))</x:f>
        <x:v>صالح</x:v>
      </x:c>
    </x:row>
    <x:row r="55">
      <x:c r="A55" s="46" t="str">
        <x:v>UPSERT_INACTIVE</x:v>
      </x:c>
      <x:c r="B55" s="46" t="str">
        <x:v>بحاجة مراجعة</x:v>
      </x:c>
      <x:c r="C55" s="46" t="str">
        <x:v>hub_baladi_cheese</x:v>
      </x:c>
      <x:c r="D55" s="46" t="str">
        <x:f>IFERROR(VLOOKUP(C55,'المنتجات'!$C$2:$D$500,2,FALSE),"")</x:f>
        <x:v>الجبنة البلدية</x:v>
      </x:c>
      <x:c r="E55" s="46" t="str">
        <x:v>ING-OIL-OLIVE</x:v>
      </x:c>
      <x:c r="F55" s="46" t="str">
        <x:f>IFERROR(VLOOKUP(E55,'مواد المخزون'!$C$2:$J$500,2,FALSE),"")</x:f>
        <x:v>زيت زيتون</x:v>
      </x:c>
      <x:c r="G55" s="104" t="n">
        <x:v>10</x:v>
      </x:c>
      <x:c r="H55" s="46" t="str">
        <x:v>مل</x:v>
      </x:c>
      <x:c r="I55" s="46" t="str">
        <x:f>IFERROR(VLOOKUP(E55,'مواد المخزون'!$C$2:$J$500,5,FALSE),"")</x:f>
        <x:v>لتر</x:v>
      </x:c>
      <x:c r="J55" s="104" t="n">
        <x:f>IF(OR(G55="",H55="",I55=""),"",IF(H55=I55,G55,IF(AND(H55="غ",I55="كغ"),G55/1000,IF(AND(H55="كغ",I55="غ"),G55*1000,IF(AND(H55="مل",I55="لتر"),G55/1000,IF(AND(H55="لتر",I55="مل"),G55*1000,""))))))</x:f>
        <x:v>0.01</x:v>
      </x:c>
      <x:c r="K55" s="108" t="n">
        <x:v>0</x:v>
      </x:c>
      <x:c r="L55" s="46" t="str">
        <x:v>لا</x:v>
      </x:c>
      <x:c r="M55" s="100" t="str">
        <x:f>IFERROR(VLOOKUP(E55,'مواد المخزون'!$C$2:$J$500,8,FALSE),"")</x:f>
      </x:c>
      <x:c r="N55" s="100" t="str">
        <x:f>IF(OR(J55="",M55=""),"",J55*M55*(1+K55/100))</x:f>
      </x:c>
      <x:c r="O55" s="46" t="str"/>
      <x:c r="P55" s="46" t="str">
        <x:f>IF(A55="SKIP","متجاوز",IF(C55="","مفتاح منتج ناقص",IF(D55="","منتج غير موجود",IF(E55="","كود مخزون ناقص",IF(F55="","مادة غير موجودة",IF(J55="","خطأ وحدة",IF(G55&lt;=0,"كمية غير صالحة","صالح")))))))</x:f>
        <x:v>صالح</x:v>
      </x:c>
    </x:row>
    <x:row r="56">
      <x:c r="A56" s="46" t="str">
        <x:v>UPSERT_INACTIVE</x:v>
      </x:c>
      <x:c r="B56" s="46" t="str">
        <x:v>بحاجة مراجعة</x:v>
      </x:c>
      <x:c r="C56" s="46" t="str">
        <x:v>hub_baladi_cheese</x:v>
      </x:c>
      <x:c r="D56" s="46" t="str">
        <x:f>IFERROR(VLOOKUP(C56,'المنتجات'!$C$2:$D$500,2,FALSE),"")</x:f>
        <x:v>الجبنة البلدية</x:v>
      </x:c>
      <x:c r="E56" s="46" t="str">
        <x:v>ING-VEG-TOMATO</x:v>
      </x:c>
      <x:c r="F56" s="46" t="str">
        <x:f>IFERROR(VLOOKUP(E56,'مواد المخزون'!$C$2:$J$500,2,FALSE),"")</x:f>
        <x:v>بندورة</x:v>
      </x:c>
      <x:c r="G56" s="104" t="n">
        <x:v>50</x:v>
      </x:c>
      <x:c r="H56" s="46" t="str">
        <x:v>غ</x:v>
      </x:c>
      <x:c r="I56" s="46" t="str">
        <x:f>IFERROR(VLOOKUP(E56,'مواد المخزون'!$C$2:$J$500,5,FALSE),"")</x:f>
        <x:v>كغ</x:v>
      </x:c>
      <x:c r="J56" s="104" t="n">
        <x:f>IF(OR(G56="",H56="",I56=""),"",IF(H56=I56,G56,IF(AND(H56="غ",I56="كغ"),G56/1000,IF(AND(H56="كغ",I56="غ"),G56*1000,IF(AND(H56="مل",I56="لتر"),G56/1000,IF(AND(H56="لتر",I56="مل"),G56*1000,""))))))</x:f>
        <x:v>0.05</x:v>
      </x:c>
      <x:c r="K56" s="108" t="n">
        <x:v>0</x:v>
      </x:c>
      <x:c r="L56" s="46" t="str">
        <x:v>لا</x:v>
      </x:c>
      <x:c r="M56" s="100" t="n">
        <x:f>IFERROR(VLOOKUP(E56,'مواد المخزون'!$C$2:$J$500,8,FALSE),"")</x:f>
        <x:v>9000</x:v>
      </x:c>
      <x:c r="N56" s="100" t="n">
        <x:f>IF(OR(J56="",M56=""),"",J56*M56*(1+K56/100))</x:f>
        <x:v>450</x:v>
      </x:c>
      <x:c r="O56" s="46" t="str"/>
      <x:c r="P56" s="46" t="str">
        <x:f>IF(A56="SKIP","متجاوز",IF(C56="","مفتاح منتج ناقص",IF(D56="","منتج غير موجود",IF(E56="","كود مخزون ناقص",IF(F56="","مادة غير موجودة",IF(J56="","خطأ وحدة",IF(G56&lt;=0,"كمية غير صالحة","صالح")))))))</x:f>
        <x:v>صالح</x:v>
      </x:c>
    </x:row>
    <x:row r="57">
      <x:c r="A57" s="46" t="str">
        <x:v>UPSERT_INACTIVE</x:v>
      </x:c>
      <x:c r="B57" s="46" t="str">
        <x:v>بحاجة مراجعة</x:v>
      </x:c>
      <x:c r="C57" s="46" t="str">
        <x:v>hub_baladi_cheese</x:v>
      </x:c>
      <x:c r="D57" s="46" t="str">
        <x:f>IFERROR(VLOOKUP(C57,'المنتجات'!$C$2:$D$500,2,FALSE),"")</x:f>
        <x:v>الجبنة البلدية</x:v>
      </x:c>
      <x:c r="E57" s="46" t="str">
        <x:v>ING-VEG-CUCUMBER</x:v>
      </x:c>
      <x:c r="F57" s="46" t="str">
        <x:f>IFERROR(VLOOKUP(E57,'مواد المخزون'!$C$2:$J$500,2,FALSE),"")</x:f>
        <x:v>خيار / بعجور</x:v>
      </x:c>
      <x:c r="G57" s="104" t="n">
        <x:v>50</x:v>
      </x:c>
      <x:c r="H57" s="46" t="str">
        <x:v>غ</x:v>
      </x:c>
      <x:c r="I57" s="46" t="str">
        <x:f>IFERROR(VLOOKUP(E57,'مواد المخزون'!$C$2:$J$500,5,FALSE),"")</x:f>
        <x:v>كغ</x:v>
      </x:c>
      <x:c r="J57" s="104" t="n">
        <x:f>IF(OR(G57="",H57="",I57=""),"",IF(H57=I57,G57,IF(AND(H57="غ",I57="كغ"),G57/1000,IF(AND(H57="كغ",I57="غ"),G57*1000,IF(AND(H57="مل",I57="لتر"),G57/1000,IF(AND(H57="لتر",I57="مل"),G57*1000,""))))))</x:f>
        <x:v>0.05</x:v>
      </x:c>
      <x:c r="K57" s="108" t="n">
        <x:v>0</x:v>
      </x:c>
      <x:c r="L57" s="46" t="str">
        <x:v>لا</x:v>
      </x:c>
      <x:c r="M57" s="100" t="n">
        <x:f>IFERROR(VLOOKUP(E57,'مواد المخزون'!$C$2:$J$500,8,FALSE),"")</x:f>
        <x:v>5000</x:v>
      </x:c>
      <x:c r="N57" s="100" t="n">
        <x:f>IF(OR(J57="",M57=""),"",J57*M57*(1+K57/100))</x:f>
        <x:v>250</x:v>
      </x:c>
      <x:c r="O57" s="46" t="str"/>
      <x:c r="P57" s="46" t="str">
        <x:f>IF(A57="SKIP","متجاوز",IF(C57="","مفتاح منتج ناقص",IF(D57="","منتج غير موجود",IF(E57="","كود مخزون ناقص",IF(F57="","مادة غير موجودة",IF(J57="","خطأ وحدة",IF(G57&lt;=0,"كمية غير صالحة","صالح")))))))</x:f>
        <x:v>صالح</x:v>
      </x:c>
    </x:row>
    <x:row r="58">
      <x:c r="A58" s="46" t="str">
        <x:v>UPSERT_INACTIVE</x:v>
      </x:c>
      <x:c r="B58" s="46" t="str">
        <x:v>بحاجة مراجعة</x:v>
      </x:c>
      <x:c r="C58" s="46" t="str">
        <x:v>hub_egg_cheese</x:v>
      </x:c>
      <x:c r="D58" s="46" t="str">
        <x:f>IFERROR(VLOOKUP(C58,'المنتجات'!$C$2:$D$500,2,FALSE),"")</x:f>
        <x:v>بيض وجبنة</x:v>
      </x:c>
      <x:c r="E58" s="46" t="str">
        <x:v>ING-BREAD-SAMOON</x:v>
      </x:c>
      <x:c r="F58" s="46" t="str">
        <x:f>IFERROR(VLOOKUP(E58,'مواد المخزون'!$C$2:$J$500,2,FALSE),"")</x:f>
        <x:v>خبز سمون</x:v>
      </x:c>
      <x:c r="G58" s="104" t="n">
        <x:v>1</x:v>
      </x:c>
      <x:c r="H58" s="46" t="str">
        <x:v>قطعة</x:v>
      </x:c>
      <x:c r="I58" s="46" t="str">
        <x:f>IFERROR(VLOOKUP(E58,'مواد المخزون'!$C$2:$J$500,5,FALSE),"")</x:f>
        <x:v>قطعة</x:v>
      </x:c>
      <x:c r="J58" s="104" t="n">
        <x:f>IF(OR(G58="",H58="",I58=""),"",IF(H58=I58,G58,IF(AND(H58="غ",I58="كغ"),G58/1000,IF(AND(H58="كغ",I58="غ"),G58*1000,IF(AND(H58="مل",I58="لتر"),G58/1000,IF(AND(H58="لتر",I58="مل"),G58*1000,""))))))</x:f>
        <x:v>1</x:v>
      </x:c>
      <x:c r="K58" s="108" t="n">
        <x:v>0</x:v>
      </x:c>
      <x:c r="L58" s="46" t="str">
        <x:v>لا</x:v>
      </x:c>
      <x:c r="M58" s="100" t="str">
        <x:f>IFERROR(VLOOKUP(E58,'مواد المخزون'!$C$2:$J$500,8,FALSE),"")</x:f>
      </x:c>
      <x:c r="N58" s="100" t="str">
        <x:f>IF(OR(J58="",M58=""),"",J58*M58*(1+K58/100))</x:f>
      </x:c>
      <x:c r="O58" s="46" t="str"/>
      <x:c r="P58" s="46" t="str">
        <x:f>IF(A58="SKIP","متجاوز",IF(C58="","مفتاح منتج ناقص",IF(D58="","منتج غير موجود",IF(E58="","كود مخزون ناقص",IF(F58="","مادة غير موجودة",IF(J58="","خطأ وحدة",IF(G58&lt;=0,"كمية غير صالحة","صالح")))))))</x:f>
        <x:v>صالح</x:v>
      </x:c>
    </x:row>
    <x:row r="59">
      <x:c r="A59" s="46" t="str">
        <x:v>UPSERT_INACTIVE</x:v>
      </x:c>
      <x:c r="B59" s="46" t="str">
        <x:v>بحاجة مراجعة</x:v>
      </x:c>
      <x:c r="C59" s="46" t="str">
        <x:v>hub_egg_cheese</x:v>
      </x:c>
      <x:c r="D59" s="46" t="str">
        <x:f>IFERROR(VLOOKUP(C59,'المنتجات'!$C$2:$D$500,2,FALSE),"")</x:f>
        <x:v>بيض وجبنة</x:v>
      </x:c>
      <x:c r="E59" s="46" t="str">
        <x:v>ING-DAIRY-EGG</x:v>
      </x:c>
      <x:c r="F59" s="46" t="str">
        <x:f>IFERROR(VLOOKUP(E59,'مواد المخزون'!$C$2:$J$500,2,FALSE),"")</x:f>
        <x:v>بيض</x:v>
      </x:c>
      <x:c r="G59" s="104" t="n">
        <x:v>2</x:v>
      </x:c>
      <x:c r="H59" s="46" t="str">
        <x:v>قطعة</x:v>
      </x:c>
      <x:c r="I59" s="46" t="str">
        <x:f>IFERROR(VLOOKUP(E59,'مواد المخزون'!$C$2:$J$500,5,FALSE),"")</x:f>
        <x:v>قطعة</x:v>
      </x:c>
      <x:c r="J59" s="104" t="n">
        <x:f>IF(OR(G59="",H59="",I59=""),"",IF(H59=I59,G59,IF(AND(H59="غ",I59="كغ"),G59/1000,IF(AND(H59="كغ",I59="غ"),G59*1000,IF(AND(H59="مل",I59="لتر"),G59/1000,IF(AND(H59="لتر",I59="مل"),G59*1000,""))))))</x:f>
        <x:v>2</x:v>
      </x:c>
      <x:c r="K59" s="108" t="n">
        <x:v>0</x:v>
      </x:c>
      <x:c r="L59" s="46" t="str">
        <x:v>لا</x:v>
      </x:c>
      <x:c r="M59" s="100" t="n">
        <x:f>IFERROR(VLOOKUP(E59,'مواد المخزون'!$C$2:$J$500,8,FALSE),"")</x:f>
        <x:v>1500</x:v>
      </x:c>
      <x:c r="N59" s="100" t="n">
        <x:f>IF(OR(J59="",M59=""),"",J59*M59*(1+K59/100))</x:f>
        <x:v>3000</x:v>
      </x:c>
      <x:c r="O59" s="46" t="str"/>
      <x:c r="P59" s="46" t="str">
        <x:f>IF(A59="SKIP","متجاوز",IF(C59="","مفتاح منتج ناقص",IF(D59="","منتج غير موجود",IF(E59="","كود مخزون ناقص",IF(F59="","مادة غير موجودة",IF(J59="","خطأ وحدة",IF(G59&lt;=0,"كمية غير صالحة","صالح")))))))</x:f>
        <x:v>صالح</x:v>
      </x:c>
    </x:row>
    <x:row r="60">
      <x:c r="A60" s="46" t="str">
        <x:v>UPSERT_INACTIVE</x:v>
      </x:c>
      <x:c r="B60" s="46" t="str">
        <x:v>بحاجة مراجعة</x:v>
      </x:c>
      <x:c r="C60" s="46" t="str">
        <x:v>hub_egg_cheese</x:v>
      </x:c>
      <x:c r="D60" s="46" t="str">
        <x:f>IFERROR(VLOOKUP(C60,'المنتجات'!$C$2:$D$500,2,FALSE),"")</x:f>
        <x:v>بيض وجبنة</x:v>
      </x:c>
      <x:c r="E60" s="46" t="str">
        <x:v>ING-CHEESE-WHITE</x:v>
      </x:c>
      <x:c r="F60" s="46" t="str">
        <x:f>IFERROR(VLOOKUP(E60,'مواد المخزون'!$C$2:$J$500,2,FALSE),"")</x:f>
        <x:v>جبنة بيضاء</x:v>
      </x:c>
      <x:c r="G60" s="104" t="n">
        <x:v>50</x:v>
      </x:c>
      <x:c r="H60" s="46" t="str">
        <x:v>غ</x:v>
      </x:c>
      <x:c r="I60" s="46" t="str">
        <x:f>IFERROR(VLOOKUP(E60,'مواد المخزون'!$C$2:$J$500,5,FALSE),"")</x:f>
        <x:v>كغ</x:v>
      </x:c>
      <x:c r="J60" s="104" t="n">
        <x:f>IF(OR(G60="",H60="",I60=""),"",IF(H60=I60,G60,IF(AND(H60="غ",I60="كغ"),G60/1000,IF(AND(H60="كغ",I60="غ"),G60*1000,IF(AND(H60="مل",I60="لتر"),G60/1000,IF(AND(H60="لتر",I60="مل"),G60*1000,""))))))</x:f>
        <x:v>0.05</x:v>
      </x:c>
      <x:c r="K60" s="108" t="n">
        <x:v>0</x:v>
      </x:c>
      <x:c r="L60" s="46" t="str">
        <x:v>لا</x:v>
      </x:c>
      <x:c r="M60" s="100" t="str">
        <x:f>IFERROR(VLOOKUP(E60,'مواد المخزون'!$C$2:$J$500,8,FALSE),"")</x:f>
      </x:c>
      <x:c r="N60" s="100" t="str">
        <x:f>IF(OR(J60="",M60=""),"",J60*M60*(1+K60/100))</x:f>
      </x:c>
      <x:c r="O60" s="46" t="str"/>
      <x:c r="P60" s="46" t="str">
        <x:f>IF(A60="SKIP","متجاوز",IF(C60="","مفتاح منتج ناقص",IF(D60="","منتج غير موجود",IF(E60="","كود مخزون ناقص",IF(F60="","مادة غير موجودة",IF(J60="","خطأ وحدة",IF(G60&lt;=0,"كمية غير صالحة","صالح")))))))</x:f>
        <x:v>صالح</x:v>
      </x:c>
    </x:row>
    <x:row r="61">
      <x:c r="A61" s="46" t="str">
        <x:v>UPSERT_INACTIVE</x:v>
      </x:c>
      <x:c r="B61" s="46" t="str">
        <x:v>بحاجة مراجعة</x:v>
      </x:c>
      <x:c r="C61" s="46" t="str">
        <x:v>hub_egg_cheese</x:v>
      </x:c>
      <x:c r="D61" s="46" t="str">
        <x:f>IFERROR(VLOOKUP(C61,'المنتجات'!$C$2:$D$500,2,FALSE),"")</x:f>
        <x:v>بيض وجبنة</x:v>
      </x:c>
      <x:c r="E61" s="46" t="str">
        <x:v>ING-VEG-TOMATO</x:v>
      </x:c>
      <x:c r="F61" s="46" t="str">
        <x:f>IFERROR(VLOOKUP(E61,'مواد المخزون'!$C$2:$J$500,2,FALSE),"")</x:f>
        <x:v>بندورة</x:v>
      </x:c>
      <x:c r="G61" s="104" t="n">
        <x:v>40</x:v>
      </x:c>
      <x:c r="H61" s="46" t="str">
        <x:v>غ</x:v>
      </x:c>
      <x:c r="I61" s="46" t="str">
        <x:f>IFERROR(VLOOKUP(E61,'مواد المخزون'!$C$2:$J$500,5,FALSE),"")</x:f>
        <x:v>كغ</x:v>
      </x:c>
      <x:c r="J61" s="104" t="n">
        <x:f>IF(OR(G61="",H61="",I61=""),"",IF(H61=I61,G61,IF(AND(H61="غ",I61="كغ"),G61/1000,IF(AND(H61="كغ",I61="غ"),G61*1000,IF(AND(H61="مل",I61="لتر"),G61/1000,IF(AND(H61="لتر",I61="مل"),G61*1000,""))))))</x:f>
        <x:v>0.04</x:v>
      </x:c>
      <x:c r="K61" s="108" t="n">
        <x:v>0</x:v>
      </x:c>
      <x:c r="L61" s="46" t="str">
        <x:v>لا</x:v>
      </x:c>
      <x:c r="M61" s="100" t="n">
        <x:f>IFERROR(VLOOKUP(E61,'مواد المخزون'!$C$2:$J$500,8,FALSE),"")</x:f>
        <x:v>9000</x:v>
      </x:c>
      <x:c r="N61" s="100" t="n">
        <x:f>IF(OR(J61="",M61=""),"",J61*M61*(1+K61/100))</x:f>
        <x:v>360</x:v>
      </x:c>
      <x:c r="O61" s="46" t="str"/>
      <x:c r="P61" s="46" t="str">
        <x:f>IF(A61="SKIP","متجاوز",IF(C61="","مفتاح منتج ناقص",IF(D61="","منتج غير موجود",IF(E61="","كود مخزون ناقص",IF(F61="","مادة غير موجودة",IF(J61="","خطأ وحدة",IF(G61&lt;=0,"كمية غير صالحة","صالح")))))))</x:f>
        <x:v>صالح</x:v>
      </x:c>
    </x:row>
    <x:row r="62">
      <x:c r="A62" s="46" t="str">
        <x:v>UPSERT_INACTIVE</x:v>
      </x:c>
      <x:c r="B62" s="46" t="str">
        <x:v>بحاجة مراجعة</x:v>
      </x:c>
      <x:c r="C62" s="46" t="str">
        <x:v>hub_egg_cheese</x:v>
      </x:c>
      <x:c r="D62" s="46" t="str">
        <x:f>IFERROR(VLOOKUP(C62,'المنتجات'!$C$2:$D$500,2,FALSE),"")</x:f>
        <x:v>بيض وجبنة</x:v>
      </x:c>
      <x:c r="E62" s="46" t="str">
        <x:v>ING-VEG-CUCUMBER</x:v>
      </x:c>
      <x:c r="F62" s="46" t="str">
        <x:f>IFERROR(VLOOKUP(E62,'مواد المخزون'!$C$2:$J$500,2,FALSE),"")</x:f>
        <x:v>خيار / بعجور</x:v>
      </x:c>
      <x:c r="G62" s="104" t="n">
        <x:v>40</x:v>
      </x:c>
      <x:c r="H62" s="46" t="str">
        <x:v>غ</x:v>
      </x:c>
      <x:c r="I62" s="46" t="str">
        <x:f>IFERROR(VLOOKUP(E62,'مواد المخزون'!$C$2:$J$500,5,FALSE),"")</x:f>
        <x:v>كغ</x:v>
      </x:c>
      <x:c r="J62" s="104" t="n">
        <x:f>IF(OR(G62="",H62="",I62=""),"",IF(H62=I62,G62,IF(AND(H62="غ",I62="كغ"),G62/1000,IF(AND(H62="كغ",I62="غ"),G62*1000,IF(AND(H62="مل",I62="لتر"),G62/1000,IF(AND(H62="لتر",I62="مل"),G62*1000,""))))))</x:f>
        <x:v>0.04</x:v>
      </x:c>
      <x:c r="K62" s="108" t="n">
        <x:v>0</x:v>
      </x:c>
      <x:c r="L62" s="46" t="str">
        <x:v>لا</x:v>
      </x:c>
      <x:c r="M62" s="100" t="n">
        <x:f>IFERROR(VLOOKUP(E62,'مواد المخزون'!$C$2:$J$500,8,FALSE),"")</x:f>
        <x:v>5000</x:v>
      </x:c>
      <x:c r="N62" s="100" t="n">
        <x:f>IF(OR(J62="",M62=""),"",J62*M62*(1+K62/100))</x:f>
        <x:v>200</x:v>
      </x:c>
      <x:c r="O62" s="46" t="str"/>
      <x:c r="P62" s="46" t="str">
        <x:f>IF(A62="SKIP","متجاوز",IF(C62="","مفتاح منتج ناقص",IF(D62="","منتج غير موجود",IF(E62="","كود مخزون ناقص",IF(F62="","مادة غير موجودة",IF(J62="","خطأ وحدة",IF(G62&lt;=0,"كمية غير صالحة","صالح")))))))</x:f>
        <x:v>صالح</x:v>
      </x:c>
    </x:row>
    <x:row r="63">
      <x:c r="A63" s="46" t="str">
        <x:v>UPSERT_INACTIVE</x:v>
      </x:c>
      <x:c r="B63" s="46" t="str">
        <x:v>بحاجة مراجعة</x:v>
      </x:c>
      <x:c r="C63" s="46" t="str">
        <x:v>hub_chicken_garlic</x:v>
      </x:c>
      <x:c r="D63" s="46" t="str">
        <x:f>IFERROR(VLOOKUP(C63,'المنتجات'!$C$2:$D$500,2,FALSE),"")</x:f>
        <x:v>دجاج وثوم</x:v>
      </x:c>
      <x:c r="E63" s="46" t="str">
        <x:v>ING-BREAD-SAMOON</x:v>
      </x:c>
      <x:c r="F63" s="46" t="str">
        <x:f>IFERROR(VLOOKUP(E63,'مواد المخزون'!$C$2:$J$500,2,FALSE),"")</x:f>
        <x:v>خبز سمون</x:v>
      </x:c>
      <x:c r="G63" s="104" t="n">
        <x:v>1</x:v>
      </x:c>
      <x:c r="H63" s="46" t="str">
        <x:v>قطعة</x:v>
      </x:c>
      <x:c r="I63" s="46" t="str">
        <x:f>IFERROR(VLOOKUP(E63,'مواد المخزون'!$C$2:$J$500,5,FALSE),"")</x:f>
        <x:v>قطعة</x:v>
      </x:c>
      <x:c r="J63" s="104" t="n">
        <x:f>IF(OR(G63="",H63="",I63=""),"",IF(H63=I63,G63,IF(AND(H63="غ",I63="كغ"),G63/1000,IF(AND(H63="كغ",I63="غ"),G63*1000,IF(AND(H63="مل",I63="لتر"),G63/1000,IF(AND(H63="لتر",I63="مل"),G63*1000,""))))))</x:f>
        <x:v>1</x:v>
      </x:c>
      <x:c r="K63" s="108" t="n">
        <x:v>0</x:v>
      </x:c>
      <x:c r="L63" s="46" t="str">
        <x:v>لا</x:v>
      </x:c>
      <x:c r="M63" s="100" t="str">
        <x:f>IFERROR(VLOOKUP(E63,'مواد المخزون'!$C$2:$J$500,8,FALSE),"")</x:f>
      </x:c>
      <x:c r="N63" s="100" t="str">
        <x:f>IF(OR(J63="",M63=""),"",J63*M63*(1+K63/100))</x:f>
      </x:c>
      <x:c r="O63" s="46" t="str"/>
      <x:c r="P63" s="46" t="str">
        <x:f>IF(A63="SKIP","متجاوز",IF(C63="","مفتاح منتج ناقص",IF(D63="","منتج غير موجود",IF(E63="","كود مخزون ناقص",IF(F63="","مادة غير موجودة",IF(J63="","خطأ وحدة",IF(G63&lt;=0,"كمية غير صالحة","صالح")))))))</x:f>
        <x:v>صالح</x:v>
      </x:c>
    </x:row>
    <x:row r="64">
      <x:c r="A64" s="46" t="str">
        <x:v>UPSERT_INACTIVE</x:v>
      </x:c>
      <x:c r="B64" s="46" t="str">
        <x:v>بحاجة مراجعة</x:v>
      </x:c>
      <x:c r="C64" s="46" t="str">
        <x:v>hub_chicken_garlic</x:v>
      </x:c>
      <x:c r="D64" s="46" t="str">
        <x:f>IFERROR(VLOOKUP(C64,'المنتجات'!$C$2:$D$500,2,FALSE),"")</x:f>
        <x:v>دجاج وثوم</x:v>
      </x:c>
      <x:c r="E64" s="46" t="str">
        <x:v>ING-MEAT-CHICKENBREAST</x:v>
      </x:c>
      <x:c r="F64" s="46" t="str">
        <x:f>IFERROR(VLOOKUP(E64,'مواد المخزون'!$C$2:$J$500,2,FALSE),"")</x:f>
        <x:v>صدر دجاج</x:v>
      </x:c>
      <x:c r="G64" s="104" t="n">
        <x:v>120</x:v>
      </x:c>
      <x:c r="H64" s="46" t="str">
        <x:v>غ</x:v>
      </x:c>
      <x:c r="I64" s="46" t="str">
        <x:f>IFERROR(VLOOKUP(E64,'مواد المخزون'!$C$2:$J$500,5,FALSE),"")</x:f>
        <x:v>كغ</x:v>
      </x:c>
      <x:c r="J64" s="104" t="n">
        <x:f>IF(OR(G64="",H64="",I64=""),"",IF(H64=I64,G64,IF(AND(H64="غ",I64="كغ"),G64/1000,IF(AND(H64="كغ",I64="غ"),G64*1000,IF(AND(H64="مل",I64="لتر"),G64/1000,IF(AND(H64="لتر",I64="مل"),G64*1000,""))))))</x:f>
        <x:v>0.12</x:v>
      </x:c>
      <x:c r="K64" s="108" t="n">
        <x:v>10</x:v>
      </x:c>
      <x:c r="L64" s="46" t="str">
        <x:v>لا</x:v>
      </x:c>
      <x:c r="M64" s="100" t="n">
        <x:f>IFERROR(VLOOKUP(E64,'مواد المخزون'!$C$2:$J$500,8,FALSE),"")</x:f>
        <x:v>35000</x:v>
      </x:c>
      <x:c r="N64" s="100" t="n">
        <x:f>IF(OR(J64="",M64=""),"",J64*M64*(1+K64/100))</x:f>
        <x:v>4620</x:v>
      </x:c>
      <x:c r="O64" s="46" t="str">
        <x:v>الوزن الخام قبل الشوي؛ هدر تقديري 10%.</x:v>
      </x:c>
      <x:c r="P64" s="46" t="str">
        <x:f>IF(A64="SKIP","متجاوز",IF(C64="","مفتاح منتج ناقص",IF(D64="","منتج غير موجود",IF(E64="","كود مخزون ناقص",IF(F64="","مادة غير موجودة",IF(J64="","خطأ وحدة",IF(G64&lt;=0,"كمية غير صالحة","صالح")))))))</x:f>
        <x:v>صالح</x:v>
      </x:c>
    </x:row>
    <x:row r="65">
      <x:c r="A65" s="46" t="str">
        <x:v>UPSERT_INACTIVE</x:v>
      </x:c>
      <x:c r="B65" s="46" t="str">
        <x:v>بحاجة مراجعة</x:v>
      </x:c>
      <x:c r="C65" s="46" t="str">
        <x:v>hub_chicken_garlic</x:v>
      </x:c>
      <x:c r="D65" s="46" t="str">
        <x:f>IFERROR(VLOOKUP(C65,'المنتجات'!$C$2:$D$500,2,FALSE),"")</x:f>
        <x:v>دجاج وثوم</x:v>
      </x:c>
      <x:c r="E65" s="46" t="str">
        <x:v>ING-PICKLE-MIXED-WEIGHT</x:v>
      </x:c>
      <x:c r="F65" s="46" t="str">
        <x:f>IFERROR(VLOOKUP(E65,'مواد المخزون'!$C$2:$J$500,2,FALSE),"")</x:f>
        <x:v>مخلل مشكل بالوزن</x:v>
      </x:c>
      <x:c r="G65" s="104" t="n">
        <x:v>30</x:v>
      </x:c>
      <x:c r="H65" s="46" t="str">
        <x:v>غ</x:v>
      </x:c>
      <x:c r="I65" s="46" t="str">
        <x:f>IFERROR(VLOOKUP(E65,'مواد المخزون'!$C$2:$J$500,5,FALSE),"")</x:f>
        <x:v>كغ</x:v>
      </x:c>
      <x:c r="J65" s="104" t="n">
        <x:f>IF(OR(G65="",H65="",I65=""),"",IF(H65=I65,G65,IF(AND(H65="غ",I65="كغ"),G65/1000,IF(AND(H65="كغ",I65="غ"),G65*1000,IF(AND(H65="مل",I65="لتر"),G65/1000,IF(AND(H65="لتر",I65="مل"),G65*1000,""))))))</x:f>
        <x:v>0.03</x:v>
      </x:c>
      <x:c r="K65" s="108" t="n">
        <x:v>0</x:v>
      </x:c>
      <x:c r="L65" s="46" t="str">
        <x:v>لا</x:v>
      </x:c>
      <x:c r="M65" s="100" t="str">
        <x:f>IFERROR(VLOOKUP(E65,'مواد المخزون'!$C$2:$J$500,8,FALSE),"")</x:f>
      </x:c>
      <x:c r="N65" s="100" t="str">
        <x:f>IF(OR(J65="",M65=""),"",J65*M65*(1+K65/100))</x:f>
      </x:c>
      <x:c r="O65" s="46" t="str"/>
      <x:c r="P65" s="46" t="str">
        <x:f>IF(A65="SKIP","متجاوز",IF(C65="","مفتاح منتج ناقص",IF(D65="","منتج غير موجود",IF(E65="","كود مخزون ناقص",IF(F65="","مادة غير موجودة",IF(J65="","خطأ وحدة",IF(G65&lt;=0,"كمية غير صالحة","صالح")))))))</x:f>
        <x:v>صالح</x:v>
      </x:c>
    </x:row>
    <x:row r="66">
      <x:c r="A66" s="46" t="str">
        <x:v>UPSERT_INACTIVE</x:v>
      </x:c>
      <x:c r="B66" s="46" t="str">
        <x:v>بحاجة مراجعة</x:v>
      </x:c>
      <x:c r="C66" s="46" t="str">
        <x:v>hub_chicken_garlic</x:v>
      </x:c>
      <x:c r="D66" s="46" t="str">
        <x:f>IFERROR(VLOOKUP(C66,'المنتجات'!$C$2:$D$500,2,FALSE),"")</x:f>
        <x:v>دجاج وثوم</x:v>
      </x:c>
      <x:c r="E66" s="46" t="str">
        <x:v>ING-VEG-LETTUCE</x:v>
      </x:c>
      <x:c r="F66" s="46" t="str">
        <x:f>IFERROR(VLOOKUP(E66,'مواد المخزون'!$C$2:$J$500,2,FALSE),"")</x:f>
        <x:v>خس</x:v>
      </x:c>
      <x:c r="G66" s="104" t="n">
        <x:v>0.05</x:v>
      </x:c>
      <x:c r="H66" s="46" t="str">
        <x:v>عبوة</x:v>
      </x:c>
      <x:c r="I66" s="46" t="str">
        <x:f>IFERROR(VLOOKUP(E66,'مواد المخزون'!$C$2:$J$500,5,FALSE),"")</x:f>
        <x:v>عبوة</x:v>
      </x:c>
      <x:c r="J66" s="104" t="n">
        <x:f>IF(OR(G66="",H66="",I66=""),"",IF(H66=I66,G66,IF(AND(H66="غ",I66="كغ"),G66/1000,IF(AND(H66="كغ",I66="غ"),G66*1000,IF(AND(H66="مل",I66="لتر"),G66/1000,IF(AND(H66="لتر",I66="مل"),G66*1000,""))))))</x:f>
        <x:v>0.05</x:v>
      </x:c>
      <x:c r="K66" s="108" t="n">
        <x:v>0</x:v>
      </x:c>
      <x:c r="L66" s="46" t="str">
        <x:v>لا</x:v>
      </x:c>
      <x:c r="M66" s="100" t="n">
        <x:f>IFERROR(VLOOKUP(E66,'مواد المخزون'!$C$2:$J$500,8,FALSE),"")</x:f>
        <x:v>8000</x:v>
      </x:c>
      <x:c r="N66" s="100" t="n">
        <x:f>IF(OR(J66="",M66=""),"",J66*M66*(1+K66/100))</x:f>
        <x:v>400</x:v>
      </x:c>
      <x:c r="O66" s="46" t="str"/>
      <x:c r="P66" s="46" t="str">
        <x:f>IF(A66="SKIP","متجاوز",IF(C66="","مفتاح منتج ناقص",IF(D66="","منتج غير موجود",IF(E66="","كود مخزون ناقص",IF(F66="","مادة غير موجودة",IF(J66="","خطأ وحدة",IF(G66&lt;=0,"كمية غير صالحة","صالح")))))))</x:f>
        <x:v>صالح</x:v>
      </x:c>
    </x:row>
    <x:row r="67">
      <x:c r="A67" s="46" t="str">
        <x:v>UPSERT_INACTIVE</x:v>
      </x:c>
      <x:c r="B67" s="46" t="str">
        <x:v>بحاجة مراجعة</x:v>
      </x:c>
      <x:c r="C67" s="46" t="str">
        <x:v>hub_spicy_chicken</x:v>
      </x:c>
      <x:c r="D67" s="46" t="str">
        <x:f>IFERROR(VLOOKUP(C67,'المنتجات'!$C$2:$D$500,2,FALSE),"")</x:f>
        <x:v>دجاج حار</x:v>
      </x:c>
      <x:c r="E67" s="46" t="str">
        <x:v>ING-BREAD-SAMOON</x:v>
      </x:c>
      <x:c r="F67" s="46" t="str">
        <x:f>IFERROR(VLOOKUP(E67,'مواد المخزون'!$C$2:$J$500,2,FALSE),"")</x:f>
        <x:v>خبز سمون</x:v>
      </x:c>
      <x:c r="G67" s="104" t="n">
        <x:v>1</x:v>
      </x:c>
      <x:c r="H67" s="46" t="str">
        <x:v>قطعة</x:v>
      </x:c>
      <x:c r="I67" s="46" t="str">
        <x:f>IFERROR(VLOOKUP(E67,'مواد المخزون'!$C$2:$J$500,5,FALSE),"")</x:f>
        <x:v>قطعة</x:v>
      </x:c>
      <x:c r="J67" s="104" t="n">
        <x:f>IF(OR(G67="",H67="",I67=""),"",IF(H67=I67,G67,IF(AND(H67="غ",I67="كغ"),G67/1000,IF(AND(H67="كغ",I67="غ"),G67*1000,IF(AND(H67="مل",I67="لتر"),G67/1000,IF(AND(H67="لتر",I67="مل"),G67*1000,""))))))</x:f>
        <x:v>1</x:v>
      </x:c>
      <x:c r="K67" s="108" t="n">
        <x:v>0</x:v>
      </x:c>
      <x:c r="L67" s="46" t="str">
        <x:v>لا</x:v>
      </x:c>
      <x:c r="M67" s="100" t="str">
        <x:f>IFERROR(VLOOKUP(E67,'مواد المخزون'!$C$2:$J$500,8,FALSE),"")</x:f>
      </x:c>
      <x:c r="N67" s="100" t="str">
        <x:f>IF(OR(J67="",M67=""),"",J67*M67*(1+K67/100))</x:f>
      </x:c>
      <x:c r="O67" s="46" t="str"/>
      <x:c r="P67" s="46" t="str">
        <x:f>IF(A67="SKIP","متجاوز",IF(C67="","مفتاح منتج ناقص",IF(D67="","منتج غير موجود",IF(E67="","كود مخزون ناقص",IF(F67="","مادة غير موجودة",IF(J67="","خطأ وحدة",IF(G67&lt;=0,"كمية غير صالحة","صالح")))))))</x:f>
        <x:v>صالح</x:v>
      </x:c>
    </x:row>
    <x:row r="68">
      <x:c r="A68" s="46" t="str">
        <x:v>UPSERT_INACTIVE</x:v>
      </x:c>
      <x:c r="B68" s="46" t="str">
        <x:v>بحاجة مراجعة</x:v>
      </x:c>
      <x:c r="C68" s="46" t="str">
        <x:v>hub_spicy_chicken</x:v>
      </x:c>
      <x:c r="D68" s="46" t="str">
        <x:f>IFERROR(VLOOKUP(C68,'المنتجات'!$C$2:$D$500,2,FALSE),"")</x:f>
        <x:v>دجاج حار</x:v>
      </x:c>
      <x:c r="E68" s="46" t="str">
        <x:v>ING-MEAT-CHICKENBREAST</x:v>
      </x:c>
      <x:c r="F68" s="46" t="str">
        <x:f>IFERROR(VLOOKUP(E68,'مواد المخزون'!$C$2:$J$500,2,FALSE),"")</x:f>
        <x:v>صدر دجاج</x:v>
      </x:c>
      <x:c r="G68" s="104" t="n">
        <x:v>120</x:v>
      </x:c>
      <x:c r="H68" s="46" t="str">
        <x:v>غ</x:v>
      </x:c>
      <x:c r="I68" s="46" t="str">
        <x:f>IFERROR(VLOOKUP(E68,'مواد المخزون'!$C$2:$J$500,5,FALSE),"")</x:f>
        <x:v>كغ</x:v>
      </x:c>
      <x:c r="J68" s="104" t="n">
        <x:f>IF(OR(G68="",H68="",I68=""),"",IF(H68=I68,G68,IF(AND(H68="غ",I68="كغ"),G68/1000,IF(AND(H68="كغ",I68="غ"),G68*1000,IF(AND(H68="مل",I68="لتر"),G68/1000,IF(AND(H68="لتر",I68="مل"),G68*1000,""))))))</x:f>
        <x:v>0.12</x:v>
      </x:c>
      <x:c r="K68" s="108" t="n">
        <x:v>10</x:v>
      </x:c>
      <x:c r="L68" s="46" t="str">
        <x:v>لا</x:v>
      </x:c>
      <x:c r="M68" s="100" t="n">
        <x:f>IFERROR(VLOOKUP(E68,'مواد المخزون'!$C$2:$J$500,8,FALSE),"")</x:f>
        <x:v>35000</x:v>
      </x:c>
      <x:c r="N68" s="100" t="n">
        <x:f>IF(OR(J68="",M68=""),"",J68*M68*(1+K68/100))</x:f>
        <x:v>4620</x:v>
      </x:c>
      <x:c r="O68" s="46" t="str">
        <x:v>الوزن الخام قبل الشوي؛ هدر تقديري 10%.</x:v>
      </x:c>
      <x:c r="P68" s="46" t="str">
        <x:f>IF(A68="SKIP","متجاوز",IF(C68="","مفتاح منتج ناقص",IF(D68="","منتج غير موجود",IF(E68="","كود مخزون ناقص",IF(F68="","مادة غير موجودة",IF(J68="","خطأ وحدة",IF(G68&lt;=0,"كمية غير صالحة","صالح")))))))</x:f>
        <x:v>صالح</x:v>
      </x:c>
    </x:row>
    <x:row r="69">
      <x:c r="A69" s="46" t="str">
        <x:v>UPSERT_INACTIVE</x:v>
      </x:c>
      <x:c r="B69" s="46" t="str">
        <x:v>بحاجة مراجعة</x:v>
      </x:c>
      <x:c r="C69" s="46" t="str">
        <x:v>hub_spicy_chicken</x:v>
      </x:c>
      <x:c r="D69" s="46" t="str">
        <x:f>IFERROR(VLOOKUP(C69,'المنتجات'!$C$2:$D$500,2,FALSE),"")</x:f>
        <x:v>دجاج حار</x:v>
      </x:c>
      <x:c r="E69" s="46" t="str">
        <x:v>ING-SAUCE-CHILIPASTE</x:v>
      </x:c>
      <x:c r="F69" s="46" t="str">
        <x:f>IFERROR(VLOOKUP(E69,'مواد المخزون'!$C$2:$J$500,2,FALSE),"")</x:f>
        <x:v>شطة / معجون فلفل حار</x:v>
      </x:c>
      <x:c r="G69" s="104" t="n">
        <x:v>15</x:v>
      </x:c>
      <x:c r="H69" s="46" t="str">
        <x:v>غ</x:v>
      </x:c>
      <x:c r="I69" s="46" t="str">
        <x:f>IFERROR(VLOOKUP(E69,'مواد المخزون'!$C$2:$J$500,5,FALSE),"")</x:f>
        <x:v>كغ</x:v>
      </x:c>
      <x:c r="J69" s="104" t="n">
        <x:f>IF(OR(G69="",H69="",I69=""),"",IF(H69=I69,G69,IF(AND(H69="غ",I69="كغ"),G69/1000,IF(AND(H69="كغ",I69="غ"),G69*1000,IF(AND(H69="مل",I69="لتر"),G69/1000,IF(AND(H69="لتر",I69="مل"),G69*1000,""))))))</x:f>
        <x:v>0.015</x:v>
      </x:c>
      <x:c r="K69" s="108" t="n">
        <x:v>0</x:v>
      </x:c>
      <x:c r="L69" s="46" t="str">
        <x:v>لا</x:v>
      </x:c>
      <x:c r="M69" s="100" t="n">
        <x:f>IFERROR(VLOOKUP(E69,'مواد المخزون'!$C$2:$J$500,8,FALSE),"")</x:f>
        <x:v>32000</x:v>
      </x:c>
      <x:c r="N69" s="100" t="n">
        <x:f>IF(OR(J69="",M69=""),"",J69*M69*(1+K69/100))</x:f>
        <x:v>480</x:v>
      </x:c>
      <x:c r="O69" s="46" t="str"/>
      <x:c r="P69" s="46" t="str">
        <x:f>IF(A69="SKIP","متجاوز",IF(C69="","مفتاح منتج ناقص",IF(D69="","منتج غير موجود",IF(E69="","كود مخزون ناقص",IF(F69="","مادة غير موجودة",IF(J69="","خطأ وحدة",IF(G69&lt;=0,"كمية غير صالحة","صالح")))))))</x:f>
        <x:v>صالح</x:v>
      </x:c>
    </x:row>
    <x:row r="70">
      <x:c r="A70" s="46" t="str">
        <x:v>UPSERT_INACTIVE</x:v>
      </x:c>
      <x:c r="B70" s="46" t="str">
        <x:v>بحاجة مراجعة</x:v>
      </x:c>
      <x:c r="C70" s="46" t="str">
        <x:v>hub_spicy_chicken</x:v>
      </x:c>
      <x:c r="D70" s="46" t="str">
        <x:f>IFERROR(VLOOKUP(C70,'المنتجات'!$C$2:$D$500,2,FALSE),"")</x:f>
        <x:v>دجاج حار</x:v>
      </x:c>
      <x:c r="E70" s="46" t="str">
        <x:v>ING-SAUCE-MAYO-WEIGHT</x:v>
      </x:c>
      <x:c r="F70" s="46" t="str">
        <x:f>IFERROR(VLOOKUP(E70,'مواد المخزون'!$C$2:$J$500,2,FALSE),"")</x:f>
        <x:v>مايونيز بالوزن</x:v>
      </x:c>
      <x:c r="G70" s="104" t="n">
        <x:v>20</x:v>
      </x:c>
      <x:c r="H70" s="46" t="str">
        <x:v>غ</x:v>
      </x:c>
      <x:c r="I70" s="46" t="str">
        <x:f>IFERROR(VLOOKUP(E70,'مواد المخزون'!$C$2:$J$500,5,FALSE),"")</x:f>
        <x:v>كغ</x:v>
      </x:c>
      <x:c r="J70" s="104" t="n">
        <x:f>IF(OR(G70="",H70="",I70=""),"",IF(H70=I70,G70,IF(AND(H70="غ",I70="كغ"),G70/1000,IF(AND(H70="كغ",I70="غ"),G70*1000,IF(AND(H70="مل",I70="لتر"),G70/1000,IF(AND(H70="لتر",I70="مل"),G70*1000,""))))))</x:f>
        <x:v>0.02</x:v>
      </x:c>
      <x:c r="K70" s="108" t="n">
        <x:v>0</x:v>
      </x:c>
      <x:c r="L70" s="46" t="str">
        <x:v>لا</x:v>
      </x:c>
      <x:c r="M70" s="100" t="str">
        <x:f>IFERROR(VLOOKUP(E70,'مواد المخزون'!$C$2:$J$500,8,FALSE),"")</x:f>
      </x:c>
      <x:c r="N70" s="100" t="str">
        <x:f>IF(OR(J70="",M70=""),"",J70*M70*(1+K70/100))</x:f>
      </x:c>
      <x:c r="O70" s="46" t="str">
        <x:v>تقدير حصة المايونيز من العبوة؛ الأفضل تحويل المايونيز إلى كغ أو مل.</x:v>
      </x:c>
      <x:c r="P70" s="46" t="str">
        <x:f>IF(A70="SKIP","متجاوز",IF(C70="","مفتاح منتج ناقص",IF(D70="","منتج غير موجود",IF(E70="","كود مخزون ناقص",IF(F70="","مادة غير موجودة",IF(J70="","خطأ وحدة",IF(G70&lt;=0,"كمية غير صالحة","صالح")))))))</x:f>
        <x:v>صالح</x:v>
      </x:c>
    </x:row>
    <x:row r="71">
      <x:c r="A71" s="46" t="str">
        <x:v>UPSERT_INACTIVE</x:v>
      </x:c>
      <x:c r="B71" s="46" t="str">
        <x:v>بحاجة مراجعة</x:v>
      </x:c>
      <x:c r="C71" s="46" t="str">
        <x:v>hub_spicy_chicken</x:v>
      </x:c>
      <x:c r="D71" s="46" t="str">
        <x:f>IFERROR(VLOOKUP(C71,'المنتجات'!$C$2:$D$500,2,FALSE),"")</x:f>
        <x:v>دجاج حار</x:v>
      </x:c>
      <x:c r="E71" s="46" t="str">
        <x:v>ING-PICKLE-MIXED-WEIGHT</x:v>
      </x:c>
      <x:c r="F71" s="46" t="str">
        <x:f>IFERROR(VLOOKUP(E71,'مواد المخزون'!$C$2:$J$500,2,FALSE),"")</x:f>
        <x:v>مخلل مشكل بالوزن</x:v>
      </x:c>
      <x:c r="G71" s="104" t="n">
        <x:v>30</x:v>
      </x:c>
      <x:c r="H71" s="46" t="str">
        <x:v>غ</x:v>
      </x:c>
      <x:c r="I71" s="46" t="str">
        <x:f>IFERROR(VLOOKUP(E71,'مواد المخزون'!$C$2:$J$500,5,FALSE),"")</x:f>
        <x:v>كغ</x:v>
      </x:c>
      <x:c r="J71" s="104" t="n">
        <x:f>IF(OR(G71="",H71="",I71=""),"",IF(H71=I71,G71,IF(AND(H71="غ",I71="كغ"),G71/1000,IF(AND(H71="كغ",I71="غ"),G71*1000,IF(AND(H71="مل",I71="لتر"),G71/1000,IF(AND(H71="لتر",I71="مل"),G71*1000,""))))))</x:f>
        <x:v>0.03</x:v>
      </x:c>
      <x:c r="K71" s="108" t="n">
        <x:v>0</x:v>
      </x:c>
      <x:c r="L71" s="46" t="str">
        <x:v>لا</x:v>
      </x:c>
      <x:c r="M71" s="100" t="str">
        <x:f>IFERROR(VLOOKUP(E71,'مواد المخزون'!$C$2:$J$500,8,FALSE),"")</x:f>
      </x:c>
      <x:c r="N71" s="100" t="str">
        <x:f>IF(OR(J71="",M71=""),"",J71*M71*(1+K71/100))</x:f>
      </x:c>
      <x:c r="O71" s="46" t="str"/>
      <x:c r="P71" s="46" t="str">
        <x:f>IF(A71="SKIP","متجاوز",IF(C71="","مفتاح منتج ناقص",IF(D71="","منتج غير موجود",IF(E71="","كود مخزون ناقص",IF(F71="","مادة غير موجودة",IF(J71="","خطأ وحدة",IF(G71&lt;=0,"كمية غير صالحة","صالح")))))))</x:f>
        <x:v>صالح</x:v>
      </x:c>
    </x:row>
    <x:row r="72">
      <x:c r="A72" s="46" t="str">
        <x:v>UPSERT_INACTIVE</x:v>
      </x:c>
      <x:c r="B72" s="46" t="str">
        <x:v>بحاجة مراجعة</x:v>
      </x:c>
      <x:c r="C72" s="46" t="str">
        <x:v>hub_spicy_chicken</x:v>
      </x:c>
      <x:c r="D72" s="46" t="str">
        <x:f>IFERROR(VLOOKUP(C72,'المنتجات'!$C$2:$D$500,2,FALSE),"")</x:f>
        <x:v>دجاج حار</x:v>
      </x:c>
      <x:c r="E72" s="46" t="str">
        <x:v>ING-VEG-LETTUCE</x:v>
      </x:c>
      <x:c r="F72" s="46" t="str">
        <x:f>IFERROR(VLOOKUP(E72,'مواد المخزون'!$C$2:$J$500,2,FALSE),"")</x:f>
        <x:v>خس</x:v>
      </x:c>
      <x:c r="G72" s="104" t="n">
        <x:v>0.05</x:v>
      </x:c>
      <x:c r="H72" s="46" t="str">
        <x:v>عبوة</x:v>
      </x:c>
      <x:c r="I72" s="46" t="str">
        <x:f>IFERROR(VLOOKUP(E72,'مواد المخزون'!$C$2:$J$500,5,FALSE),"")</x:f>
        <x:v>عبوة</x:v>
      </x:c>
      <x:c r="J72" s="104" t="n">
        <x:f>IF(OR(G72="",H72="",I72=""),"",IF(H72=I72,G72,IF(AND(H72="غ",I72="كغ"),G72/1000,IF(AND(H72="كغ",I72="غ"),G72*1000,IF(AND(H72="مل",I72="لتر"),G72/1000,IF(AND(H72="لتر",I72="مل"),G72*1000,""))))))</x:f>
        <x:v>0.05</x:v>
      </x:c>
      <x:c r="K72" s="108" t="n">
        <x:v>0</x:v>
      </x:c>
      <x:c r="L72" s="46" t="str">
        <x:v>لا</x:v>
      </x:c>
      <x:c r="M72" s="100" t="n">
        <x:f>IFERROR(VLOOKUP(E72,'مواد المخزون'!$C$2:$J$500,8,FALSE),"")</x:f>
        <x:v>8000</x:v>
      </x:c>
      <x:c r="N72" s="100" t="n">
        <x:f>IF(OR(J72="",M72=""),"",J72*M72*(1+K72/100))</x:f>
        <x:v>400</x:v>
      </x:c>
      <x:c r="O72" s="46" t="str"/>
      <x:c r="P72" s="46" t="str">
        <x:f>IF(A72="SKIP","متجاوز",IF(C72="","مفتاح منتج ناقص",IF(D72="","منتج غير موجود",IF(E72="","كود مخزون ناقص",IF(F72="","مادة غير موجودة",IF(J72="","خطأ وحدة",IF(G72&lt;=0,"كمية غير صالحة","صالح")))))))</x:f>
        <x:v>صالح</x:v>
      </x:c>
    </x:row>
    <x:row r="73">
      <x:c r="A73" s="46" t="str">
        <x:v>UPSERT_INACTIVE</x:v>
      </x:c>
      <x:c r="B73" s="46" t="str">
        <x:v>بحاجة مراجعة</x:v>
      </x:c>
      <x:c r="C73" s="46" t="str">
        <x:v>hub_butter_jam</x:v>
      </x:c>
      <x:c r="D73" s="46" t="str">
        <x:f>IFERROR(VLOOKUP(C73,'المنتجات'!$C$2:$D$500,2,FALSE),"")</x:f>
        <x:v>زبدة ومربى</x:v>
      </x:c>
      <x:c r="E73" s="46" t="str">
        <x:v>ING-BREAD-SAMOON</x:v>
      </x:c>
      <x:c r="F73" s="46" t="str">
        <x:f>IFERROR(VLOOKUP(E73,'مواد المخزون'!$C$2:$J$500,2,FALSE),"")</x:f>
        <x:v>خبز سمون</x:v>
      </x:c>
      <x:c r="G73" s="104" t="n">
        <x:v>1</x:v>
      </x:c>
      <x:c r="H73" s="46" t="str">
        <x:v>قطعة</x:v>
      </x:c>
      <x:c r="I73" s="46" t="str">
        <x:f>IFERROR(VLOOKUP(E73,'مواد المخزون'!$C$2:$J$500,5,FALSE),"")</x:f>
        <x:v>قطعة</x:v>
      </x:c>
      <x:c r="J73" s="104" t="n">
        <x:f>IF(OR(G73="",H73="",I73=""),"",IF(H73=I73,G73,IF(AND(H73="غ",I73="كغ"),G73/1000,IF(AND(H73="كغ",I73="غ"),G73*1000,IF(AND(H73="مل",I73="لتر"),G73/1000,IF(AND(H73="لتر",I73="مل"),G73*1000,""))))))</x:f>
        <x:v>1</x:v>
      </x:c>
      <x:c r="K73" s="108" t="n">
        <x:v>0</x:v>
      </x:c>
      <x:c r="L73" s="46" t="str">
        <x:v>لا</x:v>
      </x:c>
      <x:c r="M73" s="100" t="str">
        <x:f>IFERROR(VLOOKUP(E73,'مواد المخزون'!$C$2:$J$500,8,FALSE),"")</x:f>
      </x:c>
      <x:c r="N73" s="100" t="str">
        <x:f>IF(OR(J73="",M73=""),"",J73*M73*(1+K73/100))</x:f>
      </x:c>
      <x:c r="O73" s="46" t="str"/>
      <x:c r="P73" s="46" t="str">
        <x:f>IF(A73="SKIP","متجاوز",IF(C73="","مفتاح منتج ناقص",IF(D73="","منتج غير موجود",IF(E73="","كود مخزون ناقص",IF(F73="","مادة غير موجودة",IF(J73="","خطأ وحدة",IF(G73&lt;=0,"كمية غير صالحة","صالح")))))))</x:f>
        <x:v>صالح</x:v>
      </x:c>
    </x:row>
    <x:row r="74">
      <x:c r="A74" s="46" t="str">
        <x:v>UPSERT_INACTIVE</x:v>
      </x:c>
      <x:c r="B74" s="46" t="str">
        <x:v>بحاجة مراجعة</x:v>
      </x:c>
      <x:c r="C74" s="46" t="str">
        <x:v>hub_butter_jam</x:v>
      </x:c>
      <x:c r="D74" s="46" t="str">
        <x:f>IFERROR(VLOOKUP(C74,'المنتجات'!$C$2:$D$500,2,FALSE),"")</x:f>
        <x:v>زبدة ومربى</x:v>
      </x:c>
      <x:c r="E74" s="46" t="str">
        <x:v>ING-DAIRY-BUTTER</x:v>
      </x:c>
      <x:c r="F74" s="46" t="str">
        <x:f>IFERROR(VLOOKUP(E74,'مواد المخزون'!$C$2:$J$500,2,FALSE),"")</x:f>
        <x:v>زبدة</x:v>
      </x:c>
      <x:c r="G74" s="104" t="n">
        <x:v>30</x:v>
      </x:c>
      <x:c r="H74" s="46" t="str">
        <x:v>غ</x:v>
      </x:c>
      <x:c r="I74" s="46" t="str">
        <x:f>IFERROR(VLOOKUP(E74,'مواد المخزون'!$C$2:$J$500,5,FALSE),"")</x:f>
        <x:v>كغ</x:v>
      </x:c>
      <x:c r="J74" s="104" t="n">
        <x:f>IF(OR(G74="",H74="",I74=""),"",IF(H74=I74,G74,IF(AND(H74="غ",I74="كغ"),G74/1000,IF(AND(H74="كغ",I74="غ"),G74*1000,IF(AND(H74="مل",I74="لتر"),G74/1000,IF(AND(H74="لتر",I74="مل"),G74*1000,""))))))</x:f>
        <x:v>0.03</x:v>
      </x:c>
      <x:c r="K74" s="108" t="n">
        <x:v>0</x:v>
      </x:c>
      <x:c r="L74" s="46" t="str">
        <x:v>لا</x:v>
      </x:c>
      <x:c r="M74" s="100" t="str">
        <x:f>IFERROR(VLOOKUP(E74,'مواد المخزون'!$C$2:$J$500,8,FALSE),"")</x:f>
      </x:c>
      <x:c r="N74" s="100" t="str">
        <x:f>IF(OR(J74="",M74=""),"",J74*M74*(1+K74/100))</x:f>
      </x:c>
      <x:c r="O74" s="46" t="str"/>
      <x:c r="P74" s="46" t="str">
        <x:f>IF(A74="SKIP","متجاوز",IF(C74="","مفتاح منتج ناقص",IF(D74="","منتج غير موجود",IF(E74="","كود مخزون ناقص",IF(F74="","مادة غير موجودة",IF(J74="","خطأ وحدة",IF(G74&lt;=0,"كمية غير صالحة","صالح")))))))</x:f>
        <x:v>صالح</x:v>
      </x:c>
    </x:row>
    <x:row r="75">
      <x:c r="A75" s="46" t="str">
        <x:v>UPSERT_INACTIVE</x:v>
      </x:c>
      <x:c r="B75" s="46" t="str">
        <x:v>بحاجة مراجعة</x:v>
      </x:c>
      <x:c r="C75" s="46" t="str">
        <x:v>hub_butter_jam</x:v>
      </x:c>
      <x:c r="D75" s="46" t="str">
        <x:f>IFERROR(VLOOKUP(C75,'المنتجات'!$C$2:$D$500,2,FALSE),"")</x:f>
        <x:v>زبدة ومربى</x:v>
      </x:c>
      <x:c r="E75" s="46" t="str">
        <x:v>ING-SWEET-JAM</x:v>
      </x:c>
      <x:c r="F75" s="46" t="str">
        <x:f>IFERROR(VLOOKUP(E75,'مواد المخزون'!$C$2:$J$500,2,FALSE),"")</x:f>
        <x:v>مربى</x:v>
      </x:c>
      <x:c r="G75" s="104" t="n">
        <x:v>40</x:v>
      </x:c>
      <x:c r="H75" s="46" t="str">
        <x:v>غ</x:v>
      </x:c>
      <x:c r="I75" s="46" t="str">
        <x:f>IFERROR(VLOOKUP(E75,'مواد المخزون'!$C$2:$J$500,5,FALSE),"")</x:f>
        <x:v>كغ</x:v>
      </x:c>
      <x:c r="J75" s="104" t="n">
        <x:f>IF(OR(G75="",H75="",I75=""),"",IF(H75=I75,G75,IF(AND(H75="غ",I75="كغ"),G75/1000,IF(AND(H75="كغ",I75="غ"),G75*1000,IF(AND(H75="مل",I75="لتر"),G75/1000,IF(AND(H75="لتر",I75="مل"),G75*1000,""))))))</x:f>
        <x:v>0.04</x:v>
      </x:c>
      <x:c r="K75" s="108" t="n">
        <x:v>0</x:v>
      </x:c>
      <x:c r="L75" s="46" t="str">
        <x:v>لا</x:v>
      </x:c>
      <x:c r="M75" s="100" t="str">
        <x:f>IFERROR(VLOOKUP(E75,'مواد المخزون'!$C$2:$J$500,8,FALSE),"")</x:f>
      </x:c>
      <x:c r="N75" s="100" t="str">
        <x:f>IF(OR(J75="",M75=""),"",J75*M75*(1+K75/100))</x:f>
      </x:c>
      <x:c r="O75" s="46" t="str"/>
      <x:c r="P75" s="46" t="str">
        <x:f>IF(A75="SKIP","متجاوز",IF(C75="","مفتاح منتج ناقص",IF(D75="","منتج غير موجود",IF(E75="","كود مخزون ناقص",IF(F75="","مادة غير موجودة",IF(J75="","خطأ وحدة",IF(G75&lt;=0,"كمية غير صالحة","صالح")))))))</x:f>
        <x:v>صالح</x:v>
      </x:c>
    </x:row>
    <x:row r="76">
      <x:c r="A76" s="46" t="str">
        <x:v>UPSERT_INACTIVE</x:v>
      </x:c>
      <x:c r="B76" s="46" t="str">
        <x:v>بحاجة مراجعة</x:v>
      </x:c>
      <x:c r="C76" s="46" t="str">
        <x:v>turkish_coffee</x:v>
      </x:c>
      <x:c r="D76" s="46" t="str">
        <x:f>IFERROR(VLOOKUP(C76,'المنتجات'!$C$2:$D$500,2,FALSE),"")</x:f>
        <x:v>قهوة تركية</x:v>
      </x:c>
      <x:c r="E76" s="46" t="str">
        <x:v>DRK-COF-TURKISH</x:v>
      </x:c>
      <x:c r="F76" s="46" t="str">
        <x:f>IFERROR(VLOOKUP(E76,'مواد المخزون'!$C$2:$J$500,2,FALSE),"")</x:f>
        <x:v>بن تركي</x:v>
      </x:c>
      <x:c r="G76" s="104" t="n">
        <x:v>7</x:v>
      </x:c>
      <x:c r="H76" s="46" t="str">
        <x:v>غ</x:v>
      </x:c>
      <x:c r="I76" s="46" t="str">
        <x:f>IFERROR(VLOOKUP(E76,'مواد المخزون'!$C$2:$J$500,5,FALSE),"")</x:f>
        <x:v>كغ</x:v>
      </x:c>
      <x:c r="J76" s="104" t="n">
        <x:f>IF(OR(G76="",H76="",I76=""),"",IF(H76=I76,G76,IF(AND(H76="غ",I76="كغ"),G76/1000,IF(AND(H76="كغ",I76="غ"),G76*1000,IF(AND(H76="مل",I76="لتر"),G76/1000,IF(AND(H76="لتر",I76="مل"),G76*1000,""))))))</x:f>
        <x:v>0.007</x:v>
      </x:c>
      <x:c r="K76" s="108" t="n">
        <x:v>0</x:v>
      </x:c>
      <x:c r="L76" s="46" t="str">
        <x:v>لا</x:v>
      </x:c>
      <x:c r="M76" s="100" t="str">
        <x:f>IFERROR(VLOOKUP(E76,'مواد المخزون'!$C$2:$J$500,8,FALSE),"")</x:f>
      </x:c>
      <x:c r="N76" s="100" t="str">
        <x:f>IF(OR(J76="",M76=""),"",J76*M76*(1+K76/100))</x:f>
      </x:c>
      <x:c r="O76" s="46" t="str">
        <x:v>جرعة تقديرية 7غ.</x:v>
      </x:c>
      <x:c r="P76" s="46" t="str">
        <x:f>IF(A76="SKIP","متجاوز",IF(C76="","مفتاح منتج ناقص",IF(D76="","منتج غير موجود",IF(E76="","كود مخزون ناقص",IF(F76="","مادة غير موجودة",IF(J76="","خطأ وحدة",IF(G76&lt;=0,"كمية غير صالحة","صالح")))))))</x:f>
        <x:v>صالح</x:v>
      </x:c>
    </x:row>
    <x:row r="77">
      <x:c r="A77" s="46" t="str">
        <x:v>UPSERT_INACTIVE</x:v>
      </x:c>
      <x:c r="B77" s="46" t="str">
        <x:v>بحاجة مراجعة</x:v>
      </x:c>
      <x:c r="C77" s="46" t="str">
        <x:v>espresso</x:v>
      </x:c>
      <x:c r="D77" s="46" t="str">
        <x:f>IFERROR(VLOOKUP(C77,'المنتجات'!$C$2:$D$500,2,FALSE),"")</x:f>
        <x:v>إسبريسو</x:v>
      </x:c>
      <x:c r="E77" s="46" t="str">
        <x:v>DRK-COF-ESPRESSO</x:v>
      </x:c>
      <x:c r="F77" s="46" t="str">
        <x:f>IFERROR(VLOOKUP(E77,'مواد المخزون'!$C$2:$J$500,2,FALSE),"")</x:f>
        <x:v>بن إسبريسو</x:v>
      </x:c>
      <x:c r="G77" s="104" t="n">
        <x:v>18</x:v>
      </x:c>
      <x:c r="H77" s="46" t="str">
        <x:v>غ</x:v>
      </x:c>
      <x:c r="I77" s="46" t="str">
        <x:f>IFERROR(VLOOKUP(E77,'مواد المخزون'!$C$2:$J$500,5,FALSE),"")</x:f>
        <x:v>كغ</x:v>
      </x:c>
      <x:c r="J77" s="104" t="n">
        <x:f>IF(OR(G77="",H77="",I77=""),"",IF(H77=I77,G77,IF(AND(H77="غ",I77="كغ"),G77/1000,IF(AND(H77="كغ",I77="غ"),G77*1000,IF(AND(H77="مل",I77="لتر"),G77/1000,IF(AND(H77="لتر",I77="مل"),G77*1000,""))))))</x:f>
        <x:v>0.018</x:v>
      </x:c>
      <x:c r="K77" s="108" t="n">
        <x:v>0</x:v>
      </x:c>
      <x:c r="L77" s="46" t="str">
        <x:v>لا</x:v>
      </x:c>
      <x:c r="M77" s="100" t="str">
        <x:f>IFERROR(VLOOKUP(E77,'مواد المخزون'!$C$2:$J$500,8,FALSE),"")</x:f>
      </x:c>
      <x:c r="N77" s="100" t="str">
        <x:f>IF(OR(J77="",M77=""),"",J77*M77*(1+K77/100))</x:f>
      </x:c>
      <x:c r="O77" s="46" t="str">
        <x:v>جرعة مزدوجة تقديرية 18غ.</x:v>
      </x:c>
      <x:c r="P77" s="46" t="str">
        <x:f>IF(A77="SKIP","متجاوز",IF(C77="","مفتاح منتج ناقص",IF(D77="","منتج غير موجود",IF(E77="","كود مخزون ناقص",IF(F77="","مادة غير موجودة",IF(J77="","خطأ وحدة",IF(G77&lt;=0,"كمية غير صالحة","صالح")))))))</x:f>
        <x:v>صالح</x:v>
      </x:c>
    </x:row>
    <x:row r="78">
      <x:c r="A78" s="46" t="str">
        <x:v>UPSERT_INACTIVE</x:v>
      </x:c>
      <x:c r="B78" s="46" t="str">
        <x:v>بحاجة مراجعة</x:v>
      </x:c>
      <x:c r="C78" s="46" t="str">
        <x:v>cappuccino</x:v>
      </x:c>
      <x:c r="D78" s="46" t="str">
        <x:f>IFERROR(VLOOKUP(C78,'المنتجات'!$C$2:$D$500,2,FALSE),"")</x:f>
        <x:v>كابوتشينو</x:v>
      </x:c>
      <x:c r="E78" s="46" t="str">
        <x:v>DRK-COF-ESPRESSO</x:v>
      </x:c>
      <x:c r="F78" s="46" t="str">
        <x:f>IFERROR(VLOOKUP(E78,'مواد المخزون'!$C$2:$J$500,2,FALSE),"")</x:f>
        <x:v>بن إسبريسو</x:v>
      </x:c>
      <x:c r="G78" s="104" t="n">
        <x:v>18</x:v>
      </x:c>
      <x:c r="H78" s="46" t="str">
        <x:v>غ</x:v>
      </x:c>
      <x:c r="I78" s="46" t="str">
        <x:f>IFERROR(VLOOKUP(E78,'مواد المخزون'!$C$2:$J$500,5,FALSE),"")</x:f>
        <x:v>كغ</x:v>
      </x:c>
      <x:c r="J78" s="104" t="n">
        <x:f>IF(OR(G78="",H78="",I78=""),"",IF(H78=I78,G78,IF(AND(H78="غ",I78="كغ"),G78/1000,IF(AND(H78="كغ",I78="غ"),G78*1000,IF(AND(H78="مل",I78="لتر"),G78/1000,IF(AND(H78="لتر",I78="مل"),G78*1000,""))))))</x:f>
        <x:v>0.018</x:v>
      </x:c>
      <x:c r="K78" s="108" t="n">
        <x:v>0</x:v>
      </x:c>
      <x:c r="L78" s="46" t="str">
        <x:v>لا</x:v>
      </x:c>
      <x:c r="M78" s="100" t="str">
        <x:f>IFERROR(VLOOKUP(E78,'مواد المخزون'!$C$2:$J$500,8,FALSE),"")</x:f>
      </x:c>
      <x:c r="N78" s="100" t="str">
        <x:f>IF(OR(J78="",M78=""),"",J78*M78*(1+K78/100))</x:f>
      </x:c>
      <x:c r="O78" s="46" t="str"/>
      <x:c r="P78" s="46" t="str">
        <x:f>IF(A78="SKIP","متجاوز",IF(C78="","مفتاح منتج ناقص",IF(D78="","منتج غير موجود",IF(E78="","كود مخزون ناقص",IF(F78="","مادة غير موجودة",IF(J78="","خطأ وحدة",IF(G78&lt;=0,"كمية غير صالحة","صالح")))))))</x:f>
        <x:v>صالح</x:v>
      </x:c>
    </x:row>
    <x:row r="79">
      <x:c r="A79" s="46" t="str">
        <x:v>UPSERT_INACTIVE</x:v>
      </x:c>
      <x:c r="B79" s="46" t="str">
        <x:v>بحاجة مراجعة</x:v>
      </x:c>
      <x:c r="C79" s="46" t="str">
        <x:v>cappuccino</x:v>
      </x:c>
      <x:c r="D79" s="46" t="str">
        <x:f>IFERROR(VLOOKUP(C79,'المنتجات'!$C$2:$D$500,2,FALSE),"")</x:f>
        <x:v>كابوتشينو</x:v>
      </x:c>
      <x:c r="E79" s="46" t="str">
        <x:v>ING-DAIRY-MILK</x:v>
      </x:c>
      <x:c r="F79" s="46" t="str">
        <x:f>IFERROR(VLOOKUP(E79,'مواد المخزون'!$C$2:$J$500,2,FALSE),"")</x:f>
        <x:v>حليب</x:v>
      </x:c>
      <x:c r="G79" s="104" t="n">
        <x:v>150</x:v>
      </x:c>
      <x:c r="H79" s="46" t="str">
        <x:v>مل</x:v>
      </x:c>
      <x:c r="I79" s="46" t="str">
        <x:f>IFERROR(VLOOKUP(E79,'مواد المخزون'!$C$2:$J$500,5,FALSE),"")</x:f>
        <x:v>لتر</x:v>
      </x:c>
      <x:c r="J79" s="104" t="n">
        <x:f>IF(OR(G79="",H79="",I79=""),"",IF(H79=I79,G79,IF(AND(H79="غ",I79="كغ"),G79/1000,IF(AND(H79="كغ",I79="غ"),G79*1000,IF(AND(H79="مل",I79="لتر"),G79/1000,IF(AND(H79="لتر",I79="مل"),G79*1000,""))))))</x:f>
        <x:v>0.15</x:v>
      </x:c>
      <x:c r="K79" s="108" t="n">
        <x:v>0</x:v>
      </x:c>
      <x:c r="L79" s="46" t="str">
        <x:v>لا</x:v>
      </x:c>
      <x:c r="M79" s="100" t="n">
        <x:f>IFERROR(VLOOKUP(E79,'مواد المخزون'!$C$2:$J$500,8,FALSE),"")</x:f>
        <x:v>15000</x:v>
      </x:c>
      <x:c r="N79" s="100" t="n">
        <x:f>IF(OR(J79="",M79=""),"",J79*M79*(1+K79/100))</x:f>
        <x:v>2250</x:v>
      </x:c>
      <x:c r="O79" s="46" t="str"/>
      <x:c r="P79" s="46" t="str">
        <x:f>IF(A79="SKIP","متجاوز",IF(C79="","مفتاح منتج ناقص",IF(D79="","منتج غير موجود",IF(E79="","كود مخزون ناقص",IF(F79="","مادة غير موجودة",IF(J79="","خطأ وحدة",IF(G79&lt;=0,"كمية غير صالحة","صالح")))))))</x:f>
        <x:v>صالح</x:v>
      </x:c>
    </x:row>
    <x:row r="80">
      <x:c r="A80" s="46" t="str">
        <x:v>UPSERT_INACTIVE</x:v>
      </x:c>
      <x:c r="B80" s="46" t="str">
        <x:v>بحاجة مراجعة</x:v>
      </x:c>
      <x:c r="C80" s="46" t="str">
        <x:v>latte</x:v>
      </x:c>
      <x:c r="D80" s="46" t="str">
        <x:f>IFERROR(VLOOKUP(C80,'المنتجات'!$C$2:$D$500,2,FALSE),"")</x:f>
        <x:v>لاتيه</x:v>
      </x:c>
      <x:c r="E80" s="46" t="str">
        <x:v>DRK-COF-ESPRESSO</x:v>
      </x:c>
      <x:c r="F80" s="46" t="str">
        <x:f>IFERROR(VLOOKUP(E80,'مواد المخزون'!$C$2:$J$500,2,FALSE),"")</x:f>
        <x:v>بن إسبريسو</x:v>
      </x:c>
      <x:c r="G80" s="104" t="n">
        <x:v>18</x:v>
      </x:c>
      <x:c r="H80" s="46" t="str">
        <x:v>غ</x:v>
      </x:c>
      <x:c r="I80" s="46" t="str">
        <x:f>IFERROR(VLOOKUP(E80,'مواد المخزون'!$C$2:$J$500,5,FALSE),"")</x:f>
        <x:v>كغ</x:v>
      </x:c>
      <x:c r="J80" s="104" t="n">
        <x:f>IF(OR(G80="",H80="",I80=""),"",IF(H80=I80,G80,IF(AND(H80="غ",I80="كغ"),G80/1000,IF(AND(H80="كغ",I80="غ"),G80*1000,IF(AND(H80="مل",I80="لتر"),G80/1000,IF(AND(H80="لتر",I80="مل"),G80*1000,""))))))</x:f>
        <x:v>0.018</x:v>
      </x:c>
      <x:c r="K80" s="108" t="n">
        <x:v>0</x:v>
      </x:c>
      <x:c r="L80" s="46" t="str">
        <x:v>لا</x:v>
      </x:c>
      <x:c r="M80" s="100" t="str">
        <x:f>IFERROR(VLOOKUP(E80,'مواد المخزون'!$C$2:$J$500,8,FALSE),"")</x:f>
      </x:c>
      <x:c r="N80" s="100" t="str">
        <x:f>IF(OR(J80="",M80=""),"",J80*M80*(1+K80/100))</x:f>
      </x:c>
      <x:c r="O80" s="46" t="str"/>
      <x:c r="P80" s="46" t="str">
        <x:f>IF(A80="SKIP","متجاوز",IF(C80="","مفتاح منتج ناقص",IF(D80="","منتج غير موجود",IF(E80="","كود مخزون ناقص",IF(F80="","مادة غير موجودة",IF(J80="","خطأ وحدة",IF(G80&lt;=0,"كمية غير صالحة","صالح")))))))</x:f>
        <x:v>صالح</x:v>
      </x:c>
    </x:row>
    <x:row r="81">
      <x:c r="A81" s="46" t="str">
        <x:v>UPSERT_INACTIVE</x:v>
      </x:c>
      <x:c r="B81" s="46" t="str">
        <x:v>بحاجة مراجعة</x:v>
      </x:c>
      <x:c r="C81" s="46" t="str">
        <x:v>latte</x:v>
      </x:c>
      <x:c r="D81" s="46" t="str">
        <x:f>IFERROR(VLOOKUP(C81,'المنتجات'!$C$2:$D$500,2,FALSE),"")</x:f>
        <x:v>لاتيه</x:v>
      </x:c>
      <x:c r="E81" s="46" t="str">
        <x:v>ING-DAIRY-MILK</x:v>
      </x:c>
      <x:c r="F81" s="46" t="str">
        <x:f>IFERROR(VLOOKUP(E81,'مواد المخزون'!$C$2:$J$500,2,FALSE),"")</x:f>
        <x:v>حليب</x:v>
      </x:c>
      <x:c r="G81" s="104" t="n">
        <x:v>220</x:v>
      </x:c>
      <x:c r="H81" s="46" t="str">
        <x:v>مل</x:v>
      </x:c>
      <x:c r="I81" s="46" t="str">
        <x:f>IFERROR(VLOOKUP(E81,'مواد المخزون'!$C$2:$J$500,5,FALSE),"")</x:f>
        <x:v>لتر</x:v>
      </x:c>
      <x:c r="J81" s="104" t="n">
        <x:f>IF(OR(G81="",H81="",I81=""),"",IF(H81=I81,G81,IF(AND(H81="غ",I81="كغ"),G81/1000,IF(AND(H81="كغ",I81="غ"),G81*1000,IF(AND(H81="مل",I81="لتر"),G81/1000,IF(AND(H81="لتر",I81="مل"),G81*1000,""))))))</x:f>
        <x:v>0.22</x:v>
      </x:c>
      <x:c r="K81" s="108" t="n">
        <x:v>0</x:v>
      </x:c>
      <x:c r="L81" s="46" t="str">
        <x:v>لا</x:v>
      </x:c>
      <x:c r="M81" s="100" t="n">
        <x:f>IFERROR(VLOOKUP(E81,'مواد المخزون'!$C$2:$J$500,8,FALSE),"")</x:f>
        <x:v>15000</x:v>
      </x:c>
      <x:c r="N81" s="100" t="n">
        <x:f>IF(OR(J81="",M81=""),"",J81*M81*(1+K81/100))</x:f>
        <x:v>3300</x:v>
      </x:c>
      <x:c r="O81" s="46" t="str"/>
      <x:c r="P81" s="46" t="str">
        <x:f>IF(A81="SKIP","متجاوز",IF(C81="","مفتاح منتج ناقص",IF(D81="","منتج غير موجود",IF(E81="","كود مخزون ناقص",IF(F81="","مادة غير موجودة",IF(J81="","خطأ وحدة",IF(G81&lt;=0,"كمية غير صالحة","صالح")))))))</x:f>
        <x:v>صالح</x:v>
      </x:c>
    </x:row>
    <x:row r="82">
      <x:c r="A82" s="46" t="str">
        <x:v>UPSERT_INACTIVE</x:v>
      </x:c>
      <x:c r="B82" s="46" t="str">
        <x:v>بحاجة مراجعة</x:v>
      </x:c>
      <x:c r="C82" s="46" t="str">
        <x:v>americano</x:v>
      </x:c>
      <x:c r="D82" s="46" t="str">
        <x:f>IFERROR(VLOOKUP(C82,'المنتجات'!$C$2:$D$500,2,FALSE),"")</x:f>
        <x:v>أمريكانو</x:v>
      </x:c>
      <x:c r="E82" s="46" t="str">
        <x:v>DRK-COF-ESPRESSO</x:v>
      </x:c>
      <x:c r="F82" s="46" t="str">
        <x:f>IFERROR(VLOOKUP(E82,'مواد المخزون'!$C$2:$J$500,2,FALSE),"")</x:f>
        <x:v>بن إسبريسو</x:v>
      </x:c>
      <x:c r="G82" s="104" t="n">
        <x:v>18</x:v>
      </x:c>
      <x:c r="H82" s="46" t="str">
        <x:v>غ</x:v>
      </x:c>
      <x:c r="I82" s="46" t="str">
        <x:f>IFERROR(VLOOKUP(E82,'مواد المخزون'!$C$2:$J$500,5,FALSE),"")</x:f>
        <x:v>كغ</x:v>
      </x:c>
      <x:c r="J82" s="104" t="n">
        <x:f>IF(OR(G82="",H82="",I82=""),"",IF(H82=I82,G82,IF(AND(H82="غ",I82="كغ"),G82/1000,IF(AND(H82="كغ",I82="غ"),G82*1000,IF(AND(H82="مل",I82="لتر"),G82/1000,IF(AND(H82="لتر",I82="مل"),G82*1000,""))))))</x:f>
        <x:v>0.018</x:v>
      </x:c>
      <x:c r="K82" s="108" t="n">
        <x:v>0</x:v>
      </x:c>
      <x:c r="L82" s="46" t="str">
        <x:v>لا</x:v>
      </x:c>
      <x:c r="M82" s="100" t="str">
        <x:f>IFERROR(VLOOKUP(E82,'مواد المخزون'!$C$2:$J$500,8,FALSE),"")</x:f>
      </x:c>
      <x:c r="N82" s="100" t="str">
        <x:f>IF(OR(J82="",M82=""),"",J82*M82*(1+K82/100))</x:f>
      </x:c>
      <x:c r="O82" s="46" t="str"/>
      <x:c r="P82" s="46" t="str">
        <x:f>IF(A82="SKIP","متجاوز",IF(C82="","مفتاح منتج ناقص",IF(D82="","منتج غير موجود",IF(E82="","كود مخزون ناقص",IF(F82="","مادة غير موجودة",IF(J82="","خطأ وحدة",IF(G82&lt;=0,"كمية غير صالحة","صالح")))))))</x:f>
        <x:v>صالح</x:v>
      </x:c>
    </x:row>
    <x:row r="83">
      <x:c r="A83" s="46" t="str">
        <x:v>UPSERT_INACTIVE</x:v>
      </x:c>
      <x:c r="B83" s="46" t="str">
        <x:v>بحاجة مراجعة</x:v>
      </x:c>
      <x:c r="C83" s="46" t="str">
        <x:v>mocha</x:v>
      </x:c>
      <x:c r="D83" s="46" t="str">
        <x:f>IFERROR(VLOOKUP(C83,'المنتجات'!$C$2:$D$500,2,FALSE),"")</x:f>
        <x:v>موكا</x:v>
      </x:c>
      <x:c r="E83" s="46" t="str">
        <x:v>DRK-COF-ESPRESSO</x:v>
      </x:c>
      <x:c r="F83" s="46" t="str">
        <x:f>IFERROR(VLOOKUP(E83,'مواد المخزون'!$C$2:$J$500,2,FALSE),"")</x:f>
        <x:v>بن إسبريسو</x:v>
      </x:c>
      <x:c r="G83" s="104" t="n">
        <x:v>18</x:v>
      </x:c>
      <x:c r="H83" s="46" t="str">
        <x:v>غ</x:v>
      </x:c>
      <x:c r="I83" s="46" t="str">
        <x:f>IFERROR(VLOOKUP(E83,'مواد المخزون'!$C$2:$J$500,5,FALSE),"")</x:f>
        <x:v>كغ</x:v>
      </x:c>
      <x:c r="J83" s="104" t="n">
        <x:f>IF(OR(G83="",H83="",I83=""),"",IF(H83=I83,G83,IF(AND(H83="غ",I83="كغ"),G83/1000,IF(AND(H83="كغ",I83="غ"),G83*1000,IF(AND(H83="مل",I83="لتر"),G83/1000,IF(AND(H83="لتر",I83="مل"),G83*1000,""))))))</x:f>
        <x:v>0.018</x:v>
      </x:c>
      <x:c r="K83" s="108" t="n">
        <x:v>0</x:v>
      </x:c>
      <x:c r="L83" s="46" t="str">
        <x:v>لا</x:v>
      </x:c>
      <x:c r="M83" s="100" t="str">
        <x:f>IFERROR(VLOOKUP(E83,'مواد المخزون'!$C$2:$J$500,8,FALSE),"")</x:f>
      </x:c>
      <x:c r="N83" s="100" t="str">
        <x:f>IF(OR(J83="",M83=""),"",J83*M83*(1+K83/100))</x:f>
      </x:c>
      <x:c r="O83" s="46" t="str"/>
      <x:c r="P83" s="46" t="str">
        <x:f>IF(A83="SKIP","متجاوز",IF(C83="","مفتاح منتج ناقص",IF(D83="","منتج غير موجود",IF(E83="","كود مخزون ناقص",IF(F83="","مادة غير موجودة",IF(J83="","خطأ وحدة",IF(G83&lt;=0,"كمية غير صالحة","صالح")))))))</x:f>
        <x:v>صالح</x:v>
      </x:c>
    </x:row>
    <x:row r="84">
      <x:c r="A84" s="46" t="str">
        <x:v>UPSERT_INACTIVE</x:v>
      </x:c>
      <x:c r="B84" s="46" t="str">
        <x:v>بحاجة مراجعة</x:v>
      </x:c>
      <x:c r="C84" s="46" t="str">
        <x:v>mocha</x:v>
      </x:c>
      <x:c r="D84" s="46" t="str">
        <x:f>IFERROR(VLOOKUP(C84,'المنتجات'!$C$2:$D$500,2,FALSE),"")</x:f>
        <x:v>موكا</x:v>
      </x:c>
      <x:c r="E84" s="46" t="str">
        <x:v>ING-DAIRY-MILK</x:v>
      </x:c>
      <x:c r="F84" s="46" t="str">
        <x:f>IFERROR(VLOOKUP(E84,'مواد المخزون'!$C$2:$J$500,2,FALSE),"")</x:f>
        <x:v>حليب</x:v>
      </x:c>
      <x:c r="G84" s="104" t="n">
        <x:v>200</x:v>
      </x:c>
      <x:c r="H84" s="46" t="str">
        <x:v>مل</x:v>
      </x:c>
      <x:c r="I84" s="46" t="str">
        <x:f>IFERROR(VLOOKUP(E84,'مواد المخزون'!$C$2:$J$500,5,FALSE),"")</x:f>
        <x:v>لتر</x:v>
      </x:c>
      <x:c r="J84" s="104" t="n">
        <x:f>IF(OR(G84="",H84="",I84=""),"",IF(H84=I84,G84,IF(AND(H84="غ",I84="كغ"),G84/1000,IF(AND(H84="كغ",I84="غ"),G84*1000,IF(AND(H84="مل",I84="لتر"),G84/1000,IF(AND(H84="لتر",I84="مل"),G84*1000,""))))))</x:f>
        <x:v>0.2</x:v>
      </x:c>
      <x:c r="K84" s="108" t="n">
        <x:v>0</x:v>
      </x:c>
      <x:c r="L84" s="46" t="str">
        <x:v>لا</x:v>
      </x:c>
      <x:c r="M84" s="100" t="n">
        <x:f>IFERROR(VLOOKUP(E84,'مواد المخزون'!$C$2:$J$500,8,FALSE),"")</x:f>
        <x:v>15000</x:v>
      </x:c>
      <x:c r="N84" s="100" t="n">
        <x:f>IF(OR(J84="",M84=""),"",J84*M84*(1+K84/100))</x:f>
        <x:v>3000</x:v>
      </x:c>
      <x:c r="O84" s="46" t="str"/>
      <x:c r="P84" s="46" t="str">
        <x:f>IF(A84="SKIP","متجاوز",IF(C84="","مفتاح منتج ناقص",IF(D84="","منتج غير موجود",IF(E84="","كود مخزون ناقص",IF(F84="","مادة غير موجودة",IF(J84="","خطأ وحدة",IF(G84&lt;=0,"كمية غير صالحة","صالح")))))))</x:f>
        <x:v>صالح</x:v>
      </x:c>
    </x:row>
    <x:row r="85">
      <x:c r="A85" s="46" t="str">
        <x:v>UPSERT_INACTIVE</x:v>
      </x:c>
      <x:c r="B85" s="46" t="str">
        <x:v>بحاجة مراجعة</x:v>
      </x:c>
      <x:c r="C85" s="46" t="str">
        <x:v>mocha</x:v>
      </x:c>
      <x:c r="D85" s="46" t="str">
        <x:f>IFERROR(VLOOKUP(C85,'المنتجات'!$C$2:$D$500,2,FALSE),"")</x:f>
        <x:v>موكا</x:v>
      </x:c>
      <x:c r="E85" s="46" t="str">
        <x:v>ING-SYRUP-CHOCOLATE</x:v>
      </x:c>
      <x:c r="F85" s="46" t="str">
        <x:f>IFERROR(VLOOKUP(E85,'مواد المخزون'!$C$2:$J$500,2,FALSE),"")</x:f>
        <x:v>صوص شوكولا</x:v>
      </x:c>
      <x:c r="G85" s="104" t="n">
        <x:v>20</x:v>
      </x:c>
      <x:c r="H85" s="46" t="str">
        <x:v>مل</x:v>
      </x:c>
      <x:c r="I85" s="46" t="str">
        <x:f>IFERROR(VLOOKUP(E85,'مواد المخزون'!$C$2:$J$500,5,FALSE),"")</x:f>
        <x:v>لتر</x:v>
      </x:c>
      <x:c r="J85" s="104" t="n">
        <x:f>IF(OR(G85="",H85="",I85=""),"",IF(H85=I85,G85,IF(AND(H85="غ",I85="كغ"),G85/1000,IF(AND(H85="كغ",I85="غ"),G85*1000,IF(AND(H85="مل",I85="لتر"),G85/1000,IF(AND(H85="لتر",I85="مل"),G85*1000,""))))))</x:f>
        <x:v>0.02</x:v>
      </x:c>
      <x:c r="K85" s="108" t="n">
        <x:v>0</x:v>
      </x:c>
      <x:c r="L85" s="46" t="str">
        <x:v>لا</x:v>
      </x:c>
      <x:c r="M85" s="100" t="str">
        <x:f>IFERROR(VLOOKUP(E85,'مواد المخزون'!$C$2:$J$500,8,FALSE),"")</x:f>
      </x:c>
      <x:c r="N85" s="100" t="str">
        <x:f>IF(OR(J85="",M85=""),"",J85*M85*(1+K85/100))</x:f>
      </x:c>
      <x:c r="O85" s="46" t="str"/>
      <x:c r="P85" s="46" t="str">
        <x:f>IF(A85="SKIP","متجاوز",IF(C85="","مفتاح منتج ناقص",IF(D85="","منتج غير موجود",IF(E85="","كود مخزون ناقص",IF(F85="","مادة غير موجودة",IF(J85="","خطأ وحدة",IF(G85&lt;=0,"كمية غير صالحة","صالح")))))))</x:f>
        <x:v>صالح</x:v>
      </x:c>
    </x:row>
    <x:row r="86">
      <x:c r="A86" s="46" t="str">
        <x:v>UPSERT_INACTIVE</x:v>
      </x:c>
      <x:c r="B86" s="46" t="str">
        <x:v>بحاجة مراجعة</x:v>
      </x:c>
      <x:c r="C86" s="46" t="str">
        <x:v>instant_coffee</x:v>
      </x:c>
      <x:c r="D86" s="46" t="str">
        <x:f>IFERROR(VLOOKUP(C86,'المنتجات'!$C$2:$D$500,2,FALSE),"")</x:f>
        <x:v>قهوة سريعة التحضير</x:v>
      </x:c>
      <x:c r="E86" s="46" t="str">
        <x:v>DRK-COF-INSTANT</x:v>
      </x:c>
      <x:c r="F86" s="46" t="str">
        <x:f>IFERROR(VLOOKUP(E86,'مواد المخزون'!$C$2:$J$500,2,FALSE),"")</x:f>
        <x:v>قهوة سريعة التحضير</x:v>
      </x:c>
      <x:c r="G86" s="104" t="n">
        <x:v>5</x:v>
      </x:c>
      <x:c r="H86" s="46" t="str">
        <x:v>غ</x:v>
      </x:c>
      <x:c r="I86" s="46" t="str">
        <x:f>IFERROR(VLOOKUP(E86,'مواد المخزون'!$C$2:$J$500,5,FALSE),"")</x:f>
        <x:v>كغ</x:v>
      </x:c>
      <x:c r="J86" s="104" t="n">
        <x:f>IF(OR(G86="",H86="",I86=""),"",IF(H86=I86,G86,IF(AND(H86="غ",I86="كغ"),G86/1000,IF(AND(H86="كغ",I86="غ"),G86*1000,IF(AND(H86="مل",I86="لتر"),G86/1000,IF(AND(H86="لتر",I86="مل"),G86*1000,""))))))</x:f>
        <x:v>0.005</x:v>
      </x:c>
      <x:c r="K86" s="108" t="n">
        <x:v>0</x:v>
      </x:c>
      <x:c r="L86" s="46" t="str">
        <x:v>لا</x:v>
      </x:c>
      <x:c r="M86" s="100" t="str">
        <x:f>IFERROR(VLOOKUP(E86,'مواد المخزون'!$C$2:$J$500,8,FALSE),"")</x:f>
      </x:c>
      <x:c r="N86" s="100" t="str">
        <x:f>IF(OR(J86="",M86=""),"",J86*M86*(1+K86/100))</x:f>
      </x:c>
      <x:c r="O86" s="46" t="str"/>
      <x:c r="P86" s="46" t="str">
        <x:f>IF(A86="SKIP","متجاوز",IF(C86="","مفتاح منتج ناقص",IF(D86="","منتج غير موجود",IF(E86="","كود مخزون ناقص",IF(F86="","مادة غير موجودة",IF(J86="","خطأ وحدة",IF(G86&lt;=0,"كمية غير صالحة","صالح")))))))</x:f>
        <x:v>صالح</x:v>
      </x:c>
    </x:row>
    <x:row r="87">
      <x:c r="A87" s="46" t="str">
        <x:v>UPSERT_INACTIVE</x:v>
      </x:c>
      <x:c r="B87" s="46" t="str">
        <x:v>بحاجة مراجعة</x:v>
      </x:c>
      <x:c r="C87" s="46" t="str">
        <x:v>iced_coffee</x:v>
      </x:c>
      <x:c r="D87" s="46" t="str">
        <x:f>IFERROR(VLOOKUP(C87,'المنتجات'!$C$2:$D$500,2,FALSE),"")</x:f>
        <x:v>قهوة مثلجة</x:v>
      </x:c>
      <x:c r="E87" s="46" t="str">
        <x:v>DRK-COF-ESPRESSO</x:v>
      </x:c>
      <x:c r="F87" s="46" t="str">
        <x:f>IFERROR(VLOOKUP(E87,'مواد المخزون'!$C$2:$J$500,2,FALSE),"")</x:f>
        <x:v>بن إسبريسو</x:v>
      </x:c>
      <x:c r="G87" s="104" t="n">
        <x:v>18</x:v>
      </x:c>
      <x:c r="H87" s="46" t="str">
        <x:v>غ</x:v>
      </x:c>
      <x:c r="I87" s="46" t="str">
        <x:f>IFERROR(VLOOKUP(E87,'مواد المخزون'!$C$2:$J$500,5,FALSE),"")</x:f>
        <x:v>كغ</x:v>
      </x:c>
      <x:c r="J87" s="104" t="n">
        <x:f>IF(OR(G87="",H87="",I87=""),"",IF(H87=I87,G87,IF(AND(H87="غ",I87="كغ"),G87/1000,IF(AND(H87="كغ",I87="غ"),G87*1000,IF(AND(H87="مل",I87="لتر"),G87/1000,IF(AND(H87="لتر",I87="مل"),G87*1000,""))))))</x:f>
        <x:v>0.018</x:v>
      </x:c>
      <x:c r="K87" s="108" t="n">
        <x:v>0</x:v>
      </x:c>
      <x:c r="L87" s="46" t="str">
        <x:v>لا</x:v>
      </x:c>
      <x:c r="M87" s="100" t="str">
        <x:f>IFERROR(VLOOKUP(E87,'مواد المخزون'!$C$2:$J$500,8,FALSE),"")</x:f>
      </x:c>
      <x:c r="N87" s="100" t="str">
        <x:f>IF(OR(J87="",M87=""),"",J87*M87*(1+K87/100))</x:f>
      </x:c>
      <x:c r="O87" s="46" t="str"/>
      <x:c r="P87" s="46" t="str">
        <x:f>IF(A87="SKIP","متجاوز",IF(C87="","مفتاح منتج ناقص",IF(D87="","منتج غير موجود",IF(E87="","كود مخزون ناقص",IF(F87="","مادة غير موجودة",IF(J87="","خطأ وحدة",IF(G87&lt;=0,"كمية غير صالحة","صالح")))))))</x:f>
        <x:v>صالح</x:v>
      </x:c>
    </x:row>
    <x:row r="88">
      <x:c r="A88" s="46" t="str">
        <x:v>UPSERT_INACTIVE</x:v>
      </x:c>
      <x:c r="B88" s="46" t="str">
        <x:v>بحاجة مراجعة</x:v>
      </x:c>
      <x:c r="C88" s="46" t="str">
        <x:v>iced_coffee</x:v>
      </x:c>
      <x:c r="D88" s="46" t="str">
        <x:f>IFERROR(VLOOKUP(C88,'المنتجات'!$C$2:$D$500,2,FALSE),"")</x:f>
        <x:v>قهوة مثلجة</x:v>
      </x:c>
      <x:c r="E88" s="46" t="str">
        <x:v>DRK-ICE</x:v>
      </x:c>
      <x:c r="F88" s="46" t="str">
        <x:f>IFERROR(VLOOKUP(E88,'مواد المخزون'!$C$2:$J$500,2,FALSE),"")</x:f>
        <x:v>ثلج</x:v>
      </x:c>
      <x:c r="G88" s="104" t="n">
        <x:v>150</x:v>
      </x:c>
      <x:c r="H88" s="46" t="str">
        <x:v>غ</x:v>
      </x:c>
      <x:c r="I88" s="46" t="str">
        <x:f>IFERROR(VLOOKUP(E88,'مواد المخزون'!$C$2:$J$500,5,FALSE),"")</x:f>
        <x:v>كغ</x:v>
      </x:c>
      <x:c r="J88" s="104" t="n">
        <x:f>IF(OR(G88="",H88="",I88=""),"",IF(H88=I88,G88,IF(AND(H88="غ",I88="كغ"),G88/1000,IF(AND(H88="كغ",I88="غ"),G88*1000,IF(AND(H88="مل",I88="لتر"),G88/1000,IF(AND(H88="لتر",I88="مل"),G88*1000,""))))))</x:f>
        <x:v>0.15</x:v>
      </x:c>
      <x:c r="K88" s="108" t="n">
        <x:v>0</x:v>
      </x:c>
      <x:c r="L88" s="46" t="str">
        <x:v>لا</x:v>
      </x:c>
      <x:c r="M88" s="100" t="n">
        <x:f>IFERROR(VLOOKUP(E88,'مواد المخزون'!$C$2:$J$500,8,FALSE),"")</x:f>
        <x:v>4000</x:v>
      </x:c>
      <x:c r="N88" s="100" t="n">
        <x:f>IF(OR(J88="",M88=""),"",J88*M88*(1+K88/100))</x:f>
        <x:v>600</x:v>
      </x:c>
      <x:c r="O88" s="46" t="str"/>
      <x:c r="P88" s="46" t="str">
        <x:f>IF(A88="SKIP","متجاوز",IF(C88="","مفتاح منتج ناقص",IF(D88="","منتج غير موجود",IF(E88="","كود مخزون ناقص",IF(F88="","مادة غير موجودة",IF(J88="","خطأ وحدة",IF(G88&lt;=0,"كمية غير صالحة","صالح")))))))</x:f>
        <x:v>صالح</x:v>
      </x:c>
    </x:row>
    <x:row r="89">
      <x:c r="A89" s="46" t="str">
        <x:v>UPSERT_INACTIVE</x:v>
      </x:c>
      <x:c r="B89" s="46" t="str">
        <x:v>بحاجة مراجعة</x:v>
      </x:c>
      <x:c r="C89" s="46" t="str">
        <x:v>iced_latte</x:v>
      </x:c>
      <x:c r="D89" s="46" t="str">
        <x:f>IFERROR(VLOOKUP(C89,'المنتجات'!$C$2:$D$500,2,FALSE),"")</x:f>
        <x:v>آيس لاتيه</x:v>
      </x:c>
      <x:c r="E89" s="46" t="str">
        <x:v>DRK-COF-ESPRESSO</x:v>
      </x:c>
      <x:c r="F89" s="46" t="str">
        <x:f>IFERROR(VLOOKUP(E89,'مواد المخزون'!$C$2:$J$500,2,FALSE),"")</x:f>
        <x:v>بن إسبريسو</x:v>
      </x:c>
      <x:c r="G89" s="104" t="n">
        <x:v>18</x:v>
      </x:c>
      <x:c r="H89" s="46" t="str">
        <x:v>غ</x:v>
      </x:c>
      <x:c r="I89" s="46" t="str">
        <x:f>IFERROR(VLOOKUP(E89,'مواد المخزون'!$C$2:$J$500,5,FALSE),"")</x:f>
        <x:v>كغ</x:v>
      </x:c>
      <x:c r="J89" s="104" t="n">
        <x:f>IF(OR(G89="",H89="",I89=""),"",IF(H89=I89,G89,IF(AND(H89="غ",I89="كغ"),G89/1000,IF(AND(H89="كغ",I89="غ"),G89*1000,IF(AND(H89="مل",I89="لتر"),G89/1000,IF(AND(H89="لتر",I89="مل"),G89*1000,""))))))</x:f>
        <x:v>0.018</x:v>
      </x:c>
      <x:c r="K89" s="108" t="n">
        <x:v>0</x:v>
      </x:c>
      <x:c r="L89" s="46" t="str">
        <x:v>لا</x:v>
      </x:c>
      <x:c r="M89" s="100" t="str">
        <x:f>IFERROR(VLOOKUP(E89,'مواد المخزون'!$C$2:$J$500,8,FALSE),"")</x:f>
      </x:c>
      <x:c r="N89" s="100" t="str">
        <x:f>IF(OR(J89="",M89=""),"",J89*M89*(1+K89/100))</x:f>
      </x:c>
      <x:c r="O89" s="46" t="str"/>
      <x:c r="P89" s="46" t="str">
        <x:f>IF(A89="SKIP","متجاوز",IF(C89="","مفتاح منتج ناقص",IF(D89="","منتج غير موجود",IF(E89="","كود مخزون ناقص",IF(F89="","مادة غير موجودة",IF(J89="","خطأ وحدة",IF(G89&lt;=0,"كمية غير صالحة","صالح")))))))</x:f>
        <x:v>صالح</x:v>
      </x:c>
    </x:row>
    <x:row r="90">
      <x:c r="A90" s="46" t="str">
        <x:v>UPSERT_INACTIVE</x:v>
      </x:c>
      <x:c r="B90" s="46" t="str">
        <x:v>بحاجة مراجعة</x:v>
      </x:c>
      <x:c r="C90" s="46" t="str">
        <x:v>iced_latte</x:v>
      </x:c>
      <x:c r="D90" s="46" t="str">
        <x:f>IFERROR(VLOOKUP(C90,'المنتجات'!$C$2:$D$500,2,FALSE),"")</x:f>
        <x:v>آيس لاتيه</x:v>
      </x:c>
      <x:c r="E90" s="46" t="str">
        <x:v>ING-DAIRY-MILK</x:v>
      </x:c>
      <x:c r="F90" s="46" t="str">
        <x:f>IFERROR(VLOOKUP(E90,'مواد المخزون'!$C$2:$J$500,2,FALSE),"")</x:f>
        <x:v>حليب</x:v>
      </x:c>
      <x:c r="G90" s="104" t="n">
        <x:v>200</x:v>
      </x:c>
      <x:c r="H90" s="46" t="str">
        <x:v>مل</x:v>
      </x:c>
      <x:c r="I90" s="46" t="str">
        <x:f>IFERROR(VLOOKUP(E90,'مواد المخزون'!$C$2:$J$500,5,FALSE),"")</x:f>
        <x:v>لتر</x:v>
      </x:c>
      <x:c r="J90" s="104" t="n">
        <x:f>IF(OR(G90="",H90="",I90=""),"",IF(H90=I90,G90,IF(AND(H90="غ",I90="كغ"),G90/1000,IF(AND(H90="كغ",I90="غ"),G90*1000,IF(AND(H90="مل",I90="لتر"),G90/1000,IF(AND(H90="لتر",I90="مل"),G90*1000,""))))))</x:f>
        <x:v>0.2</x:v>
      </x:c>
      <x:c r="K90" s="108" t="n">
        <x:v>0</x:v>
      </x:c>
      <x:c r="L90" s="46" t="str">
        <x:v>لا</x:v>
      </x:c>
      <x:c r="M90" s="100" t="n">
        <x:f>IFERROR(VLOOKUP(E90,'مواد المخزون'!$C$2:$J$500,8,FALSE),"")</x:f>
        <x:v>15000</x:v>
      </x:c>
      <x:c r="N90" s="100" t="n">
        <x:f>IF(OR(J90="",M90=""),"",J90*M90*(1+K90/100))</x:f>
        <x:v>3000</x:v>
      </x:c>
      <x:c r="O90" s="46" t="str"/>
      <x:c r="P90" s="46" t="str">
        <x:f>IF(A90="SKIP","متجاوز",IF(C90="","مفتاح منتج ناقص",IF(D90="","منتج غير موجود",IF(E90="","كود مخزون ناقص",IF(F90="","مادة غير موجودة",IF(J90="","خطأ وحدة",IF(G90&lt;=0,"كمية غير صالحة","صالح")))))))</x:f>
        <x:v>صالح</x:v>
      </x:c>
    </x:row>
    <x:row r="91">
      <x:c r="A91" s="46" t="str">
        <x:v>UPSERT_INACTIVE</x:v>
      </x:c>
      <x:c r="B91" s="46" t="str">
        <x:v>بحاجة مراجعة</x:v>
      </x:c>
      <x:c r="C91" s="46" t="str">
        <x:v>iced_latte</x:v>
      </x:c>
      <x:c r="D91" s="46" t="str">
        <x:f>IFERROR(VLOOKUP(C91,'المنتجات'!$C$2:$D$500,2,FALSE),"")</x:f>
        <x:v>آيس لاتيه</x:v>
      </x:c>
      <x:c r="E91" s="46" t="str">
        <x:v>DRK-ICE</x:v>
      </x:c>
      <x:c r="F91" s="46" t="str">
        <x:f>IFERROR(VLOOKUP(E91,'مواد المخزون'!$C$2:$J$500,2,FALSE),"")</x:f>
        <x:v>ثلج</x:v>
      </x:c>
      <x:c r="G91" s="104" t="n">
        <x:v>150</x:v>
      </x:c>
      <x:c r="H91" s="46" t="str">
        <x:v>غ</x:v>
      </x:c>
      <x:c r="I91" s="46" t="str">
        <x:f>IFERROR(VLOOKUP(E91,'مواد المخزون'!$C$2:$J$500,5,FALSE),"")</x:f>
        <x:v>كغ</x:v>
      </x:c>
      <x:c r="J91" s="104" t="n">
        <x:f>IF(OR(G91="",H91="",I91=""),"",IF(H91=I91,G91,IF(AND(H91="غ",I91="كغ"),G91/1000,IF(AND(H91="كغ",I91="غ"),G91*1000,IF(AND(H91="مل",I91="لتر"),G91/1000,IF(AND(H91="لتر",I91="مل"),G91*1000,""))))))</x:f>
        <x:v>0.15</x:v>
      </x:c>
      <x:c r="K91" s="108" t="n">
        <x:v>0</x:v>
      </x:c>
      <x:c r="L91" s="46" t="str">
        <x:v>لا</x:v>
      </x:c>
      <x:c r="M91" s="100" t="n">
        <x:f>IFERROR(VLOOKUP(E91,'مواد المخزون'!$C$2:$J$500,8,FALSE),"")</x:f>
        <x:v>4000</x:v>
      </x:c>
      <x:c r="N91" s="100" t="n">
        <x:f>IF(OR(J91="",M91=""),"",J91*M91*(1+K91/100))</x:f>
        <x:v>600</x:v>
      </x:c>
      <x:c r="O91" s="46" t="str"/>
      <x:c r="P91" s="46" t="str">
        <x:f>IF(A91="SKIP","متجاوز",IF(C91="","مفتاح منتج ناقص",IF(D91="","منتج غير موجود",IF(E91="","كود مخزون ناقص",IF(F91="","مادة غير موجودة",IF(J91="","خطأ وحدة",IF(G91&lt;=0,"كمية غير صالحة","صالح")))))))</x:f>
        <x:v>صالح</x:v>
      </x:c>
    </x:row>
    <x:row r="92">
      <x:c r="A92" s="46" t="str">
        <x:v>UPSERT_INACTIVE</x:v>
      </x:c>
      <x:c r="B92" s="46" t="str">
        <x:v>بحاجة مراجعة</x:v>
      </x:c>
      <x:c r="C92" s="46" t="str">
        <x:v>iced_mocha</x:v>
      </x:c>
      <x:c r="D92" s="46" t="str">
        <x:f>IFERROR(VLOOKUP(C92,'المنتجات'!$C$2:$D$500,2,FALSE),"")</x:f>
        <x:v>آيس موكا</x:v>
      </x:c>
      <x:c r="E92" s="46" t="str">
        <x:v>DRK-COF-ESPRESSO</x:v>
      </x:c>
      <x:c r="F92" s="46" t="str">
        <x:f>IFERROR(VLOOKUP(E92,'مواد المخزون'!$C$2:$J$500,2,FALSE),"")</x:f>
        <x:v>بن إسبريسو</x:v>
      </x:c>
      <x:c r="G92" s="104" t="n">
        <x:v>18</x:v>
      </x:c>
      <x:c r="H92" s="46" t="str">
        <x:v>غ</x:v>
      </x:c>
      <x:c r="I92" s="46" t="str">
        <x:f>IFERROR(VLOOKUP(E92,'مواد المخزون'!$C$2:$J$500,5,FALSE),"")</x:f>
        <x:v>كغ</x:v>
      </x:c>
      <x:c r="J92" s="104" t="n">
        <x:f>IF(OR(G92="",H92="",I92=""),"",IF(H92=I92,G92,IF(AND(H92="غ",I92="كغ"),G92/1000,IF(AND(H92="كغ",I92="غ"),G92*1000,IF(AND(H92="مل",I92="لتر"),G92/1000,IF(AND(H92="لتر",I92="مل"),G92*1000,""))))))</x:f>
        <x:v>0.018</x:v>
      </x:c>
      <x:c r="K92" s="108" t="n">
        <x:v>0</x:v>
      </x:c>
      <x:c r="L92" s="46" t="str">
        <x:v>لا</x:v>
      </x:c>
      <x:c r="M92" s="100" t="str">
        <x:f>IFERROR(VLOOKUP(E92,'مواد المخزون'!$C$2:$J$500,8,FALSE),"")</x:f>
      </x:c>
      <x:c r="N92" s="100" t="str">
        <x:f>IF(OR(J92="",M92=""),"",J92*M92*(1+K92/100))</x:f>
      </x:c>
      <x:c r="O92" s="46" t="str"/>
      <x:c r="P92" s="46" t="str">
        <x:f>IF(A92="SKIP","متجاوز",IF(C92="","مفتاح منتج ناقص",IF(D92="","منتج غير موجود",IF(E92="","كود مخزون ناقص",IF(F92="","مادة غير موجودة",IF(J92="","خطأ وحدة",IF(G92&lt;=0,"كمية غير صالحة","صالح")))))))</x:f>
        <x:v>صالح</x:v>
      </x:c>
    </x:row>
    <x:row r="93">
      <x:c r="A93" s="46" t="str">
        <x:v>UPSERT_INACTIVE</x:v>
      </x:c>
      <x:c r="B93" s="46" t="str">
        <x:v>بحاجة مراجعة</x:v>
      </x:c>
      <x:c r="C93" s="46" t="str">
        <x:v>iced_mocha</x:v>
      </x:c>
      <x:c r="D93" s="46" t="str">
        <x:f>IFERROR(VLOOKUP(C93,'المنتجات'!$C$2:$D$500,2,FALSE),"")</x:f>
        <x:v>آيس موكا</x:v>
      </x:c>
      <x:c r="E93" s="46" t="str">
        <x:v>ING-DAIRY-MILK</x:v>
      </x:c>
      <x:c r="F93" s="46" t="str">
        <x:f>IFERROR(VLOOKUP(E93,'مواد المخزون'!$C$2:$J$500,2,FALSE),"")</x:f>
        <x:v>حليب</x:v>
      </x:c>
      <x:c r="G93" s="104" t="n">
        <x:v>200</x:v>
      </x:c>
      <x:c r="H93" s="46" t="str">
        <x:v>مل</x:v>
      </x:c>
      <x:c r="I93" s="46" t="str">
        <x:f>IFERROR(VLOOKUP(E93,'مواد المخزون'!$C$2:$J$500,5,FALSE),"")</x:f>
        <x:v>لتر</x:v>
      </x:c>
      <x:c r="J93" s="104" t="n">
        <x:f>IF(OR(G93="",H93="",I93=""),"",IF(H93=I93,G93,IF(AND(H93="غ",I93="كغ"),G93/1000,IF(AND(H93="كغ",I93="غ"),G93*1000,IF(AND(H93="مل",I93="لتر"),G93/1000,IF(AND(H93="لتر",I93="مل"),G93*1000,""))))))</x:f>
        <x:v>0.2</x:v>
      </x:c>
      <x:c r="K93" s="108" t="n">
        <x:v>0</x:v>
      </x:c>
      <x:c r="L93" s="46" t="str">
        <x:v>لا</x:v>
      </x:c>
      <x:c r="M93" s="100" t="n">
        <x:f>IFERROR(VLOOKUP(E93,'مواد المخزون'!$C$2:$J$500,8,FALSE),"")</x:f>
        <x:v>15000</x:v>
      </x:c>
      <x:c r="N93" s="100" t="n">
        <x:f>IF(OR(J93="",M93=""),"",J93*M93*(1+K93/100))</x:f>
        <x:v>3000</x:v>
      </x:c>
      <x:c r="O93" s="46" t="str"/>
      <x:c r="P93" s="46" t="str">
        <x:f>IF(A93="SKIP","متجاوز",IF(C93="","مفتاح منتج ناقص",IF(D93="","منتج غير موجود",IF(E93="","كود مخزون ناقص",IF(F93="","مادة غير موجودة",IF(J93="","خطأ وحدة",IF(G93&lt;=0,"كمية غير صالحة","صالح")))))))</x:f>
        <x:v>صالح</x:v>
      </x:c>
    </x:row>
    <x:row r="94">
      <x:c r="A94" s="46" t="str">
        <x:v>UPSERT_INACTIVE</x:v>
      </x:c>
      <x:c r="B94" s="46" t="str">
        <x:v>بحاجة مراجعة</x:v>
      </x:c>
      <x:c r="C94" s="46" t="str">
        <x:v>iced_mocha</x:v>
      </x:c>
      <x:c r="D94" s="46" t="str">
        <x:f>IFERROR(VLOOKUP(C94,'المنتجات'!$C$2:$D$500,2,FALSE),"")</x:f>
        <x:v>آيس موكا</x:v>
      </x:c>
      <x:c r="E94" s="46" t="str">
        <x:v>ING-SYRUP-CHOCOLATE</x:v>
      </x:c>
      <x:c r="F94" s="46" t="str">
        <x:f>IFERROR(VLOOKUP(E94,'مواد المخزون'!$C$2:$J$500,2,FALSE),"")</x:f>
        <x:v>صوص شوكولا</x:v>
      </x:c>
      <x:c r="G94" s="104" t="n">
        <x:v>20</x:v>
      </x:c>
      <x:c r="H94" s="46" t="str">
        <x:v>مل</x:v>
      </x:c>
      <x:c r="I94" s="46" t="str">
        <x:f>IFERROR(VLOOKUP(E94,'مواد المخزون'!$C$2:$J$500,5,FALSE),"")</x:f>
        <x:v>لتر</x:v>
      </x:c>
      <x:c r="J94" s="104" t="n">
        <x:f>IF(OR(G94="",H94="",I94=""),"",IF(H94=I94,G94,IF(AND(H94="غ",I94="كغ"),G94/1000,IF(AND(H94="كغ",I94="غ"),G94*1000,IF(AND(H94="مل",I94="لتر"),G94/1000,IF(AND(H94="لتر",I94="مل"),G94*1000,""))))))</x:f>
        <x:v>0.02</x:v>
      </x:c>
      <x:c r="K94" s="108" t="n">
        <x:v>0</x:v>
      </x:c>
      <x:c r="L94" s="46" t="str">
        <x:v>لا</x:v>
      </x:c>
      <x:c r="M94" s="100" t="str">
        <x:f>IFERROR(VLOOKUP(E94,'مواد المخزون'!$C$2:$J$500,8,FALSE),"")</x:f>
      </x:c>
      <x:c r="N94" s="100" t="str">
        <x:f>IF(OR(J94="",M94=""),"",J94*M94*(1+K94/100))</x:f>
      </x:c>
      <x:c r="O94" s="46" t="str"/>
      <x:c r="P94" s="46" t="str">
        <x:f>IF(A94="SKIP","متجاوز",IF(C94="","مفتاح منتج ناقص",IF(D94="","منتج غير موجود",IF(E94="","كود مخزون ناقص",IF(F94="","مادة غير موجودة",IF(J94="","خطأ وحدة",IF(G94&lt;=0,"كمية غير صالحة","صالح")))))))</x:f>
        <x:v>صالح</x:v>
      </x:c>
    </x:row>
    <x:row r="95">
      <x:c r="A95" s="46" t="str">
        <x:v>UPSERT_INACTIVE</x:v>
      </x:c>
      <x:c r="B95" s="46" t="str">
        <x:v>بحاجة مراجعة</x:v>
      </x:c>
      <x:c r="C95" s="46" t="str">
        <x:v>iced_mocha</x:v>
      </x:c>
      <x:c r="D95" s="46" t="str">
        <x:f>IFERROR(VLOOKUP(C95,'المنتجات'!$C$2:$D$500,2,FALSE),"")</x:f>
        <x:v>آيس موكا</x:v>
      </x:c>
      <x:c r="E95" s="46" t="str">
        <x:v>DRK-ICE</x:v>
      </x:c>
      <x:c r="F95" s="46" t="str">
        <x:f>IFERROR(VLOOKUP(E95,'مواد المخزون'!$C$2:$J$500,2,FALSE),"")</x:f>
        <x:v>ثلج</x:v>
      </x:c>
      <x:c r="G95" s="104" t="n">
        <x:v>150</x:v>
      </x:c>
      <x:c r="H95" s="46" t="str">
        <x:v>غ</x:v>
      </x:c>
      <x:c r="I95" s="46" t="str">
        <x:f>IFERROR(VLOOKUP(E95,'مواد المخزون'!$C$2:$J$500,5,FALSE),"")</x:f>
        <x:v>كغ</x:v>
      </x:c>
      <x:c r="J95" s="104" t="n">
        <x:f>IF(OR(G95="",H95="",I95=""),"",IF(H95=I95,G95,IF(AND(H95="غ",I95="كغ"),G95/1000,IF(AND(H95="كغ",I95="غ"),G95*1000,IF(AND(H95="مل",I95="لتر"),G95/1000,IF(AND(H95="لتر",I95="مل"),G95*1000,""))))))</x:f>
        <x:v>0.15</x:v>
      </x:c>
      <x:c r="K95" s="108" t="n">
        <x:v>0</x:v>
      </x:c>
      <x:c r="L95" s="46" t="str">
        <x:v>لا</x:v>
      </x:c>
      <x:c r="M95" s="100" t="n">
        <x:f>IFERROR(VLOOKUP(E95,'مواد المخزون'!$C$2:$J$500,8,FALSE),"")</x:f>
        <x:v>4000</x:v>
      </x:c>
      <x:c r="N95" s="100" t="n">
        <x:f>IF(OR(J95="",M95=""),"",J95*M95*(1+K95/100))</x:f>
        <x:v>600</x:v>
      </x:c>
      <x:c r="O95" s="46" t="str"/>
      <x:c r="P95" s="46" t="str">
        <x:f>IF(A95="SKIP","متجاوز",IF(C95="","مفتاح منتج ناقص",IF(D95="","منتج غير موجود",IF(E95="","كود مخزون ناقص",IF(F95="","مادة غير موجودة",IF(J95="","خطأ وحدة",IF(G95&lt;=0,"كمية غير صالحة","صالح")))))))</x:f>
        <x:v>صالح</x:v>
      </x:c>
    </x:row>
    <x:row r="96">
      <x:c r="A96" s="46" t="str">
        <x:v>UPSERT_INACTIVE</x:v>
      </x:c>
      <x:c r="B96" s="46" t="str">
        <x:v>بحاجة مراجعة</x:v>
      </x:c>
      <x:c r="C96" s="46" t="str">
        <x:v>hot_hibiscus</x:v>
      </x:c>
      <x:c r="D96" s="46" t="str">
        <x:f>IFERROR(VLOOKUP(C96,'المنتجات'!$C$2:$D$500,2,FALSE),"")</x:f>
        <x:v>كركديه ساخن</x:v>
      </x:c>
      <x:c r="E96" s="46" t="str">
        <x:v>ING-HERB-HIBISCUS</x:v>
      </x:c>
      <x:c r="F96" s="46" t="str">
        <x:f>IFERROR(VLOOKUP(E96,'مواد المخزون'!$C$2:$J$500,2,FALSE),"")</x:f>
        <x:v>كركديه مجفف</x:v>
      </x:c>
      <x:c r="G96" s="104" t="n">
        <x:v>5</x:v>
      </x:c>
      <x:c r="H96" s="46" t="str">
        <x:v>غ</x:v>
      </x:c>
      <x:c r="I96" s="46" t="str">
        <x:f>IFERROR(VLOOKUP(E96,'مواد المخزون'!$C$2:$J$500,5,FALSE),"")</x:f>
        <x:v>كغ</x:v>
      </x:c>
      <x:c r="J96" s="104" t="n">
        <x:f>IF(OR(G96="",H96="",I96=""),"",IF(H96=I96,G96,IF(AND(H96="غ",I96="كغ"),G96/1000,IF(AND(H96="كغ",I96="غ"),G96*1000,IF(AND(H96="مل",I96="لتر"),G96/1000,IF(AND(H96="لتر",I96="مل"),G96*1000,""))))))</x:f>
        <x:v>0.005</x:v>
      </x:c>
      <x:c r="K96" s="108" t="n">
        <x:v>0</x:v>
      </x:c>
      <x:c r="L96" s="46" t="str">
        <x:v>لا</x:v>
      </x:c>
      <x:c r="M96" s="100" t="str">
        <x:f>IFERROR(VLOOKUP(E96,'مواد المخزون'!$C$2:$J$500,8,FALSE),"")</x:f>
      </x:c>
      <x:c r="N96" s="100" t="str">
        <x:f>IF(OR(J96="",M96=""),"",J96*M96*(1+K96/100))</x:f>
      </x:c>
      <x:c r="O96" s="46" t="str"/>
      <x:c r="P96" s="46" t="str">
        <x:f>IF(A96="SKIP","متجاوز",IF(C96="","مفتاح منتج ناقص",IF(D96="","منتج غير موجود",IF(E96="","كود مخزون ناقص",IF(F96="","مادة غير موجودة",IF(J96="","خطأ وحدة",IF(G96&lt;=0,"كمية غير صالحة","صالح")))))))</x:f>
        <x:v>صالح</x:v>
      </x:c>
    </x:row>
    <x:row r="97">
      <x:c r="A97" s="46" t="str">
        <x:v>UPSERT_INACTIVE</x:v>
      </x:c>
      <x:c r="B97" s="46" t="str">
        <x:v>بحاجة مراجعة</x:v>
      </x:c>
      <x:c r="C97" s="46" t="str">
        <x:v>hot_masala_tea</x:v>
      </x:c>
      <x:c r="D97" s="46" t="str">
        <x:f>IFERROR(VLOOKUP(C97,'المنتجات'!$C$2:$D$500,2,FALSE),"")</x:f>
        <x:v>شاي هندي ساخن</x:v>
      </x:c>
      <x:c r="E97" s="46" t="str">
        <x:v>DRK-TEA-MASALA</x:v>
      </x:c>
      <x:c r="F97" s="46" t="str">
        <x:f>IFERROR(VLOOKUP(E97,'مواد المخزون'!$C$2:$J$500,2,FALSE),"")</x:f>
        <x:v>شاي هندي / ماسالا</x:v>
      </x:c>
      <x:c r="G97" s="104" t="n">
        <x:v>8</x:v>
      </x:c>
      <x:c r="H97" s="46" t="str">
        <x:v>غ</x:v>
      </x:c>
      <x:c r="I97" s="46" t="str">
        <x:f>IFERROR(VLOOKUP(E97,'مواد المخزون'!$C$2:$J$500,5,FALSE),"")</x:f>
        <x:v>كغ</x:v>
      </x:c>
      <x:c r="J97" s="104" t="n">
        <x:f>IF(OR(G97="",H97="",I97=""),"",IF(H97=I97,G97,IF(AND(H97="غ",I97="كغ"),G97/1000,IF(AND(H97="كغ",I97="غ"),G97*1000,IF(AND(H97="مل",I97="لتر"),G97/1000,IF(AND(H97="لتر",I97="مل"),G97*1000,""))))))</x:f>
        <x:v>0.008</x:v>
      </x:c>
      <x:c r="K97" s="108" t="n">
        <x:v>0</x:v>
      </x:c>
      <x:c r="L97" s="46" t="str">
        <x:v>لا</x:v>
      </x:c>
      <x:c r="M97" s="100" t="str">
        <x:f>IFERROR(VLOOKUP(E97,'مواد المخزون'!$C$2:$J$500,8,FALSE),"")</x:f>
      </x:c>
      <x:c r="N97" s="100" t="str">
        <x:f>IF(OR(J97="",M97=""),"",J97*M97*(1+K97/100))</x:f>
      </x:c>
      <x:c r="O97" s="46" t="str"/>
      <x:c r="P97" s="46" t="str">
        <x:f>IF(A97="SKIP","متجاوز",IF(C97="","مفتاح منتج ناقص",IF(D97="","منتج غير موجود",IF(E97="","كود مخزون ناقص",IF(F97="","مادة غير موجودة",IF(J97="","خطأ وحدة",IF(G97&lt;=0,"كمية غير صالحة","صالح")))))))</x:f>
        <x:v>صالح</x:v>
      </x:c>
    </x:row>
    <x:row r="98">
      <x:c r="A98" s="46" t="str">
        <x:v>UPSERT_INACTIVE</x:v>
      </x:c>
      <x:c r="B98" s="46" t="str">
        <x:v>بحاجة مراجعة</x:v>
      </x:c>
      <x:c r="C98" s="46" t="str">
        <x:v>hot_masala_tea</x:v>
      </x:c>
      <x:c r="D98" s="46" t="str">
        <x:f>IFERROR(VLOOKUP(C98,'المنتجات'!$C$2:$D$500,2,FALSE),"")</x:f>
        <x:v>شاي هندي ساخن</x:v>
      </x:c>
      <x:c r="E98" s="46" t="str">
        <x:v>ING-DAIRY-MILK</x:v>
      </x:c>
      <x:c r="F98" s="46" t="str">
        <x:f>IFERROR(VLOOKUP(E98,'مواد المخزون'!$C$2:$J$500,2,FALSE),"")</x:f>
        <x:v>حليب</x:v>
      </x:c>
      <x:c r="G98" s="104" t="n">
        <x:v>200</x:v>
      </x:c>
      <x:c r="H98" s="46" t="str">
        <x:v>مل</x:v>
      </x:c>
      <x:c r="I98" s="46" t="str">
        <x:f>IFERROR(VLOOKUP(E98,'مواد المخزون'!$C$2:$J$500,5,FALSE),"")</x:f>
        <x:v>لتر</x:v>
      </x:c>
      <x:c r="J98" s="104" t="n">
        <x:f>IF(OR(G98="",H98="",I98=""),"",IF(H98=I98,G98,IF(AND(H98="غ",I98="كغ"),G98/1000,IF(AND(H98="كغ",I98="غ"),G98*1000,IF(AND(H98="مل",I98="لتر"),G98/1000,IF(AND(H98="لتر",I98="مل"),G98*1000,""))))))</x:f>
        <x:v>0.2</x:v>
      </x:c>
      <x:c r="K98" s="108" t="n">
        <x:v>0</x:v>
      </x:c>
      <x:c r="L98" s="46" t="str">
        <x:v>لا</x:v>
      </x:c>
      <x:c r="M98" s="100" t="n">
        <x:f>IFERROR(VLOOKUP(E98,'مواد المخزون'!$C$2:$J$500,8,FALSE),"")</x:f>
        <x:v>15000</x:v>
      </x:c>
      <x:c r="N98" s="100" t="n">
        <x:f>IF(OR(J98="",M98=""),"",J98*M98*(1+K98/100))</x:f>
        <x:v>3000</x:v>
      </x:c>
      <x:c r="O98" s="46" t="str"/>
      <x:c r="P98" s="46" t="str">
        <x:f>IF(A98="SKIP","متجاوز",IF(C98="","مفتاح منتج ناقص",IF(D98="","منتج غير موجود",IF(E98="","كود مخزون ناقص",IF(F98="","مادة غير موجودة",IF(J98="","خطأ وحدة",IF(G98&lt;=0,"كمية غير صالحة","صالح")))))))</x:f>
        <x:v>صالح</x:v>
      </x:c>
    </x:row>
    <x:row r="99">
      <x:c r="A99" s="46" t="str">
        <x:v>UPSERT_INACTIVE</x:v>
      </x:c>
      <x:c r="B99" s="46" t="str">
        <x:v>بحاجة مراجعة</x:v>
      </x:c>
      <x:c r="C99" s="46" t="str">
        <x:v>cold_tamarind</x:v>
      </x:c>
      <x:c r="D99" s="46" t="str">
        <x:f>IFERROR(VLOOKUP(C99,'المنتجات'!$C$2:$D$500,2,FALSE),"")</x:f>
        <x:v>تمر هندي بارد</x:v>
      </x:c>
      <x:c r="E99" s="46" t="str">
        <x:v>ING-FRT-TAMARIND</x:v>
      </x:c>
      <x:c r="F99" s="46" t="str">
        <x:f>IFERROR(VLOOKUP(E99,'مواد المخزون'!$C$2:$J$500,2,FALSE),"")</x:f>
        <x:v>تمر هندي مركز</x:v>
      </x:c>
      <x:c r="G99" s="104" t="n">
        <x:v>40</x:v>
      </x:c>
      <x:c r="H99" s="46" t="str">
        <x:v>غ</x:v>
      </x:c>
      <x:c r="I99" s="46" t="str">
        <x:f>IFERROR(VLOOKUP(E99,'مواد المخزون'!$C$2:$J$500,5,FALSE),"")</x:f>
        <x:v>كغ</x:v>
      </x:c>
      <x:c r="J99" s="104" t="n">
        <x:f>IF(OR(G99="",H99="",I99=""),"",IF(H99=I99,G99,IF(AND(H99="غ",I99="كغ"),G99/1000,IF(AND(H99="كغ",I99="غ"),G99*1000,IF(AND(H99="مل",I99="لتر"),G99/1000,IF(AND(H99="لتر",I99="مل"),G99*1000,""))))))</x:f>
        <x:v>0.04</x:v>
      </x:c>
      <x:c r="K99" s="108" t="n">
        <x:v>0</x:v>
      </x:c>
      <x:c r="L99" s="46" t="str">
        <x:v>لا</x:v>
      </x:c>
      <x:c r="M99" s="100" t="str">
        <x:f>IFERROR(VLOOKUP(E99,'مواد المخزون'!$C$2:$J$500,8,FALSE),"")</x:f>
      </x:c>
      <x:c r="N99" s="100" t="str">
        <x:f>IF(OR(J99="",M99=""),"",J99*M99*(1+K99/100))</x:f>
      </x:c>
      <x:c r="O99" s="46" t="str"/>
      <x:c r="P99" s="46" t="str">
        <x:f>IF(A99="SKIP","متجاوز",IF(C99="","مفتاح منتج ناقص",IF(D99="","منتج غير موجود",IF(E99="","كود مخزون ناقص",IF(F99="","مادة غير موجودة",IF(J99="","خطأ وحدة",IF(G99&lt;=0,"كمية غير صالحة","صالح")))))))</x:f>
        <x:v>صالح</x:v>
      </x:c>
    </x:row>
    <x:row r="100">
      <x:c r="A100" s="46" t="str">
        <x:v>UPSERT_INACTIVE</x:v>
      </x:c>
      <x:c r="B100" s="46" t="str">
        <x:v>بحاجة مراجعة</x:v>
      </x:c>
      <x:c r="C100" s="46" t="str">
        <x:v>cold_tamarind</x:v>
      </x:c>
      <x:c r="D100" s="46" t="str">
        <x:f>IFERROR(VLOOKUP(C100,'المنتجات'!$C$2:$D$500,2,FALSE),"")</x:f>
        <x:v>تمر هندي بارد</x:v>
      </x:c>
      <x:c r="E100" s="46" t="str">
        <x:v>ING-SWEET-SUGAR</x:v>
      </x:c>
      <x:c r="F100" s="46" t="str">
        <x:f>IFERROR(VLOOKUP(E100,'مواد المخزون'!$C$2:$J$500,2,FALSE),"")</x:f>
        <x:v>سكر</x:v>
      </x:c>
      <x:c r="G100" s="104" t="n">
        <x:v>20</x:v>
      </x:c>
      <x:c r="H100" s="46" t="str">
        <x:v>غ</x:v>
      </x:c>
      <x:c r="I100" s="46" t="str">
        <x:f>IFERROR(VLOOKUP(E100,'مواد المخزون'!$C$2:$J$500,5,FALSE),"")</x:f>
        <x:v>كغ</x:v>
      </x:c>
      <x:c r="J100" s="104" t="n">
        <x:f>IF(OR(G100="",H100="",I100=""),"",IF(H100=I100,G100,IF(AND(H100="غ",I100="كغ"),G100/1000,IF(AND(H100="كغ",I100="غ"),G100*1000,IF(AND(H100="مل",I100="لتر"),G100/1000,IF(AND(H100="لتر",I100="مل"),G100*1000,""))))))</x:f>
        <x:v>0.02</x:v>
      </x:c>
      <x:c r="K100" s="108" t="n">
        <x:v>0</x:v>
      </x:c>
      <x:c r="L100" s="46" t="str">
        <x:v>لا</x:v>
      </x:c>
      <x:c r="M100" s="100" t="n">
        <x:f>IFERROR(VLOOKUP(E100,'مواد المخزون'!$C$2:$J$500,8,FALSE),"")</x:f>
        <x:v>10000</x:v>
      </x:c>
      <x:c r="N100" s="100" t="n">
        <x:f>IF(OR(J100="",M100=""),"",J100*M100*(1+K100/100))</x:f>
        <x:v>200</x:v>
      </x:c>
      <x:c r="O100" s="46" t="str"/>
      <x:c r="P100" s="46" t="str">
        <x:f>IF(A100="SKIP","متجاوز",IF(C100="","مفتاح منتج ناقص",IF(D100="","منتج غير موجود",IF(E100="","كود مخزون ناقص",IF(F100="","مادة غير موجودة",IF(J100="","خطأ وحدة",IF(G100&lt;=0,"كمية غير صالحة","صالح")))))))</x:f>
        <x:v>صالح</x:v>
      </x:c>
    </x:row>
    <x:row r="101">
      <x:c r="A101" s="46" t="str">
        <x:v>UPSERT_INACTIVE</x:v>
      </x:c>
      <x:c r="B101" s="46" t="str">
        <x:v>بحاجة مراجعة</x:v>
      </x:c>
      <x:c r="C101" s="46" t="str">
        <x:v>cold_tamarind</x:v>
      </x:c>
      <x:c r="D101" s="46" t="str">
        <x:f>IFERROR(VLOOKUP(C101,'المنتجات'!$C$2:$D$500,2,FALSE),"")</x:f>
        <x:v>تمر هندي بارد</x:v>
      </x:c>
      <x:c r="E101" s="46" t="str">
        <x:v>DRK-ICE</x:v>
      </x:c>
      <x:c r="F101" s="46" t="str">
        <x:f>IFERROR(VLOOKUP(E101,'مواد المخزون'!$C$2:$J$500,2,FALSE),"")</x:f>
        <x:v>ثلج</x:v>
      </x:c>
      <x:c r="G101" s="104" t="n">
        <x:v>150</x:v>
      </x:c>
      <x:c r="H101" s="46" t="str">
        <x:v>غ</x:v>
      </x:c>
      <x:c r="I101" s="46" t="str">
        <x:f>IFERROR(VLOOKUP(E101,'مواد المخزون'!$C$2:$J$500,5,FALSE),"")</x:f>
        <x:v>كغ</x:v>
      </x:c>
      <x:c r="J101" s="104" t="n">
        <x:f>IF(OR(G101="",H101="",I101=""),"",IF(H101=I101,G101,IF(AND(H101="غ",I101="كغ"),G101/1000,IF(AND(H101="كغ",I101="غ"),G101*1000,IF(AND(H101="مل",I101="لتر"),G101/1000,IF(AND(H101="لتر",I101="مل"),G101*1000,""))))))</x:f>
        <x:v>0.15</x:v>
      </x:c>
      <x:c r="K101" s="108" t="n">
        <x:v>0</x:v>
      </x:c>
      <x:c r="L101" s="46" t="str">
        <x:v>لا</x:v>
      </x:c>
      <x:c r="M101" s="100" t="n">
        <x:f>IFERROR(VLOOKUP(E101,'مواد المخزون'!$C$2:$J$500,8,FALSE),"")</x:f>
        <x:v>4000</x:v>
      </x:c>
      <x:c r="N101" s="100" t="n">
        <x:f>IF(OR(J101="",M101=""),"",J101*M101*(1+K101/100))</x:f>
        <x:v>600</x:v>
      </x:c>
      <x:c r="O101" s="46" t="str"/>
      <x:c r="P101" s="46" t="str">
        <x:f>IF(A101="SKIP","متجاوز",IF(C101="","مفتاح منتج ناقص",IF(D101="","منتج غير موجود",IF(E101="","كود مخزون ناقص",IF(F101="","مادة غير موجودة",IF(J101="","خطأ وحدة",IF(G101&lt;=0,"كمية غير صالحة","صالح")))))))</x:f>
        <x:v>صالح</x:v>
      </x:c>
    </x:row>
    <x:row r="102">
      <x:c r="A102" s="46" t="str">
        <x:v>UPSERT_INACTIVE</x:v>
      </x:c>
      <x:c r="B102" s="46" t="str">
        <x:v>بحاجة مراجعة</x:v>
      </x:c>
      <x:c r="C102" s="46" t="str">
        <x:v>watermelon_juice</x:v>
      </x:c>
      <x:c r="D102" s="46" t="str">
        <x:f>IFERROR(VLOOKUP(C102,'المنتجات'!$C$2:$D$500,2,FALSE),"")</x:f>
        <x:v>عصير بطيخ</x:v>
      </x:c>
      <x:c r="E102" s="46" t="str">
        <x:v>ING-FRT-WATERMELON</x:v>
      </x:c>
      <x:c r="F102" s="46" t="str">
        <x:f>IFERROR(VLOOKUP(E102,'مواد المخزون'!$C$2:$J$500,2,FALSE),"")</x:f>
        <x:v>بطيخ أحمر</x:v>
      </x:c>
      <x:c r="G102" s="104" t="n">
        <x:v>300</x:v>
      </x:c>
      <x:c r="H102" s="46" t="str">
        <x:v>غ</x:v>
      </x:c>
      <x:c r="I102" s="46" t="str">
        <x:f>IFERROR(VLOOKUP(E102,'مواد المخزون'!$C$2:$J$500,5,FALSE),"")</x:f>
        <x:v>كغ</x:v>
      </x:c>
      <x:c r="J102" s="104" t="n">
        <x:f>IF(OR(G102="",H102="",I102=""),"",IF(H102=I102,G102,IF(AND(H102="غ",I102="كغ"),G102/1000,IF(AND(H102="كغ",I102="غ"),G102*1000,IF(AND(H102="مل",I102="لتر"),G102/1000,IF(AND(H102="لتر",I102="مل"),G102*1000,""))))))</x:f>
        <x:v>0.3</x:v>
      </x:c>
      <x:c r="K102" s="108" t="n">
        <x:v>0</x:v>
      </x:c>
      <x:c r="L102" s="46" t="str">
        <x:v>لا</x:v>
      </x:c>
      <x:c r="M102" s="100" t="str">
        <x:f>IFERROR(VLOOKUP(E102,'مواد المخزون'!$C$2:$J$500,8,FALSE),"")</x:f>
      </x:c>
      <x:c r="N102" s="100" t="str">
        <x:f>IF(OR(J102="",M102=""),"",J102*M102*(1+K102/100))</x:f>
      </x:c>
      <x:c r="O102" s="46" t="str"/>
      <x:c r="P102" s="46" t="str">
        <x:f>IF(A102="SKIP","متجاوز",IF(C102="","مفتاح منتج ناقص",IF(D102="","منتج غير موجود",IF(E102="","كود مخزون ناقص",IF(F102="","مادة غير موجودة",IF(J102="","خطأ وحدة",IF(G102&lt;=0,"كمية غير صالحة","صالح")))))))</x:f>
        <x:v>صالح</x:v>
      </x:c>
    </x:row>
    <x:row r="103">
      <x:c r="A103" s="46" t="str">
        <x:v>UPSERT_INACTIVE</x:v>
      </x:c>
      <x:c r="B103" s="46" t="str">
        <x:v>بحاجة مراجعة</x:v>
      </x:c>
      <x:c r="C103" s="46" t="str">
        <x:v>watermelon_juice</x:v>
      </x:c>
      <x:c r="D103" s="46" t="str">
        <x:f>IFERROR(VLOOKUP(C103,'المنتجات'!$C$2:$D$500,2,FALSE),"")</x:f>
        <x:v>عصير بطيخ</x:v>
      </x:c>
      <x:c r="E103" s="46" t="str">
        <x:v>DRK-ICE</x:v>
      </x:c>
      <x:c r="F103" s="46" t="str">
        <x:f>IFERROR(VLOOKUP(E103,'مواد المخزون'!$C$2:$J$500,2,FALSE),"")</x:f>
        <x:v>ثلج</x:v>
      </x:c>
      <x:c r="G103" s="104" t="n">
        <x:v>100</x:v>
      </x:c>
      <x:c r="H103" s="46" t="str">
        <x:v>غ</x:v>
      </x:c>
      <x:c r="I103" s="46" t="str">
        <x:f>IFERROR(VLOOKUP(E103,'مواد المخزون'!$C$2:$J$500,5,FALSE),"")</x:f>
        <x:v>كغ</x:v>
      </x:c>
      <x:c r="J103" s="104" t="n">
        <x:f>IF(OR(G103="",H103="",I103=""),"",IF(H103=I103,G103,IF(AND(H103="غ",I103="كغ"),G103/1000,IF(AND(H103="كغ",I103="غ"),G103*1000,IF(AND(H103="مل",I103="لتر"),G103/1000,IF(AND(H103="لتر",I103="مل"),G103*1000,""))))))</x:f>
        <x:v>0.1</x:v>
      </x:c>
      <x:c r="K103" s="108" t="n">
        <x:v>0</x:v>
      </x:c>
      <x:c r="L103" s="46" t="str">
        <x:v>لا</x:v>
      </x:c>
      <x:c r="M103" s="100" t="n">
        <x:f>IFERROR(VLOOKUP(E103,'مواد المخزون'!$C$2:$J$500,8,FALSE),"")</x:f>
        <x:v>4000</x:v>
      </x:c>
      <x:c r="N103" s="100" t="n">
        <x:f>IF(OR(J103="",M103=""),"",J103*M103*(1+K103/100))</x:f>
        <x:v>400</x:v>
      </x:c>
      <x:c r="O103" s="46" t="str"/>
      <x:c r="P103" s="46" t="str">
        <x:f>IF(A103="SKIP","متجاوز",IF(C103="","مفتاح منتج ناقص",IF(D103="","منتج غير موجود",IF(E103="","كود مخزون ناقص",IF(F103="","مادة غير موجودة",IF(J103="","خطأ وحدة",IF(G103&lt;=0,"كمية غير صالحة","صالح")))))))</x:f>
        <x:v>صالح</x:v>
      </x:c>
    </x:row>
    <x:row r="104">
      <x:c r="A104" s="46" t="str">
        <x:v>UPSERT_INACTIVE</x:v>
      </x:c>
      <x:c r="B104" s="46" t="str">
        <x:v>بحاجة مراجعة</x:v>
      </x:c>
      <x:c r="C104" s="46" t="str">
        <x:v>cumin_lemon</x:v>
      </x:c>
      <x:c r="D104" s="46" t="str">
        <x:f>IFERROR(VLOOKUP(C104,'المنتجات'!$C$2:$D$500,2,FALSE),"")</x:f>
        <x:v>كمون وليمون</x:v>
      </x:c>
      <x:c r="E104" s="46" t="str">
        <x:v>ING-SPICE-CUMIN</x:v>
      </x:c>
      <x:c r="F104" s="46" t="str">
        <x:f>IFERROR(VLOOKUP(E104,'مواد المخزون'!$C$2:$J$500,2,FALSE),"")</x:f>
        <x:v>كمون</x:v>
      </x:c>
      <x:c r="G104" s="104" t="n">
        <x:v>3</x:v>
      </x:c>
      <x:c r="H104" s="46" t="str">
        <x:v>غ</x:v>
      </x:c>
      <x:c r="I104" s="46" t="str">
        <x:f>IFERROR(VLOOKUP(E104,'مواد المخزون'!$C$2:$J$500,5,FALSE),"")</x:f>
        <x:v>كغ</x:v>
      </x:c>
      <x:c r="J104" s="104" t="n">
        <x:f>IF(OR(G104="",H104="",I104=""),"",IF(H104=I104,G104,IF(AND(H104="غ",I104="كغ"),G104/1000,IF(AND(H104="كغ",I104="غ"),G104*1000,IF(AND(H104="مل",I104="لتر"),G104/1000,IF(AND(H104="لتر",I104="مل"),G104*1000,""))))))</x:f>
        <x:v>0.003</x:v>
      </x:c>
      <x:c r="K104" s="108" t="n">
        <x:v>0</x:v>
      </x:c>
      <x:c r="L104" s="46" t="str">
        <x:v>لا</x:v>
      </x:c>
      <x:c r="M104" s="100" t="str">
        <x:f>IFERROR(VLOOKUP(E104,'مواد المخزون'!$C$2:$J$500,8,FALSE),"")</x:f>
      </x:c>
      <x:c r="N104" s="100" t="str">
        <x:f>IF(OR(J104="",M104=""),"",J104*M104*(1+K104/100))</x:f>
      </x:c>
      <x:c r="O104" s="46" t="str"/>
      <x:c r="P104" s="46" t="str">
        <x:f>IF(A104="SKIP","متجاوز",IF(C104="","مفتاح منتج ناقص",IF(D104="","منتج غير موجود",IF(E104="","كود مخزون ناقص",IF(F104="","مادة غير موجودة",IF(J104="","خطأ وحدة",IF(G104&lt;=0,"كمية غير صالحة","صالح")))))))</x:f>
        <x:v>صالح</x:v>
      </x:c>
    </x:row>
    <x:row r="105">
      <x:c r="A105" s="46" t="str">
        <x:v>UPSERT_INACTIVE</x:v>
      </x:c>
      <x:c r="B105" s="46" t="str">
        <x:v>بحاجة مراجعة</x:v>
      </x:c>
      <x:c r="C105" s="46" t="str">
        <x:v>cumin_lemon</x:v>
      </x:c>
      <x:c r="D105" s="46" t="str">
        <x:f>IFERROR(VLOOKUP(C105,'المنتجات'!$C$2:$D$500,2,FALSE),"")</x:f>
        <x:v>كمون وليمون</x:v>
      </x:c>
      <x:c r="E105" s="46" t="str">
        <x:v>ING-FRT-LEMON</x:v>
      </x:c>
      <x:c r="F105" s="46" t="str">
        <x:f>IFERROR(VLOOKUP(E105,'مواد المخزون'!$C$2:$J$500,2,FALSE),"")</x:f>
        <x:v>ليمون</x:v>
      </x:c>
      <x:c r="G105" s="104" t="n">
        <x:v>40</x:v>
      </x:c>
      <x:c r="H105" s="46" t="str">
        <x:v>غ</x:v>
      </x:c>
      <x:c r="I105" s="46" t="str">
        <x:f>IFERROR(VLOOKUP(E105,'مواد المخزون'!$C$2:$J$500,5,FALSE),"")</x:f>
        <x:v>كغ</x:v>
      </x:c>
      <x:c r="J105" s="104" t="n">
        <x:f>IF(OR(G105="",H105="",I105=""),"",IF(H105=I105,G105,IF(AND(H105="غ",I105="كغ"),G105/1000,IF(AND(H105="كغ",I105="غ"),G105*1000,IF(AND(H105="مل",I105="لتر"),G105/1000,IF(AND(H105="لتر",I105="مل"),G105*1000,""))))))</x:f>
        <x:v>0.04</x:v>
      </x:c>
      <x:c r="K105" s="108" t="n">
        <x:v>0</x:v>
      </x:c>
      <x:c r="L105" s="46" t="str">
        <x:v>لا</x:v>
      </x:c>
      <x:c r="M105" s="100" t="n">
        <x:f>IFERROR(VLOOKUP(E105,'مواد المخزون'!$C$2:$J$500,8,FALSE),"")</x:f>
        <x:v>30000</x:v>
      </x:c>
      <x:c r="N105" s="100" t="n">
        <x:f>IF(OR(J105="",M105=""),"",J105*M105*(1+K105/100))</x:f>
        <x:v>1200</x:v>
      </x:c>
      <x:c r="O105" s="46" t="str"/>
      <x:c r="P105" s="46" t="str">
        <x:f>IF(A105="SKIP","متجاوز",IF(C105="","مفتاح منتج ناقص",IF(D105="","منتج غير موجود",IF(E105="","كود مخزون ناقص",IF(F105="","مادة غير موجودة",IF(J105="","خطأ وحدة",IF(G105&lt;=0,"كمية غير صالحة","صالح")))))))</x:f>
        <x:v>صالح</x:v>
      </x:c>
    </x:row>
    <x:row r="106">
      <x:c r="A106" s="46" t="str">
        <x:v>UPSERT_INACTIVE</x:v>
      </x:c>
      <x:c r="B106" s="46" t="str">
        <x:v>بحاجة مراجعة</x:v>
      </x:c>
      <x:c r="C106" s="46" t="str">
        <x:v>milkshake</x:v>
      </x:c>
      <x:c r="D106" s="46" t="str">
        <x:f>IFERROR(VLOOKUP(C106,'المنتجات'!$C$2:$D$500,2,FALSE),"")</x:f>
        <x:v>ميلك شيك</x:v>
      </x:c>
      <x:c r="E106" s="46" t="str">
        <x:v>ING-DAIRY-MILK</x:v>
      </x:c>
      <x:c r="F106" s="46" t="str">
        <x:f>IFERROR(VLOOKUP(E106,'مواد المخزون'!$C$2:$J$500,2,FALSE),"")</x:f>
        <x:v>حليب</x:v>
      </x:c>
      <x:c r="G106" s="104" t="n">
        <x:v>250</x:v>
      </x:c>
      <x:c r="H106" s="46" t="str">
        <x:v>مل</x:v>
      </x:c>
      <x:c r="I106" s="46" t="str">
        <x:f>IFERROR(VLOOKUP(E106,'مواد المخزون'!$C$2:$J$500,5,FALSE),"")</x:f>
        <x:v>لتر</x:v>
      </x:c>
      <x:c r="J106" s="104" t="n">
        <x:f>IF(OR(G106="",H106="",I106=""),"",IF(H106=I106,G106,IF(AND(H106="غ",I106="كغ"),G106/1000,IF(AND(H106="كغ",I106="غ"),G106*1000,IF(AND(H106="مل",I106="لتر"),G106/1000,IF(AND(H106="لتر",I106="مل"),G106*1000,""))))))</x:f>
        <x:v>0.25</x:v>
      </x:c>
      <x:c r="K106" s="108" t="n">
        <x:v>0</x:v>
      </x:c>
      <x:c r="L106" s="46" t="str">
        <x:v>لا</x:v>
      </x:c>
      <x:c r="M106" s="100" t="n">
        <x:f>IFERROR(VLOOKUP(E106,'مواد المخزون'!$C$2:$J$500,8,FALSE),"")</x:f>
        <x:v>15000</x:v>
      </x:c>
      <x:c r="N106" s="100" t="n">
        <x:f>IF(OR(J106="",M106=""),"",J106*M106*(1+K106/100))</x:f>
        <x:v>3750</x:v>
      </x:c>
      <x:c r="O106" s="46" t="str"/>
      <x:c r="P106" s="46" t="str">
        <x:f>IF(A106="SKIP","متجاوز",IF(C106="","مفتاح منتج ناقص",IF(D106="","منتج غير موجود",IF(E106="","كود مخزون ناقص",IF(F106="","مادة غير موجودة",IF(J106="","خطأ وحدة",IF(G106&lt;=0,"كمية غير صالحة","صالح")))))))</x:f>
        <x:v>صالح</x:v>
      </x:c>
    </x:row>
    <x:row r="107">
      <x:c r="A107" s="46" t="str">
        <x:v>UPSERT_INACTIVE</x:v>
      </x:c>
      <x:c r="B107" s="46" t="str">
        <x:v>بحاجة مراجعة</x:v>
      </x:c>
      <x:c r="C107" s="46" t="str">
        <x:v>milkshake</x:v>
      </x:c>
      <x:c r="D107" s="46" t="str">
        <x:f>IFERROR(VLOOKUP(C107,'المنتجات'!$C$2:$D$500,2,FALSE),"")</x:f>
        <x:v>ميلك شيك</x:v>
      </x:c>
      <x:c r="E107" s="46" t="str">
        <x:v>ING-DAIRY-ICECREAM-VAN</x:v>
      </x:c>
      <x:c r="F107" s="46" t="str">
        <x:f>IFERROR(VLOOKUP(E107,'مواد المخزون'!$C$2:$J$500,2,FALSE),"")</x:f>
        <x:v>آيس كريم فانيلا</x:v>
      </x:c>
      <x:c r="G107" s="104" t="n">
        <x:v>120</x:v>
      </x:c>
      <x:c r="H107" s="46" t="str">
        <x:v>غ</x:v>
      </x:c>
      <x:c r="I107" s="46" t="str">
        <x:f>IFERROR(VLOOKUP(E107,'مواد المخزون'!$C$2:$J$500,5,FALSE),"")</x:f>
        <x:v>كغ</x:v>
      </x:c>
      <x:c r="J107" s="104" t="n">
        <x:f>IF(OR(G107="",H107="",I107=""),"",IF(H107=I107,G107,IF(AND(H107="غ",I107="كغ"),G107/1000,IF(AND(H107="كغ",I107="غ"),G107*1000,IF(AND(H107="مل",I107="لتر"),G107/1000,IF(AND(H107="لتر",I107="مل"),G107*1000,""))))))</x:f>
        <x:v>0.12</x:v>
      </x:c>
      <x:c r="K107" s="108" t="n">
        <x:v>0</x:v>
      </x:c>
      <x:c r="L107" s="46" t="str">
        <x:v>لا</x:v>
      </x:c>
      <x:c r="M107" s="100" t="str">
        <x:f>IFERROR(VLOOKUP(E107,'مواد المخزون'!$C$2:$J$500,8,FALSE),"")</x:f>
      </x:c>
      <x:c r="N107" s="100" t="str">
        <x:f>IF(OR(J107="",M107=""),"",J107*M107*(1+K107/100))</x:f>
      </x:c>
      <x:c r="O107" s="46" t="str"/>
      <x:c r="P107" s="46" t="str">
        <x:f>IF(A107="SKIP","متجاوز",IF(C107="","مفتاح منتج ناقص",IF(D107="","منتج غير موجود",IF(E107="","كود مخزون ناقص",IF(F107="","مادة غير موجودة",IF(J107="","خطأ وحدة",IF(G107&lt;=0,"كمية غير صالحة","صالح")))))))</x:f>
        <x:v>صالح</x:v>
      </x:c>
    </x:row>
    <x:row r="108">
      <x:c r="A108" s="46" t="str">
        <x:v>UPSERT_INACTIVE</x:v>
      </x:c>
      <x:c r="B108" s="46" t="str">
        <x:v>بحاجة مراجعة</x:v>
      </x:c>
      <x:c r="C108" s="46" t="str">
        <x:v>milkshake</x:v>
      </x:c>
      <x:c r="D108" s="46" t="str">
        <x:f>IFERROR(VLOOKUP(C108,'المنتجات'!$C$2:$D$500,2,FALSE),"")</x:f>
        <x:v>ميلك شيك</x:v>
      </x:c>
      <x:c r="E108" s="46" t="str">
        <x:v>ING-SYRUP-VANILLA</x:v>
      </x:c>
      <x:c r="F108" s="46" t="str">
        <x:f>IFERROR(VLOOKUP(E108,'مواد المخزون'!$C$2:$J$500,2,FALSE),"")</x:f>
        <x:v>سيروب فانيلا</x:v>
      </x:c>
      <x:c r="G108" s="104" t="n">
        <x:v>20</x:v>
      </x:c>
      <x:c r="H108" s="46" t="str">
        <x:v>مل</x:v>
      </x:c>
      <x:c r="I108" s="46" t="str">
        <x:f>IFERROR(VLOOKUP(E108,'مواد المخزون'!$C$2:$J$500,5,FALSE),"")</x:f>
        <x:v>لتر</x:v>
      </x:c>
      <x:c r="J108" s="104" t="n">
        <x:f>IF(OR(G108="",H108="",I108=""),"",IF(H108=I108,G108,IF(AND(H108="غ",I108="كغ"),G108/1000,IF(AND(H108="كغ",I108="غ"),G108*1000,IF(AND(H108="مل",I108="لتر"),G108/1000,IF(AND(H108="لتر",I108="مل"),G108*1000,""))))))</x:f>
        <x:v>0.02</x:v>
      </x:c>
      <x:c r="K108" s="108" t="n">
        <x:v>0</x:v>
      </x:c>
      <x:c r="L108" s="46" t="str">
        <x:v>لا</x:v>
      </x:c>
      <x:c r="M108" s="100" t="str">
        <x:f>IFERROR(VLOOKUP(E108,'مواد المخزون'!$C$2:$J$500,8,FALSE),"")</x:f>
      </x:c>
      <x:c r="N108" s="100" t="str">
        <x:f>IF(OR(J108="",M108=""),"",J108*M108*(1+K108/100))</x:f>
      </x:c>
      <x:c r="O108" s="46" t="str"/>
      <x:c r="P108" s="46" t="str">
        <x:f>IF(A108="SKIP","متجاوز",IF(C108="","مفتاح منتج ناقص",IF(D108="","منتج غير موجود",IF(E108="","كود مخزون ناقص",IF(F108="","مادة غير موجودة",IF(J108="","خطأ وحدة",IF(G108&lt;=0,"كمية غير صالحة","صالح")))))))</x:f>
        <x:v>صالح</x:v>
      </x:c>
    </x:row>
    <x:row r="109">
      <x:c r="A109" s="46" t="str">
        <x:v>UPSERT_INACTIVE</x:v>
      </x:c>
      <x:c r="B109" s="46" t="str">
        <x:v>بحاجة مراجعة</x:v>
      </x:c>
      <x:c r="C109" s="46" t="str">
        <x:v>smoothie</x:v>
      </x:c>
      <x:c r="D109" s="46" t="str">
        <x:f>IFERROR(VLOOKUP(C109,'المنتجات'!$C$2:$D$500,2,FALSE),"")</x:f>
        <x:v>سموذي</x:v>
      </x:c>
      <x:c r="E109" s="46" t="str">
        <x:v>ING-FRT-BANANA</x:v>
      </x:c>
      <x:c r="F109" s="46" t="str">
        <x:f>IFERROR(VLOOKUP(E109,'مواد المخزون'!$C$2:$J$500,2,FALSE),"")</x:f>
        <x:v>موز</x:v>
      </x:c>
      <x:c r="G109" s="104" t="n">
        <x:v>150</x:v>
      </x:c>
      <x:c r="H109" s="46" t="str">
        <x:v>غ</x:v>
      </x:c>
      <x:c r="I109" s="46" t="str">
        <x:f>IFERROR(VLOOKUP(E109,'مواد المخزون'!$C$2:$J$500,5,FALSE),"")</x:f>
        <x:v>كغ</x:v>
      </x:c>
      <x:c r="J109" s="104" t="n">
        <x:f>IF(OR(G109="",H109="",I109=""),"",IF(H109=I109,G109,IF(AND(H109="غ",I109="كغ"),G109/1000,IF(AND(H109="كغ",I109="غ"),G109*1000,IF(AND(H109="مل",I109="لتر"),G109/1000,IF(AND(H109="لتر",I109="مل"),G109*1000,""))))))</x:f>
        <x:v>0.15</x:v>
      </x:c>
      <x:c r="K109" s="108" t="n">
        <x:v>0</x:v>
      </x:c>
      <x:c r="L109" s="46" t="str">
        <x:v>لا</x:v>
      </x:c>
      <x:c r="M109" s="100" t="str">
        <x:f>IFERROR(VLOOKUP(E109,'مواد المخزون'!$C$2:$J$500,8,FALSE),"")</x:f>
      </x:c>
      <x:c r="N109" s="100" t="str">
        <x:f>IF(OR(J109="",M109=""),"",J109*M109*(1+K109/100))</x:f>
      </x:c>
      <x:c r="O109" s="46" t="str">
        <x:v>وصفة مرجعية بالموز؛ غيّر الفاكهة حسب النكهة.</x:v>
      </x:c>
      <x:c r="P109" s="46" t="str">
        <x:f>IF(A109="SKIP","متجاوز",IF(C109="","مفتاح منتج ناقص",IF(D109="","منتج غير موجود",IF(E109="","كود مخزون ناقص",IF(F109="","مادة غير موجودة",IF(J109="","خطأ وحدة",IF(G109&lt;=0,"كمية غير صالحة","صالح")))))))</x:f>
        <x:v>صالح</x:v>
      </x:c>
    </x:row>
    <x:row r="110">
      <x:c r="A110" s="46" t="str">
        <x:v>UPSERT_INACTIVE</x:v>
      </x:c>
      <x:c r="B110" s="46" t="str">
        <x:v>بحاجة مراجعة</x:v>
      </x:c>
      <x:c r="C110" s="46" t="str">
        <x:v>smoothie</x:v>
      </x:c>
      <x:c r="D110" s="46" t="str">
        <x:f>IFERROR(VLOOKUP(C110,'المنتجات'!$C$2:$D$500,2,FALSE),"")</x:f>
        <x:v>سموذي</x:v>
      </x:c>
      <x:c r="E110" s="46" t="str">
        <x:v>ING-DAIRY-YOGURT-PAST</x:v>
      </x:c>
      <x:c r="F110" s="46" t="str">
        <x:f>IFERROR(VLOOKUP(E110,'مواد المخزون'!$C$2:$J$500,2,FALSE),"")</x:f>
        <x:v>لبن مبستر</x:v>
      </x:c>
      <x:c r="G110" s="104" t="n">
        <x:v>100</x:v>
      </x:c>
      <x:c r="H110" s="46" t="str">
        <x:v>غ</x:v>
      </x:c>
      <x:c r="I110" s="46" t="str">
        <x:f>IFERROR(VLOOKUP(E110,'مواد المخزون'!$C$2:$J$500,5,FALSE),"")</x:f>
        <x:v>كغ</x:v>
      </x:c>
      <x:c r="J110" s="104" t="n">
        <x:f>IF(OR(G110="",H110="",I110=""),"",IF(H110=I110,G110,IF(AND(H110="غ",I110="كغ"),G110/1000,IF(AND(H110="كغ",I110="غ"),G110*1000,IF(AND(H110="مل",I110="لتر"),G110/1000,IF(AND(H110="لتر",I110="مل"),G110*1000,""))))))</x:f>
        <x:v>0.1</x:v>
      </x:c>
      <x:c r="K110" s="108" t="n">
        <x:v>0</x:v>
      </x:c>
      <x:c r="L110" s="46" t="str">
        <x:v>لا</x:v>
      </x:c>
      <x:c r="M110" s="100" t="n">
        <x:f>IFERROR(VLOOKUP(E110,'مواد المخزون'!$C$2:$J$500,8,FALSE),"")</x:f>
        <x:v>15000</x:v>
      </x:c>
      <x:c r="N110" s="100" t="n">
        <x:f>IF(OR(J110="",M110=""),"",J110*M110*(1+K110/100))</x:f>
        <x:v>1500</x:v>
      </x:c>
      <x:c r="O110" s="46" t="str"/>
      <x:c r="P110" s="46" t="str">
        <x:f>IF(A110="SKIP","متجاوز",IF(C110="","مفتاح منتج ناقص",IF(D110="","منتج غير موجود",IF(E110="","كود مخزون ناقص",IF(F110="","مادة غير موجودة",IF(J110="","خطأ وحدة",IF(G110&lt;=0,"كمية غير صالحة","صالح")))))))</x:f>
        <x:v>صالح</x:v>
      </x:c>
    </x:row>
    <x:row r="111">
      <x:c r="A111" s="46" t="str">
        <x:v>UPSERT_INACTIVE</x:v>
      </x:c>
      <x:c r="B111" s="46" t="str">
        <x:v>بحاجة مراجعة</x:v>
      </x:c>
      <x:c r="C111" s="46" t="str">
        <x:v>smoothie</x:v>
      </x:c>
      <x:c r="D111" s="46" t="str">
        <x:f>IFERROR(VLOOKUP(C111,'المنتجات'!$C$2:$D$500,2,FALSE),"")</x:f>
        <x:v>سموذي</x:v>
      </x:c>
      <x:c r="E111" s="46" t="str">
        <x:v>DRK-ICE</x:v>
      </x:c>
      <x:c r="F111" s="46" t="str">
        <x:f>IFERROR(VLOOKUP(E111,'مواد المخزون'!$C$2:$J$500,2,FALSE),"")</x:f>
        <x:v>ثلج</x:v>
      </x:c>
      <x:c r="G111" s="104" t="n">
        <x:v>100</x:v>
      </x:c>
      <x:c r="H111" s="46" t="str">
        <x:v>غ</x:v>
      </x:c>
      <x:c r="I111" s="46" t="str">
        <x:f>IFERROR(VLOOKUP(E111,'مواد المخزون'!$C$2:$J$500,5,FALSE),"")</x:f>
        <x:v>كغ</x:v>
      </x:c>
      <x:c r="J111" s="104" t="n">
        <x:f>IF(OR(G111="",H111="",I111=""),"",IF(H111=I111,G111,IF(AND(H111="غ",I111="كغ"),G111/1000,IF(AND(H111="كغ",I111="غ"),G111*1000,IF(AND(H111="مل",I111="لتر"),G111/1000,IF(AND(H111="لتر",I111="مل"),G111*1000,""))))))</x:f>
        <x:v>0.1</x:v>
      </x:c>
      <x:c r="K111" s="108" t="n">
        <x:v>0</x:v>
      </x:c>
      <x:c r="L111" s="46" t="str">
        <x:v>لا</x:v>
      </x:c>
      <x:c r="M111" s="100" t="n">
        <x:f>IFERROR(VLOOKUP(E111,'مواد المخزون'!$C$2:$J$500,8,FALSE),"")</x:f>
        <x:v>4000</x:v>
      </x:c>
      <x:c r="N111" s="100" t="n">
        <x:f>IF(OR(J111="",M111=""),"",J111*M111*(1+K111/100))</x:f>
        <x:v>400</x:v>
      </x:c>
      <x:c r="O111" s="46" t="str"/>
      <x:c r="P111" s="46" t="str">
        <x:f>IF(A111="SKIP","متجاوز",IF(C111="","مفتاح منتج ناقص",IF(D111="","منتج غير موجود",IF(E111="","كود مخزون ناقص",IF(F111="","مادة غير موجودة",IF(J111="","خطأ وحدة",IF(G111&lt;=0,"كمية غير صالحة","صالح")))))))</x:f>
        <x:v>صالح</x:v>
      </x:c>
    </x:row>
    <x:row r="112">
      <x:c r="A112" s="46" t="str">
        <x:v>UPSERT_INACTIVE</x:v>
      </x:c>
      <x:c r="B112" s="46" t="str">
        <x:v>بحاجة مراجعة</x:v>
      </x:c>
      <x:c r="C112" s="46" t="str">
        <x:v>vodka_cocktail</x:v>
      </x:c>
      <x:c r="D112" s="46" t="str">
        <x:f>IFERROR(VLOOKUP(C112,'المنتجات'!$C$2:$D$500,2,FALSE),"")</x:f>
        <x:v>كوكتيل فودكا</x:v>
      </x:c>
      <x:c r="E112" s="46" t="str">
        <x:v>DRK-ALC-VODKA-SMIRNOFF</x:v>
      </x:c>
      <x:c r="F112" s="46" t="str">
        <x:f>IFERROR(VLOOKUP(E112,'مواد المخزون'!$C$2:$J$500,2,FALSE),"")</x:f>
        <x:v>فودكا سميرنوف</x:v>
      </x:c>
      <x:c r="G112" s="104" t="n">
        <x:v>50</x:v>
      </x:c>
      <x:c r="H112" s="46" t="str">
        <x:v>مل</x:v>
      </x:c>
      <x:c r="I112" s="46" t="str">
        <x:f>IFERROR(VLOOKUP(E112,'مواد المخزون'!$C$2:$J$500,5,FALSE),"")</x:f>
        <x:v>لتر</x:v>
      </x:c>
      <x:c r="J112" s="104" t="n">
        <x:f>IF(OR(G112="",H112="",I112=""),"",IF(H112=I112,G112,IF(AND(H112="غ",I112="كغ"),G112/1000,IF(AND(H112="كغ",I112="غ"),G112*1000,IF(AND(H112="مل",I112="لتر"),G112/1000,IF(AND(H112="لتر",I112="مل"),G112*1000,""))))))</x:f>
        <x:v>0.05</x:v>
      </x:c>
      <x:c r="K112" s="108" t="n">
        <x:v>0</x:v>
      </x:c>
      <x:c r="L112" s="46" t="str">
        <x:v>لا</x:v>
      </x:c>
      <x:c r="M112" s="100" t="n">
        <x:f>IFERROR(VLOOKUP(E112,'مواد المخزون'!$C$2:$J$500,8,FALSE),"")</x:f>
        <x:v>50000</x:v>
      </x:c>
      <x:c r="N112" s="100" t="n">
        <x:f>IF(OR(J112="",M112=""),"",J112*M112*(1+K112/100))</x:f>
        <x:v>2500</x:v>
      </x:c>
      <x:c r="O112" s="46" t="str"/>
      <x:c r="P112" s="46" t="str">
        <x:f>IF(A112="SKIP","متجاوز",IF(C112="","مفتاح منتج ناقص",IF(D112="","منتج غير موجود",IF(E112="","كود مخزون ناقص",IF(F112="","مادة غير موجودة",IF(J112="","خطأ وحدة",IF(G112&lt;=0,"كمية غير صالحة","صالح")))))))</x:f>
        <x:v>صالح</x:v>
      </x:c>
    </x:row>
    <x:row r="113">
      <x:c r="A113" s="46" t="str">
        <x:v>UPSERT_INACTIVE</x:v>
      </x:c>
      <x:c r="B113" s="46" t="str">
        <x:v>بحاجة مراجعة</x:v>
      </x:c>
      <x:c r="C113" s="46" t="str">
        <x:v>vodka_cocktail</x:v>
      </x:c>
      <x:c r="D113" s="46" t="str">
        <x:f>IFERROR(VLOOKUP(C113,'المنتجات'!$C$2:$D$500,2,FALSE),"")</x:f>
        <x:v>كوكتيل فودكا</x:v>
      </x:c>
      <x:c r="E113" s="46" t="str">
        <x:v>DRK-JUICE-APPLE</x:v>
      </x:c>
      <x:c r="F113" s="46" t="str">
        <x:f>IFERROR(VLOOKUP(E113,'مواد المخزون'!$C$2:$J$500,2,FALSE),"")</x:f>
        <x:v>عصير تفاح</x:v>
      </x:c>
      <x:c r="G113" s="104" t="n">
        <x:v>150</x:v>
      </x:c>
      <x:c r="H113" s="46" t="str">
        <x:v>مل</x:v>
      </x:c>
      <x:c r="I113" s="46" t="str">
        <x:f>IFERROR(VLOOKUP(E113,'مواد المخزون'!$C$2:$J$500,5,FALSE),"")</x:f>
        <x:v>لتر</x:v>
      </x:c>
      <x:c r="J113" s="104" t="n">
        <x:f>IF(OR(G113="",H113="",I113=""),"",IF(H113=I113,G113,IF(AND(H113="غ",I113="كغ"),G113/1000,IF(AND(H113="كغ",I113="غ"),G113*1000,IF(AND(H113="مل",I113="لتر"),G113/1000,IF(AND(H113="لتر",I113="مل"),G113*1000,""))))))</x:f>
        <x:v>0.15</x:v>
      </x:c>
      <x:c r="K113" s="108" t="n">
        <x:v>0</x:v>
      </x:c>
      <x:c r="L113" s="46" t="str">
        <x:v>لا</x:v>
      </x:c>
      <x:c r="M113" s="100" t="str">
        <x:f>IFERROR(VLOOKUP(E113,'مواد المخزون'!$C$2:$J$500,8,FALSE),"")</x:f>
      </x:c>
      <x:c r="N113" s="100" t="str">
        <x:f>IF(OR(J113="",M113=""),"",J113*M113*(1+K113/100))</x:f>
      </x:c>
      <x:c r="O113" s="46" t="str"/>
      <x:c r="P113" s="46" t="str">
        <x:f>IF(A113="SKIP","متجاوز",IF(C113="","مفتاح منتج ناقص",IF(D113="","منتج غير موجود",IF(E113="","كود مخزون ناقص",IF(F113="","مادة غير موجودة",IF(J113="","خطأ وحدة",IF(G113&lt;=0,"كمية غير صالحة","صالح")))))))</x:f>
        <x:v>صالح</x:v>
      </x:c>
    </x:row>
    <x:row r="114">
      <x:c r="A114" s="46" t="str">
        <x:v>UPSERT_INACTIVE</x:v>
      </x:c>
      <x:c r="B114" s="46" t="str">
        <x:v>بحاجة مراجعة</x:v>
      </x:c>
      <x:c r="C114" s="46" t="str">
        <x:v>vodka_cocktail</x:v>
      </x:c>
      <x:c r="D114" s="46" t="str">
        <x:f>IFERROR(VLOOKUP(C114,'المنتجات'!$C$2:$D$500,2,FALSE),"")</x:f>
        <x:v>كوكتيل فودكا</x:v>
      </x:c>
      <x:c r="E114" s="46" t="str">
        <x:v>DRK-ICE</x:v>
      </x:c>
      <x:c r="F114" s="46" t="str">
        <x:f>IFERROR(VLOOKUP(E114,'مواد المخزون'!$C$2:$J$500,2,FALSE),"")</x:f>
        <x:v>ثلج</x:v>
      </x:c>
      <x:c r="G114" s="104" t="n">
        <x:v>150</x:v>
      </x:c>
      <x:c r="H114" s="46" t="str">
        <x:v>غ</x:v>
      </x:c>
      <x:c r="I114" s="46" t="str">
        <x:f>IFERROR(VLOOKUP(E114,'مواد المخزون'!$C$2:$J$500,5,FALSE),"")</x:f>
        <x:v>كغ</x:v>
      </x:c>
      <x:c r="J114" s="104" t="n">
        <x:f>IF(OR(G114="",H114="",I114=""),"",IF(H114=I114,G114,IF(AND(H114="غ",I114="كغ"),G114/1000,IF(AND(H114="كغ",I114="غ"),G114*1000,IF(AND(H114="مل",I114="لتر"),G114/1000,IF(AND(H114="لتر",I114="مل"),G114*1000,""))))))</x:f>
        <x:v>0.15</x:v>
      </x:c>
      <x:c r="K114" s="108" t="n">
        <x:v>0</x:v>
      </x:c>
      <x:c r="L114" s="46" t="str">
        <x:v>لا</x:v>
      </x:c>
      <x:c r="M114" s="100" t="n">
        <x:f>IFERROR(VLOOKUP(E114,'مواد المخزون'!$C$2:$J$500,8,FALSE),"")</x:f>
        <x:v>4000</x:v>
      </x:c>
      <x:c r="N114" s="100" t="n">
        <x:f>IF(OR(J114="",M114=""),"",J114*M114*(1+K114/100))</x:f>
        <x:v>600</x:v>
      </x:c>
      <x:c r="O114" s="46" t="str"/>
      <x:c r="P114" s="46" t="str">
        <x:f>IF(A114="SKIP","متجاوز",IF(C114="","مفتاح منتج ناقص",IF(D114="","منتج غير موجود",IF(E114="","كود مخزون ناقص",IF(F114="","مادة غير موجودة",IF(J114="","خطأ وحدة",IF(G114&lt;=0,"كمية غير صالحة","صالح")))))))</x:f>
        <x:v>صالح</x:v>
      </x:c>
    </x:row>
    <x:row r="115">
      <x:c r="A115" s="46" t="str">
        <x:v>UPSERT_INACTIVE</x:v>
      </x:c>
      <x:c r="B115" s="46" t="str">
        <x:v>بحاجة مراجعة</x:v>
      </x:c>
      <x:c r="C115" s="46" t="str">
        <x:v>mojito</x:v>
      </x:c>
      <x:c r="D115" s="46" t="str">
        <x:f>IFERROR(VLOOKUP(C115,'المنتجات'!$C$2:$D$500,2,FALSE),"")</x:f>
        <x:v>موهيتو</x:v>
      </x:c>
      <x:c r="E115" s="46" t="str">
        <x:v>DRK-ALC-RUM-WHITE</x:v>
      </x:c>
      <x:c r="F115" s="46" t="str">
        <x:f>IFERROR(VLOOKUP(E115,'مواد المخزون'!$C$2:$J$500,2,FALSE),"")</x:f>
        <x:v>روم أبيض</x:v>
      </x:c>
      <x:c r="G115" s="104" t="n">
        <x:v>50</x:v>
      </x:c>
      <x:c r="H115" s="46" t="str">
        <x:v>مل</x:v>
      </x:c>
      <x:c r="I115" s="46" t="str">
        <x:f>IFERROR(VLOOKUP(E115,'مواد المخزون'!$C$2:$J$500,5,FALSE),"")</x:f>
        <x:v>لتر</x:v>
      </x:c>
      <x:c r="J115" s="104" t="n">
        <x:f>IF(OR(G115="",H115="",I115=""),"",IF(H115=I115,G115,IF(AND(H115="غ",I115="كغ"),G115/1000,IF(AND(H115="كغ",I115="غ"),G115*1000,IF(AND(H115="مل",I115="لتر"),G115/1000,IF(AND(H115="لتر",I115="مل"),G115*1000,""))))))</x:f>
        <x:v>0.05</x:v>
      </x:c>
      <x:c r="K115" s="108" t="n">
        <x:v>0</x:v>
      </x:c>
      <x:c r="L115" s="46" t="str">
        <x:v>لا</x:v>
      </x:c>
      <x:c r="M115" s="100" t="str">
        <x:f>IFERROR(VLOOKUP(E115,'مواد المخزون'!$C$2:$J$500,8,FALSE),"")</x:f>
      </x:c>
      <x:c r="N115" s="100" t="str">
        <x:f>IF(OR(J115="",M115=""),"",J115*M115*(1+K115/100))</x:f>
      </x:c>
      <x:c r="O115" s="46" t="str"/>
      <x:c r="P115" s="46" t="str">
        <x:f>IF(A115="SKIP","متجاوز",IF(C115="","مفتاح منتج ناقص",IF(D115="","منتج غير موجود",IF(E115="","كود مخزون ناقص",IF(F115="","مادة غير موجودة",IF(J115="","خطأ وحدة",IF(G115&lt;=0,"كمية غير صالحة","صالح")))))))</x:f>
        <x:v>صالح</x:v>
      </x:c>
    </x:row>
    <x:row r="116">
      <x:c r="A116" s="46" t="str">
        <x:v>UPSERT_INACTIVE</x:v>
      </x:c>
      <x:c r="B116" s="46" t="str">
        <x:v>بحاجة مراجعة</x:v>
      </x:c>
      <x:c r="C116" s="46" t="str">
        <x:v>mojito</x:v>
      </x:c>
      <x:c r="D116" s="46" t="str">
        <x:f>IFERROR(VLOOKUP(C116,'المنتجات'!$C$2:$D$500,2,FALSE),"")</x:f>
        <x:v>موهيتو</x:v>
      </x:c>
      <x:c r="E116" s="46" t="str">
        <x:v>ING-FRT-LEMON</x:v>
      </x:c>
      <x:c r="F116" s="46" t="str">
        <x:f>IFERROR(VLOOKUP(E116,'مواد المخزون'!$C$2:$J$500,2,FALSE),"")</x:f>
        <x:v>ليمون</x:v>
      </x:c>
      <x:c r="G116" s="104" t="n">
        <x:v>40</x:v>
      </x:c>
      <x:c r="H116" s="46" t="str">
        <x:v>غ</x:v>
      </x:c>
      <x:c r="I116" s="46" t="str">
        <x:f>IFERROR(VLOOKUP(E116,'مواد المخزون'!$C$2:$J$500,5,FALSE),"")</x:f>
        <x:v>كغ</x:v>
      </x:c>
      <x:c r="J116" s="104" t="n">
        <x:f>IF(OR(G116="",H116="",I116=""),"",IF(H116=I116,G116,IF(AND(H116="غ",I116="كغ"),G116/1000,IF(AND(H116="كغ",I116="غ"),G116*1000,IF(AND(H116="مل",I116="لتر"),G116/1000,IF(AND(H116="لتر",I116="مل"),G116*1000,""))))))</x:f>
        <x:v>0.04</x:v>
      </x:c>
      <x:c r="K116" s="108" t="n">
        <x:v>0</x:v>
      </x:c>
      <x:c r="L116" s="46" t="str">
        <x:v>لا</x:v>
      </x:c>
      <x:c r="M116" s="100" t="n">
        <x:f>IFERROR(VLOOKUP(E116,'مواد المخزون'!$C$2:$J$500,8,FALSE),"")</x:f>
        <x:v>30000</x:v>
      </x:c>
      <x:c r="N116" s="100" t="n">
        <x:f>IF(OR(J116="",M116=""),"",J116*M116*(1+K116/100))</x:f>
        <x:v>1200</x:v>
      </x:c>
      <x:c r="O116" s="46" t="str"/>
      <x:c r="P116" s="46" t="str">
        <x:f>IF(A116="SKIP","متجاوز",IF(C116="","مفتاح منتج ناقص",IF(D116="","منتج غير موجود",IF(E116="","كود مخزون ناقص",IF(F116="","مادة غير موجودة",IF(J116="","خطأ وحدة",IF(G116&lt;=0,"كمية غير صالحة","صالح")))))))</x:f>
        <x:v>صالح</x:v>
      </x:c>
    </x:row>
    <x:row r="117">
      <x:c r="A117" s="46" t="str">
        <x:v>UPSERT_INACTIVE</x:v>
      </x:c>
      <x:c r="B117" s="46" t="str">
        <x:v>بحاجة مراجعة</x:v>
      </x:c>
      <x:c r="C117" s="46" t="str">
        <x:v>mojito</x:v>
      </x:c>
      <x:c r="D117" s="46" t="str">
        <x:f>IFERROR(VLOOKUP(C117,'المنتجات'!$C$2:$D$500,2,FALSE),"")</x:f>
        <x:v>موهيتو</x:v>
      </x:c>
      <x:c r="E117" s="46" t="str">
        <x:v>ING-HERB-MINT</x:v>
      </x:c>
      <x:c r="F117" s="46" t="str">
        <x:f>IFERROR(VLOOKUP(E117,'مواد المخزون'!$C$2:$J$500,2,FALSE),"")</x:f>
        <x:v>نعنع طازج</x:v>
      </x:c>
      <x:c r="G117" s="104" t="n">
        <x:v>0.05</x:v>
      </x:c>
      <x:c r="H117" s="46" t="str">
        <x:v>عبوة</x:v>
      </x:c>
      <x:c r="I117" s="46" t="str">
        <x:f>IFERROR(VLOOKUP(E117,'مواد المخزون'!$C$2:$J$500,5,FALSE),"")</x:f>
        <x:v>عبوة</x:v>
      </x:c>
      <x:c r="J117" s="104" t="n">
        <x:f>IF(OR(G117="",H117="",I117=""),"",IF(H117=I117,G117,IF(AND(H117="غ",I117="كغ"),G117/1000,IF(AND(H117="كغ",I117="غ"),G117*1000,IF(AND(H117="مل",I117="لتر"),G117/1000,IF(AND(H117="لتر",I117="مل"),G117*1000,""))))))</x:f>
        <x:v>0.05</x:v>
      </x:c>
      <x:c r="K117" s="108" t="n">
        <x:v>0</x:v>
      </x:c>
      <x:c r="L117" s="46" t="str">
        <x:v>لا</x:v>
      </x:c>
      <x:c r="M117" s="100" t="n">
        <x:f>IFERROR(VLOOKUP(E117,'مواد المخزون'!$C$2:$J$500,8,FALSE),"")</x:f>
        <x:v>1500</x:v>
      </x:c>
      <x:c r="N117" s="100" t="n">
        <x:f>IF(OR(J117="",M117=""),"",J117*M117*(1+K117/100))</x:f>
        <x:v>75</x:v>
      </x:c>
      <x:c r="O117" s="46" t="str"/>
      <x:c r="P117" s="46" t="str">
        <x:f>IF(A117="SKIP","متجاوز",IF(C117="","مفتاح منتج ناقص",IF(D117="","منتج غير موجود",IF(E117="","كود مخزون ناقص",IF(F117="","مادة غير موجودة",IF(J117="","خطأ وحدة",IF(G117&lt;=0,"كمية غير صالحة","صالح")))))))</x:f>
        <x:v>صالح</x:v>
      </x:c>
    </x:row>
    <x:row r="118">
      <x:c r="A118" s="46" t="str">
        <x:v>UPSERT_INACTIVE</x:v>
      </x:c>
      <x:c r="B118" s="46" t="str">
        <x:v>بحاجة مراجعة</x:v>
      </x:c>
      <x:c r="C118" s="46" t="str">
        <x:v>mojito</x:v>
      </x:c>
      <x:c r="D118" s="46" t="str">
        <x:f>IFERROR(VLOOKUP(C118,'المنتجات'!$C$2:$D$500,2,FALSE),"")</x:f>
        <x:v>موهيتو</x:v>
      </x:c>
      <x:c r="E118" s="46" t="str">
        <x:v>ING-SWEET-SUGAR</x:v>
      </x:c>
      <x:c r="F118" s="46" t="str">
        <x:f>IFERROR(VLOOKUP(E118,'مواد المخزون'!$C$2:$J$500,2,FALSE),"")</x:f>
        <x:v>سكر</x:v>
      </x:c>
      <x:c r="G118" s="104" t="n">
        <x:v>20</x:v>
      </x:c>
      <x:c r="H118" s="46" t="str">
        <x:v>غ</x:v>
      </x:c>
      <x:c r="I118" s="46" t="str">
        <x:f>IFERROR(VLOOKUP(E118,'مواد المخزون'!$C$2:$J$500,5,FALSE),"")</x:f>
        <x:v>كغ</x:v>
      </x:c>
      <x:c r="J118" s="104" t="n">
        <x:f>IF(OR(G118="",H118="",I118=""),"",IF(H118=I118,G118,IF(AND(H118="غ",I118="كغ"),G118/1000,IF(AND(H118="كغ",I118="غ"),G118*1000,IF(AND(H118="مل",I118="لتر"),G118/1000,IF(AND(H118="لتر",I118="مل"),G118*1000,""))))))</x:f>
        <x:v>0.02</x:v>
      </x:c>
      <x:c r="K118" s="108" t="n">
        <x:v>0</x:v>
      </x:c>
      <x:c r="L118" s="46" t="str">
        <x:v>لا</x:v>
      </x:c>
      <x:c r="M118" s="100" t="n">
        <x:f>IFERROR(VLOOKUP(E118,'مواد المخزون'!$C$2:$J$500,8,FALSE),"")</x:f>
        <x:v>10000</x:v>
      </x:c>
      <x:c r="N118" s="100" t="n">
        <x:f>IF(OR(J118="",M118=""),"",J118*M118*(1+K118/100))</x:f>
        <x:v>200</x:v>
      </x:c>
      <x:c r="O118" s="46" t="str"/>
      <x:c r="P118" s="46" t="str">
        <x:f>IF(A118="SKIP","متجاوز",IF(C118="","مفتاح منتج ناقص",IF(D118="","منتج غير موجود",IF(E118="","كود مخزون ناقص",IF(F118="","مادة غير موجودة",IF(J118="","خطأ وحدة",IF(G118&lt;=0,"كمية غير صالحة","صالح")))))))</x:f>
        <x:v>صالح</x:v>
      </x:c>
    </x:row>
    <x:row r="119">
      <x:c r="A119" s="46" t="str">
        <x:v>UPSERT_INACTIVE</x:v>
      </x:c>
      <x:c r="B119" s="46" t="str">
        <x:v>بحاجة مراجعة</x:v>
      </x:c>
      <x:c r="C119" s="46" t="str">
        <x:v>mojito</x:v>
      </x:c>
      <x:c r="D119" s="46" t="str">
        <x:f>IFERROR(VLOOKUP(C119,'المنتجات'!$C$2:$D$500,2,FALSE),"")</x:f>
        <x:v>موهيتو</x:v>
      </x:c>
      <x:c r="E119" s="46" t="str">
        <x:v>DRK-SODA-WATER</x:v>
      </x:c>
      <x:c r="F119" s="46" t="str">
        <x:f>IFERROR(VLOOKUP(E119,'مواد المخزون'!$C$2:$J$500,2,FALSE),"")</x:f>
        <x:v>مياه غازية</x:v>
      </x:c>
      <x:c r="G119" s="104" t="n">
        <x:v>0.5</x:v>
      </x:c>
      <x:c r="H119" s="46" t="str">
        <x:v>زجاجة</x:v>
      </x:c>
      <x:c r="I119" s="46" t="str">
        <x:f>IFERROR(VLOOKUP(E119,'مواد المخزون'!$C$2:$J$500,5,FALSE),"")</x:f>
        <x:v>زجاجة</x:v>
      </x:c>
      <x:c r="J119" s="104" t="n">
        <x:f>IF(OR(G119="",H119="",I119=""),"",IF(H119=I119,G119,IF(AND(H119="غ",I119="كغ"),G119/1000,IF(AND(H119="كغ",I119="غ"),G119*1000,IF(AND(H119="مل",I119="لتر"),G119/1000,IF(AND(H119="لتر",I119="مل"),G119*1000,""))))))</x:f>
        <x:v>0.5</x:v>
      </x:c>
      <x:c r="K119" s="108" t="n">
        <x:v>0</x:v>
      </x:c>
      <x:c r="L119" s="46" t="str">
        <x:v>لا</x:v>
      </x:c>
      <x:c r="M119" s="100" t="str">
        <x:f>IFERROR(VLOOKUP(E119,'مواد المخزون'!$C$2:$J$500,8,FALSE),"")</x:f>
      </x:c>
      <x:c r="N119" s="100" t="str">
        <x:f>IF(OR(J119="",M119=""),"",J119*M119*(1+K119/100))</x:f>
      </x:c>
      <x:c r="O119" s="46" t="str"/>
      <x:c r="P119" s="46" t="str">
        <x:f>IF(A119="SKIP","متجاوز",IF(C119="","مفتاح منتج ناقص",IF(D119="","منتج غير موجود",IF(E119="","كود مخزون ناقص",IF(F119="","مادة غير موجودة",IF(J119="","خطأ وحدة",IF(G119&lt;=0,"كمية غير صالحة","صالح")))))))</x:f>
        <x:v>صالح</x:v>
      </x:c>
    </x:row>
    <x:row r="120">
      <x:c r="A120" s="46" t="str">
        <x:v>UPSERT_INACTIVE</x:v>
      </x:c>
      <x:c r="B120" s="46" t="str">
        <x:v>بحاجة مراجعة</x:v>
      </x:c>
      <x:c r="C120" s="46" t="str">
        <x:v>mojito</x:v>
      </x:c>
      <x:c r="D120" s="46" t="str">
        <x:f>IFERROR(VLOOKUP(C120,'المنتجات'!$C$2:$D$500,2,FALSE),"")</x:f>
        <x:v>موهيتو</x:v>
      </x:c>
      <x:c r="E120" s="46" t="str">
        <x:v>DRK-ICE</x:v>
      </x:c>
      <x:c r="F120" s="46" t="str">
        <x:f>IFERROR(VLOOKUP(E120,'مواد المخزون'!$C$2:$J$500,2,FALSE),"")</x:f>
        <x:v>ثلج</x:v>
      </x:c>
      <x:c r="G120" s="104" t="n">
        <x:v>150</x:v>
      </x:c>
      <x:c r="H120" s="46" t="str">
        <x:v>غ</x:v>
      </x:c>
      <x:c r="I120" s="46" t="str">
        <x:f>IFERROR(VLOOKUP(E120,'مواد المخزون'!$C$2:$J$500,5,FALSE),"")</x:f>
        <x:v>كغ</x:v>
      </x:c>
      <x:c r="J120" s="104" t="n">
        <x:f>IF(OR(G120="",H120="",I120=""),"",IF(H120=I120,G120,IF(AND(H120="غ",I120="كغ"),G120/1000,IF(AND(H120="كغ",I120="غ"),G120*1000,IF(AND(H120="مل",I120="لتر"),G120/1000,IF(AND(H120="لتر",I120="مل"),G120*1000,""))))))</x:f>
        <x:v>0.15</x:v>
      </x:c>
      <x:c r="K120" s="108" t="n">
        <x:v>0</x:v>
      </x:c>
      <x:c r="L120" s="46" t="str">
        <x:v>لا</x:v>
      </x:c>
      <x:c r="M120" s="100" t="n">
        <x:f>IFERROR(VLOOKUP(E120,'مواد المخزون'!$C$2:$J$500,8,FALSE),"")</x:f>
        <x:v>4000</x:v>
      </x:c>
      <x:c r="N120" s="100" t="n">
        <x:f>IF(OR(J120="",M120=""),"",J120*M120*(1+K120/100))</x:f>
        <x:v>600</x:v>
      </x:c>
      <x:c r="O120" s="46" t="str"/>
      <x:c r="P120" s="46" t="str">
        <x:f>IF(A120="SKIP","متجاوز",IF(C120="","مفتاح منتج ناقص",IF(D120="","منتج غير موجود",IF(E120="","كود مخزون ناقص",IF(F120="","مادة غير موجودة",IF(J120="","خطأ وحدة",IF(G120&lt;=0,"كمية غير صالحة","صالح")))))))</x:f>
        <x:v>صالح</x:v>
      </x:c>
    </x:row>
    <x:row r="121">
      <x:c r="A121" s="46" t="str">
        <x:v>UPSERT_INACTIVE</x:v>
      </x:c>
      <x:c r="B121" s="46" t="str">
        <x:v>بحاجة مراجعة</x:v>
      </x:c>
      <x:c r="C121" s="46" t="str">
        <x:v>whiskey_cocktail</x:v>
      </x:c>
      <x:c r="D121" s="46" t="str">
        <x:f>IFERROR(VLOOKUP(C121,'المنتجات'!$C$2:$D$500,2,FALSE),"")</x:f>
        <x:v>كوكتيل ويسكي</x:v>
      </x:c>
      <x:c r="E121" s="46" t="str">
        <x:v>DRK-ALC-WHISKEY</x:v>
      </x:c>
      <x:c r="F121" s="46" t="str">
        <x:f>IFERROR(VLOOKUP(E121,'مواد المخزون'!$C$2:$J$500,2,FALSE),"")</x:f>
        <x:v>ويسكي</x:v>
      </x:c>
      <x:c r="G121" s="104" t="n">
        <x:v>50</x:v>
      </x:c>
      <x:c r="H121" s="46" t="str">
        <x:v>مل</x:v>
      </x:c>
      <x:c r="I121" s="46" t="str">
        <x:f>IFERROR(VLOOKUP(E121,'مواد المخزون'!$C$2:$J$500,5,FALSE),"")</x:f>
        <x:v>لتر</x:v>
      </x:c>
      <x:c r="J121" s="104" t="n">
        <x:f>IF(OR(G121="",H121="",I121=""),"",IF(H121=I121,G121,IF(AND(H121="غ",I121="كغ"),G121/1000,IF(AND(H121="كغ",I121="غ"),G121*1000,IF(AND(H121="مل",I121="لتر"),G121/1000,IF(AND(H121="لتر",I121="مل"),G121*1000,""))))))</x:f>
        <x:v>0.05</x:v>
      </x:c>
      <x:c r="K121" s="108" t="n">
        <x:v>0</x:v>
      </x:c>
      <x:c r="L121" s="46" t="str">
        <x:v>لا</x:v>
      </x:c>
      <x:c r="M121" s="100" t="str">
        <x:f>IFERROR(VLOOKUP(E121,'مواد المخزون'!$C$2:$J$500,8,FALSE),"")</x:f>
      </x:c>
      <x:c r="N121" s="100" t="str">
        <x:f>IF(OR(J121="",M121=""),"",J121*M121*(1+K121/100))</x:f>
      </x:c>
      <x:c r="O121" s="46" t="str"/>
      <x:c r="P121" s="46" t="str">
        <x:f>IF(A121="SKIP","متجاوز",IF(C121="","مفتاح منتج ناقص",IF(D121="","منتج غير موجود",IF(E121="","كود مخزون ناقص",IF(F121="","مادة غير موجودة",IF(J121="","خطأ وحدة",IF(G121&lt;=0,"كمية غير صالحة","صالح")))))))</x:f>
        <x:v>صالح</x:v>
      </x:c>
    </x:row>
    <x:row r="122">
      <x:c r="A122" s="46" t="str">
        <x:v>UPSERT_INACTIVE</x:v>
      </x:c>
      <x:c r="B122" s="46" t="str">
        <x:v>بحاجة مراجعة</x:v>
      </x:c>
      <x:c r="C122" s="46" t="str">
        <x:v>whiskey_cocktail</x:v>
      </x:c>
      <x:c r="D122" s="46" t="str">
        <x:f>IFERROR(VLOOKUP(C122,'المنتجات'!$C$2:$D$500,2,FALSE),"")</x:f>
        <x:v>كوكتيل ويسكي</x:v>
      </x:c>
      <x:c r="E122" s="46" t="str">
        <x:v>DRK-JUICE-APPLE</x:v>
      </x:c>
      <x:c r="F122" s="46" t="str">
        <x:f>IFERROR(VLOOKUP(E122,'مواد المخزون'!$C$2:$J$500,2,FALSE),"")</x:f>
        <x:v>عصير تفاح</x:v>
      </x:c>
      <x:c r="G122" s="104" t="n">
        <x:v>150</x:v>
      </x:c>
      <x:c r="H122" s="46" t="str">
        <x:v>مل</x:v>
      </x:c>
      <x:c r="I122" s="46" t="str">
        <x:f>IFERROR(VLOOKUP(E122,'مواد المخزون'!$C$2:$J$500,5,FALSE),"")</x:f>
        <x:v>لتر</x:v>
      </x:c>
      <x:c r="J122" s="104" t="n">
        <x:f>IF(OR(G122="",H122="",I122=""),"",IF(H122=I122,G122,IF(AND(H122="غ",I122="كغ"),G122/1000,IF(AND(H122="كغ",I122="غ"),G122*1000,IF(AND(H122="مل",I122="لتر"),G122/1000,IF(AND(H122="لتر",I122="مل"),G122*1000,""))))))</x:f>
        <x:v>0.15</x:v>
      </x:c>
      <x:c r="K122" s="108" t="n">
        <x:v>0</x:v>
      </x:c>
      <x:c r="L122" s="46" t="str">
        <x:v>لا</x:v>
      </x:c>
      <x:c r="M122" s="100" t="str">
        <x:f>IFERROR(VLOOKUP(E122,'مواد المخزون'!$C$2:$J$500,8,FALSE),"")</x:f>
      </x:c>
      <x:c r="N122" s="100" t="str">
        <x:f>IF(OR(J122="",M122=""),"",J122*M122*(1+K122/100))</x:f>
      </x:c>
      <x:c r="O122" s="46" t="str"/>
      <x:c r="P122" s="46" t="str">
        <x:f>IF(A122="SKIP","متجاوز",IF(C122="","مفتاح منتج ناقص",IF(D122="","منتج غير موجود",IF(E122="","كود مخزون ناقص",IF(F122="","مادة غير موجودة",IF(J122="","خطأ وحدة",IF(G122&lt;=0,"كمية غير صالحة","صالح")))))))</x:f>
        <x:v>صالح</x:v>
      </x:c>
    </x:row>
    <x:row r="123">
      <x:c r="A123" s="46" t="str">
        <x:v>UPSERT_INACTIVE</x:v>
      </x:c>
      <x:c r="B123" s="46" t="str">
        <x:v>بحاجة مراجعة</x:v>
      </x:c>
      <x:c r="C123" s="46" t="str">
        <x:v>whiskey_cocktail</x:v>
      </x:c>
      <x:c r="D123" s="46" t="str">
        <x:f>IFERROR(VLOOKUP(C123,'المنتجات'!$C$2:$D$500,2,FALSE),"")</x:f>
        <x:v>كوكتيل ويسكي</x:v>
      </x:c>
      <x:c r="E123" s="46" t="str">
        <x:v>DRK-ICE</x:v>
      </x:c>
      <x:c r="F123" s="46" t="str">
        <x:f>IFERROR(VLOOKUP(E123,'مواد المخزون'!$C$2:$J$500,2,FALSE),"")</x:f>
        <x:v>ثلج</x:v>
      </x:c>
      <x:c r="G123" s="104" t="n">
        <x:v>150</x:v>
      </x:c>
      <x:c r="H123" s="46" t="str">
        <x:v>غ</x:v>
      </x:c>
      <x:c r="I123" s="46" t="str">
        <x:f>IFERROR(VLOOKUP(E123,'مواد المخزون'!$C$2:$J$500,5,FALSE),"")</x:f>
        <x:v>كغ</x:v>
      </x:c>
      <x:c r="J123" s="104" t="n">
        <x:f>IF(OR(G123="",H123="",I123=""),"",IF(H123=I123,G123,IF(AND(H123="غ",I123="كغ"),G123/1000,IF(AND(H123="كغ",I123="غ"),G123*1000,IF(AND(H123="مل",I123="لتر"),G123/1000,IF(AND(H123="لتر",I123="مل"),G123*1000,""))))))</x:f>
        <x:v>0.15</x:v>
      </x:c>
      <x:c r="K123" s="108" t="n">
        <x:v>0</x:v>
      </x:c>
      <x:c r="L123" s="46" t="str">
        <x:v>لا</x:v>
      </x:c>
      <x:c r="M123" s="100" t="n">
        <x:f>IFERROR(VLOOKUP(E123,'مواد المخزون'!$C$2:$J$500,8,FALSE),"")</x:f>
        <x:v>4000</x:v>
      </x:c>
      <x:c r="N123" s="100" t="n">
        <x:f>IF(OR(J123="",M123=""),"",J123*M123*(1+K123/100))</x:f>
        <x:v>600</x:v>
      </x:c>
      <x:c r="O123" s="46" t="str"/>
      <x:c r="P123" s="46" t="str">
        <x:f>IF(A123="SKIP","متجاوز",IF(C123="","مفتاح منتج ناقص",IF(D123="","منتج غير موجود",IF(E123="","كود مخزون ناقص",IF(F123="","مادة غير موجودة",IF(J123="","خطأ وحدة",IF(G123&lt;=0,"كمية غير صالحة","صالح")))))))</x:f>
        <x:v>صالح</x:v>
      </x:c>
    </x:row>
    <x:row r="124">
      <x:c r="A124" s="46" t="str">
        <x:v>UPSERT_INACTIVE</x:v>
      </x:c>
      <x:c r="B124" s="46" t="str">
        <x:v>بحاجة مراجعة</x:v>
      </x:c>
      <x:c r="C124" s="46" t="str">
        <x:v>gin_basil</x:v>
      </x:c>
      <x:c r="D124" s="46" t="str">
        <x:f>IFERROR(VLOOKUP(C124,'المنتجات'!$C$2:$D$500,2,FALSE),"")</x:f>
        <x:v>جين حبق</x:v>
      </x:c>
      <x:c r="E124" s="46" t="str">
        <x:v>DRK-ALC-GIN</x:v>
      </x:c>
      <x:c r="F124" s="46" t="str">
        <x:f>IFERROR(VLOOKUP(E124,'مواد المخزون'!$C$2:$J$500,2,FALSE),"")</x:f>
        <x:v>جين</x:v>
      </x:c>
      <x:c r="G124" s="104" t="n">
        <x:v>50</x:v>
      </x:c>
      <x:c r="H124" s="46" t="str">
        <x:v>مل</x:v>
      </x:c>
      <x:c r="I124" s="46" t="str">
        <x:f>IFERROR(VLOOKUP(E124,'مواد المخزون'!$C$2:$J$500,5,FALSE),"")</x:f>
        <x:v>لتر</x:v>
      </x:c>
      <x:c r="J124" s="104" t="n">
        <x:f>IF(OR(G124="",H124="",I124=""),"",IF(H124=I124,G124,IF(AND(H124="غ",I124="كغ"),G124/1000,IF(AND(H124="كغ",I124="غ"),G124*1000,IF(AND(H124="مل",I124="لتر"),G124/1000,IF(AND(H124="لتر",I124="مل"),G124*1000,""))))))</x:f>
        <x:v>0.05</x:v>
      </x:c>
      <x:c r="K124" s="108" t="n">
        <x:v>0</x:v>
      </x:c>
      <x:c r="L124" s="46" t="str">
        <x:v>لا</x:v>
      </x:c>
      <x:c r="M124" s="100" t="str">
        <x:f>IFERROR(VLOOKUP(E124,'مواد المخزون'!$C$2:$J$500,8,FALSE),"")</x:f>
      </x:c>
      <x:c r="N124" s="100" t="str">
        <x:f>IF(OR(J124="",M124=""),"",J124*M124*(1+K124/100))</x:f>
      </x:c>
      <x:c r="O124" s="46" t="str"/>
      <x:c r="P124" s="46" t="str">
        <x:f>IF(A124="SKIP","متجاوز",IF(C124="","مفتاح منتج ناقص",IF(D124="","منتج غير موجود",IF(E124="","كود مخزون ناقص",IF(F124="","مادة غير موجودة",IF(J124="","خطأ وحدة",IF(G124&lt;=0,"كمية غير صالحة","صالح")))))))</x:f>
        <x:v>صالح</x:v>
      </x:c>
    </x:row>
    <x:row r="125">
      <x:c r="A125" s="46" t="str">
        <x:v>UPSERT_INACTIVE</x:v>
      </x:c>
      <x:c r="B125" s="46" t="str">
        <x:v>بحاجة مراجعة</x:v>
      </x:c>
      <x:c r="C125" s="46" t="str">
        <x:v>gin_basil</x:v>
      </x:c>
      <x:c r="D125" s="46" t="str">
        <x:f>IFERROR(VLOOKUP(C125,'المنتجات'!$C$2:$D$500,2,FALSE),"")</x:f>
        <x:v>جين حبق</x:v>
      </x:c>
      <x:c r="E125" s="46" t="str">
        <x:v>ING-HERB-BASIL</x:v>
      </x:c>
      <x:c r="F125" s="46" t="str">
        <x:f>IFERROR(VLOOKUP(E125,'مواد المخزون'!$C$2:$J$500,2,FALSE),"")</x:f>
        <x:v>حبق / ريحان</x:v>
      </x:c>
      <x:c r="G125" s="104" t="n">
        <x:v>0.05</x:v>
      </x:c>
      <x:c r="H125" s="46" t="str">
        <x:v>عبوة</x:v>
      </x:c>
      <x:c r="I125" s="46" t="str">
        <x:f>IFERROR(VLOOKUP(E125,'مواد المخزون'!$C$2:$J$500,5,FALSE),"")</x:f>
        <x:v>عبوة</x:v>
      </x:c>
      <x:c r="J125" s="104" t="n">
        <x:f>IF(OR(G125="",H125="",I125=""),"",IF(H125=I125,G125,IF(AND(H125="غ",I125="كغ"),G125/1000,IF(AND(H125="كغ",I125="غ"),G125*1000,IF(AND(H125="مل",I125="لتر"),G125/1000,IF(AND(H125="لتر",I125="مل"),G125*1000,""))))))</x:f>
        <x:v>0.05</x:v>
      </x:c>
      <x:c r="K125" s="108" t="n">
        <x:v>0</x:v>
      </x:c>
      <x:c r="L125" s="46" t="str">
        <x:v>لا</x:v>
      </x:c>
      <x:c r="M125" s="100" t="str">
        <x:f>IFERROR(VLOOKUP(E125,'مواد المخزون'!$C$2:$J$500,8,FALSE),"")</x:f>
      </x:c>
      <x:c r="N125" s="100" t="str">
        <x:f>IF(OR(J125="",M125=""),"",J125*M125*(1+K125/100))</x:f>
      </x:c>
      <x:c r="O125" s="46" t="str"/>
      <x:c r="P125" s="46" t="str">
        <x:f>IF(A125="SKIP","متجاوز",IF(C125="","مفتاح منتج ناقص",IF(D125="","منتج غير موجود",IF(E125="","كود مخزون ناقص",IF(F125="","مادة غير موجودة",IF(J125="","خطأ وحدة",IF(G125&lt;=0,"كمية غير صالحة","صالح")))))))</x:f>
        <x:v>صالح</x:v>
      </x:c>
    </x:row>
    <x:row r="126">
      <x:c r="A126" s="46" t="str">
        <x:v>UPSERT_INACTIVE</x:v>
      </x:c>
      <x:c r="B126" s="46" t="str">
        <x:v>بحاجة مراجعة</x:v>
      </x:c>
      <x:c r="C126" s="46" t="str">
        <x:v>gin_basil</x:v>
      </x:c>
      <x:c r="D126" s="46" t="str">
        <x:f>IFERROR(VLOOKUP(C126,'المنتجات'!$C$2:$D$500,2,FALSE),"")</x:f>
        <x:v>جين حبق</x:v>
      </x:c>
      <x:c r="E126" s="46" t="str">
        <x:v>DRK-TONIC-WATER</x:v>
      </x:c>
      <x:c r="F126" s="46" t="str">
        <x:f>IFERROR(VLOOKUP(E126,'مواد المخزون'!$C$2:$J$500,2,FALSE),"")</x:f>
        <x:v>تونيك ووتر</x:v>
      </x:c>
      <x:c r="G126" s="104" t="n">
        <x:v>0.5</x:v>
      </x:c>
      <x:c r="H126" s="46" t="str">
        <x:v>زجاجة</x:v>
      </x:c>
      <x:c r="I126" s="46" t="str">
        <x:f>IFERROR(VLOOKUP(E126,'مواد المخزون'!$C$2:$J$500,5,FALSE),"")</x:f>
        <x:v>زجاجة</x:v>
      </x:c>
      <x:c r="J126" s="104" t="n">
        <x:f>IF(OR(G126="",H126="",I126=""),"",IF(H126=I126,G126,IF(AND(H126="غ",I126="كغ"),G126/1000,IF(AND(H126="كغ",I126="غ"),G126*1000,IF(AND(H126="مل",I126="لتر"),G126/1000,IF(AND(H126="لتر",I126="مل"),G126*1000,""))))))</x:f>
        <x:v>0.5</x:v>
      </x:c>
      <x:c r="K126" s="108" t="n">
        <x:v>0</x:v>
      </x:c>
      <x:c r="L126" s="46" t="str">
        <x:v>لا</x:v>
      </x:c>
      <x:c r="M126" s="100" t="str">
        <x:f>IFERROR(VLOOKUP(E126,'مواد المخزون'!$C$2:$J$500,8,FALSE),"")</x:f>
      </x:c>
      <x:c r="N126" s="100" t="str">
        <x:f>IF(OR(J126="",M126=""),"",J126*M126*(1+K126/100))</x:f>
      </x:c>
      <x:c r="O126" s="46" t="str"/>
      <x:c r="P126" s="46" t="str">
        <x:f>IF(A126="SKIP","متجاوز",IF(C126="","مفتاح منتج ناقص",IF(D126="","منتج غير موجود",IF(E126="","كود مخزون ناقص",IF(F126="","مادة غير موجودة",IF(J126="","خطأ وحدة",IF(G126&lt;=0,"كمية غير صالحة","صالح")))))))</x:f>
        <x:v>صالح</x:v>
      </x:c>
    </x:row>
    <x:row r="127">
      <x:c r="A127" s="46" t="str">
        <x:v>UPSERT_INACTIVE</x:v>
      </x:c>
      <x:c r="B127" s="46" t="str">
        <x:v>بحاجة مراجعة</x:v>
      </x:c>
      <x:c r="C127" s="46" t="str">
        <x:v>gin_basil</x:v>
      </x:c>
      <x:c r="D127" s="46" t="str">
        <x:f>IFERROR(VLOOKUP(C127,'المنتجات'!$C$2:$D$500,2,FALSE),"")</x:f>
        <x:v>جين حبق</x:v>
      </x:c>
      <x:c r="E127" s="46" t="str">
        <x:v>ING-FRT-LEMON</x:v>
      </x:c>
      <x:c r="F127" s="46" t="str">
        <x:f>IFERROR(VLOOKUP(E127,'مواد المخزون'!$C$2:$J$500,2,FALSE),"")</x:f>
        <x:v>ليمون</x:v>
      </x:c>
      <x:c r="G127" s="104" t="n">
        <x:v>30</x:v>
      </x:c>
      <x:c r="H127" s="46" t="str">
        <x:v>غ</x:v>
      </x:c>
      <x:c r="I127" s="46" t="str">
        <x:f>IFERROR(VLOOKUP(E127,'مواد المخزون'!$C$2:$J$500,5,FALSE),"")</x:f>
        <x:v>كغ</x:v>
      </x:c>
      <x:c r="J127" s="104" t="n">
        <x:f>IF(OR(G127="",H127="",I127=""),"",IF(H127=I127,G127,IF(AND(H127="غ",I127="كغ"),G127/1000,IF(AND(H127="كغ",I127="غ"),G127*1000,IF(AND(H127="مل",I127="لتر"),G127/1000,IF(AND(H127="لتر",I127="مل"),G127*1000,""))))))</x:f>
        <x:v>0.03</x:v>
      </x:c>
      <x:c r="K127" s="108" t="n">
        <x:v>0</x:v>
      </x:c>
      <x:c r="L127" s="46" t="str">
        <x:v>لا</x:v>
      </x:c>
      <x:c r="M127" s="100" t="n">
        <x:f>IFERROR(VLOOKUP(E127,'مواد المخزون'!$C$2:$J$500,8,FALSE),"")</x:f>
        <x:v>30000</x:v>
      </x:c>
      <x:c r="N127" s="100" t="n">
        <x:f>IF(OR(J127="",M127=""),"",J127*M127*(1+K127/100))</x:f>
        <x:v>900</x:v>
      </x:c>
      <x:c r="O127" s="46" t="str"/>
      <x:c r="P127" s="46" t="str">
        <x:f>IF(A127="SKIP","متجاوز",IF(C127="","مفتاح منتج ناقص",IF(D127="","منتج غير موجود",IF(E127="","كود مخزون ناقص",IF(F127="","مادة غير موجودة",IF(J127="","خطأ وحدة",IF(G127&lt;=0,"كمية غير صالحة","صالح")))))))</x:f>
        <x:v>صالح</x:v>
      </x:c>
    </x:row>
    <x:row r="128">
      <x:c r="A128" s="46" t="str">
        <x:v>UPSERT_INACTIVE</x:v>
      </x:c>
      <x:c r="B128" s="46" t="str">
        <x:v>بحاجة مراجعة</x:v>
      </x:c>
      <x:c r="C128" s="46" t="str">
        <x:v>gin_basil</x:v>
      </x:c>
      <x:c r="D128" s="46" t="str">
        <x:f>IFERROR(VLOOKUP(C128,'المنتجات'!$C$2:$D$500,2,FALSE),"")</x:f>
        <x:v>جين حبق</x:v>
      </x:c>
      <x:c r="E128" s="46" t="str">
        <x:v>DRK-ICE</x:v>
      </x:c>
      <x:c r="F128" s="46" t="str">
        <x:f>IFERROR(VLOOKUP(E128,'مواد المخزون'!$C$2:$J$500,2,FALSE),"")</x:f>
        <x:v>ثلج</x:v>
      </x:c>
      <x:c r="G128" s="104" t="n">
        <x:v>150</x:v>
      </x:c>
      <x:c r="H128" s="46" t="str">
        <x:v>غ</x:v>
      </x:c>
      <x:c r="I128" s="46" t="str">
        <x:f>IFERROR(VLOOKUP(E128,'مواد المخزون'!$C$2:$J$500,5,FALSE),"")</x:f>
        <x:v>كغ</x:v>
      </x:c>
      <x:c r="J128" s="104" t="n">
        <x:f>IF(OR(G128="",H128="",I128=""),"",IF(H128=I128,G128,IF(AND(H128="غ",I128="كغ"),G128/1000,IF(AND(H128="كغ",I128="غ"),G128*1000,IF(AND(H128="مل",I128="لتر"),G128/1000,IF(AND(H128="لتر",I128="مل"),G128*1000,""))))))</x:f>
        <x:v>0.15</x:v>
      </x:c>
      <x:c r="K128" s="108" t="n">
        <x:v>0</x:v>
      </x:c>
      <x:c r="L128" s="46" t="str">
        <x:v>لا</x:v>
      </x:c>
      <x:c r="M128" s="100" t="n">
        <x:f>IFERROR(VLOOKUP(E128,'مواد المخزون'!$C$2:$J$500,8,FALSE),"")</x:f>
        <x:v>4000</x:v>
      </x:c>
      <x:c r="N128" s="100" t="n">
        <x:f>IF(OR(J128="",M128=""),"",J128*M128*(1+K128/100))</x:f>
        <x:v>600</x:v>
      </x:c>
      <x:c r="O128" s="46" t="str"/>
      <x:c r="P128" s="46" t="str">
        <x:f>IF(A128="SKIP","متجاوز",IF(C128="","مفتاح منتج ناقص",IF(D128="","منتج غير موجود",IF(E128="","كود مخزون ناقص",IF(F128="","مادة غير موجودة",IF(J128="","خطأ وحدة",IF(G128&lt;=0,"كمية غير صالحة","صالح")))))))</x:f>
        <x:v>صالح</x:v>
      </x:c>
    </x:row>
    <x:row r="129">
      <x:c r="A129" s="46" t="str">
        <x:v>UPSERT_INACTIVE</x:v>
      </x:c>
      <x:c r="B129" s="46" t="str">
        <x:v>بحاجة مراجعة</x:v>
      </x:c>
      <x:c r="C129" s="46" t="str">
        <x:v>wine_glass</x:v>
      </x:c>
      <x:c r="D129" s="46" t="str">
        <x:f>IFERROR(VLOOKUP(C129,'المنتجات'!$C$2:$D$500,2,FALSE),"")</x:f>
        <x:v>كأس نبيذ</x:v>
      </x:c>
      <x:c r="E129" s="46" t="str">
        <x:v>DRK-ALC-WINE-RED</x:v>
      </x:c>
      <x:c r="F129" s="46" t="str">
        <x:f>IFERROR(VLOOKUP(E129,'مواد المخزون'!$C$2:$J$500,2,FALSE),"")</x:f>
        <x:v>نبيذ أحمر</x:v>
      </x:c>
      <x:c r="G129" s="104" t="n">
        <x:v>0.2</x:v>
      </x:c>
      <x:c r="H129" s="46" t="str">
        <x:v>زجاجة</x:v>
      </x:c>
      <x:c r="I129" s="46" t="str">
        <x:f>IFERROR(VLOOKUP(E129,'مواد المخزون'!$C$2:$J$500,5,FALSE),"")</x:f>
        <x:v>زجاجة</x:v>
      </x:c>
      <x:c r="J129" s="104" t="n">
        <x:f>IF(OR(G129="",H129="",I129=""),"",IF(H129=I129,G129,IF(AND(H129="غ",I129="كغ"),G129/1000,IF(AND(H129="كغ",I129="غ"),G129*1000,IF(AND(H129="مل",I129="لتر"),G129/1000,IF(AND(H129="لتر",I129="مل"),G129*1000,""))))))</x:f>
        <x:v>0.2</x:v>
      </x:c>
      <x:c r="K129" s="108" t="n">
        <x:v>0</x:v>
      </x:c>
      <x:c r="L129" s="46" t="str">
        <x:v>لا</x:v>
      </x:c>
      <x:c r="M129" s="100" t="str">
        <x:f>IFERROR(VLOOKUP(E129,'مواد المخزون'!$C$2:$J$500,8,FALSE),"")</x:f>
      </x:c>
      <x:c r="N129" s="100" t="str">
        <x:f>IF(OR(J129="",M129=""),"",J129*M129*(1+K129/100))</x:f>
      </x:c>
      <x:c r="O129" s="46" t="str">
        <x:v>على أساس زجاجة 750مل وكأس 150مل؛ غيّر إلى النبيذ الأبيض عند الحاجة.</x:v>
      </x:c>
      <x:c r="P129" s="46" t="str">
        <x:f>IF(A129="SKIP","متجاوز",IF(C129="","مفتاح منتج ناقص",IF(D129="","منتج غير موجود",IF(E129="","كود مخزون ناقص",IF(F129="","مادة غير موجودة",IF(J129="","خطأ وحدة",IF(G129&lt;=0,"كمية غير صالحة","صالح")))))))</x:f>
        <x:v>صالح</x:v>
      </x:c>
    </x:row>
    <x:row r="130">
      <x:c r="A130" s="46" t="str">
        <x:v>UPSERT_INACTIVE</x:v>
      </x:c>
      <x:c r="B130" s="46" t="str">
        <x:v>بحاجة مراجعة</x:v>
      </x:c>
      <x:c r="C130" s="46" t="str">
        <x:v>tequila_shot</x:v>
      </x:c>
      <x:c r="D130" s="46" t="str">
        <x:f>IFERROR(VLOOKUP(C130,'المنتجات'!$C$2:$D$500,2,FALSE),"")</x:f>
        <x:v>شوت تيكيلا</x:v>
      </x:c>
      <x:c r="E130" s="46" t="str">
        <x:v>DRK-ALC-TEQUILA</x:v>
      </x:c>
      <x:c r="F130" s="46" t="str">
        <x:f>IFERROR(VLOOKUP(E130,'مواد المخزون'!$C$2:$J$500,2,FALSE),"")</x:f>
        <x:v>تيكيلا</x:v>
      </x:c>
      <x:c r="G130" s="104" t="n">
        <x:v>40</x:v>
      </x:c>
      <x:c r="H130" s="46" t="str">
        <x:v>مل</x:v>
      </x:c>
      <x:c r="I130" s="46" t="str">
        <x:f>IFERROR(VLOOKUP(E130,'مواد المخزون'!$C$2:$J$500,5,FALSE),"")</x:f>
        <x:v>لتر</x:v>
      </x:c>
      <x:c r="J130" s="104" t="n">
        <x:f>IF(OR(G130="",H130="",I130=""),"",IF(H130=I130,G130,IF(AND(H130="غ",I130="كغ"),G130/1000,IF(AND(H130="كغ",I130="غ"),G130*1000,IF(AND(H130="مل",I130="لتر"),G130/1000,IF(AND(H130="لتر",I130="مل"),G130*1000,""))))))</x:f>
        <x:v>0.04</x:v>
      </x:c>
      <x:c r="K130" s="108" t="n">
        <x:v>0</x:v>
      </x:c>
      <x:c r="L130" s="46" t="str">
        <x:v>لا</x:v>
      </x:c>
      <x:c r="M130" s="100" t="str">
        <x:f>IFERROR(VLOOKUP(E130,'مواد المخزون'!$C$2:$J$500,8,FALSE),"")</x:f>
      </x:c>
      <x:c r="N130" s="100" t="str">
        <x:f>IF(OR(J130="",M130=""),"",J130*M130*(1+K130/100))</x:f>
      </x:c>
      <x:c r="O130" s="46" t="str"/>
      <x:c r="P130" s="46" t="str">
        <x:f>IF(A130="SKIP","متجاوز",IF(C130="","مفتاح منتج ناقص",IF(D130="","منتج غير موجود",IF(E130="","كود مخزون ناقص",IF(F130="","مادة غير موجودة",IF(J130="","خطأ وحدة",IF(G130&lt;=0,"كمية غير صالحة","صالح")))))))</x:f>
        <x:v>صالح</x:v>
      </x:c>
    </x:row>
    <x:row r="131">
      <x:c r="A131" s="46" t="str">
        <x:v>UPSERT_INACTIVE</x:v>
      </x:c>
      <x:c r="B131" s="46" t="str">
        <x:v>بحاجة مراجعة</x:v>
      </x:c>
      <x:c r="C131" s="46" t="str">
        <x:v>olive_tabasco_shot</x:v>
      </x:c>
      <x:c r="D131" s="46" t="str">
        <x:f>IFERROR(VLOOKUP(C131,'المنتجات'!$C$2:$D$500,2,FALSE),"")</x:f>
        <x:v>شوت زيتونة وتاباسكو</x:v>
      </x:c>
      <x:c r="E131" s="46" t="str">
        <x:v>DRK-ALC-VODKA-SMIRNOFF</x:v>
      </x:c>
      <x:c r="F131" s="46" t="str">
        <x:f>IFERROR(VLOOKUP(E131,'مواد المخزون'!$C$2:$J$500,2,FALSE),"")</x:f>
        <x:v>فودكا سميرنوف</x:v>
      </x:c>
      <x:c r="G131" s="104" t="n">
        <x:v>40</x:v>
      </x:c>
      <x:c r="H131" s="46" t="str">
        <x:v>مل</x:v>
      </x:c>
      <x:c r="I131" s="46" t="str">
        <x:f>IFERROR(VLOOKUP(E131,'مواد المخزون'!$C$2:$J$500,5,FALSE),"")</x:f>
        <x:v>لتر</x:v>
      </x:c>
      <x:c r="J131" s="104" t="n">
        <x:f>IF(OR(G131="",H131="",I131=""),"",IF(H131=I131,G131,IF(AND(H131="غ",I131="كغ"),G131/1000,IF(AND(H131="كغ",I131="غ"),G131*1000,IF(AND(H131="مل",I131="لتر"),G131/1000,IF(AND(H131="لتر",I131="مل"),G131*1000,""))))))</x:f>
        <x:v>0.04</x:v>
      </x:c>
      <x:c r="K131" s="108" t="n">
        <x:v>0</x:v>
      </x:c>
      <x:c r="L131" s="46" t="str">
        <x:v>لا</x:v>
      </x:c>
      <x:c r="M131" s="100" t="n">
        <x:f>IFERROR(VLOOKUP(E131,'مواد المخزون'!$C$2:$J$500,8,FALSE),"")</x:f>
        <x:v>50000</x:v>
      </x:c>
      <x:c r="N131" s="100" t="n">
        <x:f>IF(OR(J131="",M131=""),"",J131*M131*(1+K131/100))</x:f>
        <x:v>2000</x:v>
      </x:c>
      <x:c r="O131" s="46" t="str">
        <x:v>يمكن استبدال الفودكا بقاعدة المشروب الفعلية.</x:v>
      </x:c>
      <x:c r="P131" s="46" t="str">
        <x:f>IF(A131="SKIP","متجاوز",IF(C131="","مفتاح منتج ناقص",IF(D131="","منتج غير موجود",IF(E131="","كود مخزون ناقص",IF(F131="","مادة غير موجودة",IF(J131="","خطأ وحدة",IF(G131&lt;=0,"كمية غير صالحة","صالح")))))))</x:f>
        <x:v>صالح</x:v>
      </x:c>
    </x:row>
    <x:row r="132">
      <x:c r="A132" s="46" t="str">
        <x:v>UPSERT_INACTIVE</x:v>
      </x:c>
      <x:c r="B132" s="46" t="str">
        <x:v>بحاجة مراجعة</x:v>
      </x:c>
      <x:c r="C132" s="46" t="str">
        <x:v>olive_tabasco_shot</x:v>
      </x:c>
      <x:c r="D132" s="46" t="str">
        <x:f>IFERROR(VLOOKUP(C132,'المنتجات'!$C$2:$D$500,2,FALSE),"")</x:f>
        <x:v>شوت زيتونة وتاباسكو</x:v>
      </x:c>
      <x:c r="E132" s="46" t="str">
        <x:v>ING-PICKLE-GREENOLIVE</x:v>
      </x:c>
      <x:c r="F132" s="46" t="str">
        <x:f>IFERROR(VLOOKUP(E132,'مواد المخزون'!$C$2:$J$500,2,FALSE),"")</x:f>
        <x:v>زيتون أخضر</x:v>
      </x:c>
      <x:c r="G132" s="104" t="n">
        <x:v>15</x:v>
      </x:c>
      <x:c r="H132" s="46" t="str">
        <x:v>غ</x:v>
      </x:c>
      <x:c r="I132" s="46" t="str">
        <x:f>IFERROR(VLOOKUP(E132,'مواد المخزون'!$C$2:$J$500,5,FALSE),"")</x:f>
        <x:v>كغ</x:v>
      </x:c>
      <x:c r="J132" s="104" t="n">
        <x:f>IF(OR(G132="",H132="",I132=""),"",IF(H132=I132,G132,IF(AND(H132="غ",I132="كغ"),G132/1000,IF(AND(H132="كغ",I132="غ"),G132*1000,IF(AND(H132="مل",I132="لتر"),G132/1000,IF(AND(H132="لتر",I132="مل"),G132*1000,""))))))</x:f>
        <x:v>0.015</x:v>
      </x:c>
      <x:c r="K132" s="108" t="n">
        <x:v>0</x:v>
      </x:c>
      <x:c r="L132" s="46" t="str">
        <x:v>لا</x:v>
      </x:c>
      <x:c r="M132" s="100" t="str">
        <x:f>IFERROR(VLOOKUP(E132,'مواد المخزون'!$C$2:$J$500,8,FALSE),"")</x:f>
      </x:c>
      <x:c r="N132" s="100" t="str">
        <x:f>IF(OR(J132="",M132=""),"",J132*M132*(1+K132/100))</x:f>
      </x:c>
      <x:c r="O132" s="46" t="str"/>
      <x:c r="P132" s="46" t="str">
        <x:f>IF(A132="SKIP","متجاوز",IF(C132="","مفتاح منتج ناقص",IF(D132="","منتج غير موجود",IF(E132="","كود مخزون ناقص",IF(F132="","مادة غير موجودة",IF(J132="","خطأ وحدة",IF(G132&lt;=0,"كمية غير صالحة","صالح")))))))</x:f>
        <x:v>صالح</x:v>
      </x:c>
    </x:row>
    <x:row r="133">
      <x:c r="A133" s="46" t="str">
        <x:v>UPSERT_INACTIVE</x:v>
      </x:c>
      <x:c r="B133" s="46" t="str">
        <x:v>بحاجة مراجعة</x:v>
      </x:c>
      <x:c r="C133" s="46" t="str">
        <x:v>olive_tabasco_shot</x:v>
      </x:c>
      <x:c r="D133" s="46" t="str">
        <x:f>IFERROR(VLOOKUP(C133,'المنتجات'!$C$2:$D$500,2,FALSE),"")</x:f>
        <x:v>شوت زيتونة وتاباسكو</x:v>
      </x:c>
      <x:c r="E133" s="46" t="str">
        <x:v>ING-SAUCE-TABASCO</x:v>
      </x:c>
      <x:c r="F133" s="46" t="str">
        <x:f>IFERROR(VLOOKUP(E133,'مواد المخزون'!$C$2:$J$500,2,FALSE),"")</x:f>
        <x:v>تاباسكو</x:v>
      </x:c>
      <x:c r="G133" s="104" t="n">
        <x:v>2</x:v>
      </x:c>
      <x:c r="H133" s="46" t="str">
        <x:v>مل</x:v>
      </x:c>
      <x:c r="I133" s="46" t="str">
        <x:f>IFERROR(VLOOKUP(E133,'مواد المخزون'!$C$2:$J$500,5,FALSE),"")</x:f>
        <x:v>مل</x:v>
      </x:c>
      <x:c r="J133" s="104" t="n">
        <x:f>IF(OR(G133="",H133="",I133=""),"",IF(H133=I133,G133,IF(AND(H133="غ",I133="كغ"),G133/1000,IF(AND(H133="كغ",I133="غ"),G133*1000,IF(AND(H133="مل",I133="لتر"),G133/1000,IF(AND(H133="لتر",I133="مل"),G133*1000,""))))))</x:f>
        <x:v>2</x:v>
      </x:c>
      <x:c r="K133" s="108" t="n">
        <x:v>0</x:v>
      </x:c>
      <x:c r="L133" s="46" t="str">
        <x:v>لا</x:v>
      </x:c>
      <x:c r="M133" s="100" t="str">
        <x:f>IFERROR(VLOOKUP(E133,'مواد المخزون'!$C$2:$J$500,8,FALSE),"")</x:f>
      </x:c>
      <x:c r="N133" s="100" t="str">
        <x:f>IF(OR(J133="",M133=""),"",J133*M133*(1+K133/100))</x:f>
      </x:c>
      <x:c r="O133" s="46" t="str"/>
      <x:c r="P133" s="46" t="str">
        <x:f>IF(A133="SKIP","متجاوز",IF(C133="","مفتاح منتج ناقص",IF(D133="","منتج غير موجود",IF(E133="","كود مخزون ناقص",IF(F133="","مادة غير موجودة",IF(J133="","خطأ وحدة",IF(G133&lt;=0,"كمية غير صالحة","صالح")))))))</x:f>
        <x:v>صالح</x:v>
      </x:c>
    </x:row>
    <x:row r="134">
      <x:c r="A134" s="46" t="str">
        <x:v>UPSERT_INACTIVE</x:v>
      </x:c>
      <x:c r="B134" s="46" t="str">
        <x:v>بحاجة مراجعة</x:v>
      </x:c>
      <x:c r="C134" s="46" t="str">
        <x:v>hub_chicken_garlic</x:v>
      </x:c>
      <x:c r="D134" s="46" t="str">
        <x:f>IFERROR(VLOOKUP(C134,'المنتجات'!$C$2:$D$500,2,FALSE),"")</x:f>
        <x:v>دجاج وثوم</x:v>
      </x:c>
      <x:c r="E134" s="46" t="str">
        <x:v>ING-PREP-GARLIC-SAUCE</x:v>
      </x:c>
      <x:c r="F134" s="46" t="str">
        <x:f>IFERROR(VLOOKUP(E134,'مواد المخزون'!$C$2:$J$500,2,FALSE),"")</x:f>
        <x:v>ثومية / صوص ثوم</x:v>
      </x:c>
      <x:c r="G134" s="104" t="n">
        <x:v>50</x:v>
      </x:c>
      <x:c r="H134" s="46" t="str">
        <x:v>غ</x:v>
      </x:c>
      <x:c r="I134" s="46" t="str">
        <x:f>IFERROR(VLOOKUP(E134,'مواد المخزون'!$C$2:$J$500,5,FALSE),"")</x:f>
        <x:v>كغ</x:v>
      </x:c>
      <x:c r="J134" s="104" t="n">
        <x:f>IF(OR(G134="",H134="",I134=""),"",IF(H134=I134,G134,IF(AND(H134="غ",I134="كغ"),G134/1000,IF(AND(H134="كغ",I134="غ"),G134*1000,IF(AND(H134="مل",I134="لتر"),G134/1000,IF(AND(H134="لتر",I134="مل"),G134*1000,""))))))</x:f>
        <x:v>0.05</x:v>
      </x:c>
      <x:c r="K134" s="108" t="n">
        <x:v>0</x:v>
      </x:c>
      <x:c r="L134" s="46" t="str">
        <x:v>لا</x:v>
      </x:c>
      <x:c r="M134" s="100" t="str">
        <x:f>IFERROR(VLOOKUP(E134,'مواد المخزون'!$C$2:$J$500,8,FALSE),"")</x:f>
      </x:c>
      <x:c r="N134" s="100" t="str">
        <x:f>IF(OR(J134="",M134=""),"",J134*M134*(1+K134/100))</x:f>
      </x:c>
      <x:c r="O134" s="46" t="str">
        <x:v>ثومية جاهزة؛ راجع الحصة الفعلية.</x:v>
      </x:c>
      <x:c r="P134" s="46" t="str">
        <x:f>IF(A134="SKIP","متجاوز",IF(C134="","مفتاح منتج ناقص",IF(D134="","منتج غير موجود",IF(E134="","كود مخزون ناقص",IF(F134="","مادة غير موجودة",IF(J134="","خطأ وحدة",IF(G134&lt;=0,"كمية غير صالحة","صالح")))))))</x:f>
        <x:v>صالح</x:v>
      </x:c>
    </x:row>
    <x:row r="135">
      <x:c r="A135" s="46" t="str">
        <x:v>UPSERT_INACTIVE</x:v>
      </x:c>
      <x:c r="B135" s="46" t="str">
        <x:v>بحاجة مراجعة</x:v>
      </x:c>
      <x:c r="C135" s="46" t="str">
        <x:v>hub_grilled_shalal</x:v>
      </x:c>
      <x:c r="D135" s="46" t="str">
        <x:f>IFERROR(VLOOKUP(C135,'المنتجات'!$C$2:$D$500,2,FALSE),"")</x:f>
        <x:v>شلل مشوية</x:v>
      </x:c>
      <x:c r="E135" s="46" t="str">
        <x:v>ING-BREAD-SAMOON</x:v>
      </x:c>
      <x:c r="F135" s="46" t="str">
        <x:f>IFERROR(VLOOKUP(E135,'مواد المخزون'!$C$2:$J$500,2,FALSE),"")</x:f>
        <x:v>خبز سمون</x:v>
      </x:c>
      <x:c r="G135" s="104" t="n">
        <x:v>1</x:v>
      </x:c>
      <x:c r="H135" s="46" t="str">
        <x:v>قطعة</x:v>
      </x:c>
      <x:c r="I135" s="46" t="str">
        <x:f>IFERROR(VLOOKUP(E135,'مواد المخزون'!$C$2:$J$500,5,FALSE),"")</x:f>
        <x:v>قطعة</x:v>
      </x:c>
      <x:c r="J135" s="104" t="n">
        <x:f>IF(OR(G135="",H135="",I135=""),"",IF(H135=I135,G135,IF(AND(H135="غ",I135="كغ"),G135/1000,IF(AND(H135="كغ",I135="غ"),G135*1000,IF(AND(H135="مل",I135="لتر"),G135/1000,IF(AND(H135="لتر",I135="مل"),G135*1000,""))))))</x:f>
        <x:v>1</x:v>
      </x:c>
      <x:c r="K135" s="108" t="n">
        <x:v>0</x:v>
      </x:c>
      <x:c r="L135" s="46" t="str">
        <x:v>لا</x:v>
      </x:c>
      <x:c r="M135" s="100" t="str">
        <x:f>IFERROR(VLOOKUP(E135,'مواد المخزون'!$C$2:$J$500,8,FALSE),"")</x:f>
      </x:c>
      <x:c r="N135" s="100" t="str">
        <x:f>IF(OR(J135="",M135=""),"",J135*M135*(1+K135/100))</x:f>
      </x:c>
      <x:c r="O135" s="46" t="str">
        <x:v>يمكن تغيير نوع الخبز لاحقاً عبر الخيارات.</x:v>
      </x:c>
      <x:c r="P135" s="46" t="str">
        <x:f>IF(A135="SKIP","متجاوز",IF(C135="","مفتاح منتج ناقص",IF(D135="","منتج غير موجود",IF(E135="","كود مخزون ناقص",IF(F135="","مادة غير موجودة",IF(J135="","خطأ وحدة",IF(G135&lt;=0,"كمية غير صالحة","صالح")))))))</x:f>
        <x:v>صالح</x:v>
      </x:c>
    </x:row>
    <x:row r="136">
      <x:c r="A136" s="46" t="str">
        <x:v>UPSERT_INACTIVE</x:v>
      </x:c>
      <x:c r="B136" s="46" t="str">
        <x:v>بحاجة مراجعة</x:v>
      </x:c>
      <x:c r="C136" s="46" t="str">
        <x:v>hub_grilled_shalal</x:v>
      </x:c>
      <x:c r="D136" s="46" t="str">
        <x:f>IFERROR(VLOOKUP(C136,'المنتجات'!$C$2:$D$500,2,FALSE),"")</x:f>
        <x:v>شلل مشوية</x:v>
      </x:c>
      <x:c r="E136" s="46" t="str">
        <x:v>ING-CHEESE-SHALAL</x:v>
      </x:c>
      <x:c r="F136" s="46" t="str">
        <x:f>IFERROR(VLOOKUP(E136,'مواد المخزون'!$C$2:$J$500,2,FALSE),"")</x:f>
        <x:v>جبنة شلل / مشللة</x:v>
      </x:c>
      <x:c r="G136" s="104" t="n">
        <x:v>100</x:v>
      </x:c>
      <x:c r="H136" s="46" t="str">
        <x:v>غ</x:v>
      </x:c>
      <x:c r="I136" s="46" t="str">
        <x:f>IFERROR(VLOOKUP(E136,'مواد المخزون'!$C$2:$J$500,5,FALSE),"")</x:f>
        <x:v>كغ</x:v>
      </x:c>
      <x:c r="J136" s="104" t="n">
        <x:f>IF(OR(G136="",H136="",I136=""),"",IF(H136=I136,G136,IF(AND(H136="غ",I136="كغ"),G136/1000,IF(AND(H136="كغ",I136="غ"),G136*1000,IF(AND(H136="مل",I136="لتر"),G136/1000,IF(AND(H136="لتر",I136="مل"),G136*1000,""))))))</x:f>
        <x:v>0.1</x:v>
      </x:c>
      <x:c r="K136" s="108" t="n">
        <x:v>0</x:v>
      </x:c>
      <x:c r="L136" s="46" t="str">
        <x:v>لا</x:v>
      </x:c>
      <x:c r="M136" s="100" t="str">
        <x:f>IFERROR(VLOOKUP(E136,'مواد المخزون'!$C$2:$J$500,8,FALSE),"")</x:f>
      </x:c>
      <x:c r="N136" s="100" t="str">
        <x:f>IF(OR(J136="",M136=""),"",J136*M136*(1+K136/100))</x:f>
      </x:c>
      <x:c r="O136" s="46" t="str"/>
      <x:c r="P136" s="46" t="str">
        <x:f>IF(A136="SKIP","متجاوز",IF(C136="","مفتاح منتج ناقص",IF(D136="","منتج غير موجود",IF(E136="","كود مخزون ناقص",IF(F136="","مادة غير موجودة",IF(J136="","خطأ وحدة",IF(G136&lt;=0,"كمية غير صالحة","صالح")))))))</x:f>
        <x:v>صالح</x:v>
      </x:c>
    </x:row>
    <x:row r="137">
      <x:c r="A137" s="46" t="str">
        <x:v>UPSERT_INACTIVE</x:v>
      </x:c>
      <x:c r="B137" s="46" t="str">
        <x:v>بحاجة مراجعة</x:v>
      </x:c>
      <x:c r="C137" s="46" t="str">
        <x:v>hub_grilled_shalal</x:v>
      </x:c>
      <x:c r="D137" s="46" t="str">
        <x:f>IFERROR(VLOOKUP(C137,'المنتجات'!$C$2:$D$500,2,FALSE),"")</x:f>
        <x:v>شلل مشوية</x:v>
      </x:c>
      <x:c r="E137" s="46" t="str">
        <x:v>ING-VEG-TOMATO</x:v>
      </x:c>
      <x:c r="F137" s="46" t="str">
        <x:f>IFERROR(VLOOKUP(E137,'مواد المخزون'!$C$2:$J$500,2,FALSE),"")</x:f>
        <x:v>بندورة</x:v>
      </x:c>
      <x:c r="G137" s="104" t="n">
        <x:v>40</x:v>
      </x:c>
      <x:c r="H137" s="46" t="str">
        <x:v>غ</x:v>
      </x:c>
      <x:c r="I137" s="46" t="str">
        <x:f>IFERROR(VLOOKUP(E137,'مواد المخزون'!$C$2:$J$500,5,FALSE),"")</x:f>
        <x:v>كغ</x:v>
      </x:c>
      <x:c r="J137" s="104" t="n">
        <x:f>IF(OR(G137="",H137="",I137=""),"",IF(H137=I137,G137,IF(AND(H137="غ",I137="كغ"),G137/1000,IF(AND(H137="كغ",I137="غ"),G137*1000,IF(AND(H137="مل",I137="لتر"),G137/1000,IF(AND(H137="لتر",I137="مل"),G137*1000,""))))))</x:f>
        <x:v>0.04</x:v>
      </x:c>
      <x:c r="K137" s="108" t="n">
        <x:v>0</x:v>
      </x:c>
      <x:c r="L137" s="46" t="str">
        <x:v>لا</x:v>
      </x:c>
      <x:c r="M137" s="100" t="n">
        <x:f>IFERROR(VLOOKUP(E137,'مواد المخزون'!$C$2:$J$500,8,FALSE),"")</x:f>
        <x:v>9000</x:v>
      </x:c>
      <x:c r="N137" s="100" t="n">
        <x:f>IF(OR(J137="",M137=""),"",J137*M137*(1+K137/100))</x:f>
        <x:v>360</x:v>
      </x:c>
      <x:c r="O137" s="46" t="str"/>
      <x:c r="P137" s="46" t="str">
        <x:f>IF(A137="SKIP","متجاوز",IF(C137="","مفتاح منتج ناقص",IF(D137="","منتج غير موجود",IF(E137="","كود مخزون ناقص",IF(F137="","مادة غير موجودة",IF(J137="","خطأ وحدة",IF(G137&lt;=0,"كمية غير صالحة","صالح")))))))</x:f>
        <x:v>صالح</x:v>
      </x:c>
    </x:row>
    <x:row r="138">
      <x:c r="A138" s="46" t="str">
        <x:v>UPSERT_INACTIVE</x:v>
      </x:c>
      <x:c r="B138" s="46" t="str">
        <x:v>بحاجة مراجعة</x:v>
      </x:c>
      <x:c r="C138" s="46" t="str">
        <x:v>hub_grilled_shalal</x:v>
      </x:c>
      <x:c r="D138" s="46" t="str">
        <x:f>IFERROR(VLOOKUP(C138,'المنتجات'!$C$2:$D$500,2,FALSE),"")</x:f>
        <x:v>شلل مشوية</x:v>
      </x:c>
      <x:c r="E138" s="46" t="str">
        <x:v>ING-VEG-CUCUMBER</x:v>
      </x:c>
      <x:c r="F138" s="46" t="str">
        <x:f>IFERROR(VLOOKUP(E138,'مواد المخزون'!$C$2:$J$500,2,FALSE),"")</x:f>
        <x:v>خيار / بعجور</x:v>
      </x:c>
      <x:c r="G138" s="104" t="n">
        <x:v>40</x:v>
      </x:c>
      <x:c r="H138" s="46" t="str">
        <x:v>غ</x:v>
      </x:c>
      <x:c r="I138" s="46" t="str">
        <x:f>IFERROR(VLOOKUP(E138,'مواد المخزون'!$C$2:$J$500,5,FALSE),"")</x:f>
        <x:v>كغ</x:v>
      </x:c>
      <x:c r="J138" s="104" t="n">
        <x:f>IF(OR(G138="",H138="",I138=""),"",IF(H138=I138,G138,IF(AND(H138="غ",I138="كغ"),G138/1000,IF(AND(H138="كغ",I138="غ"),G138*1000,IF(AND(H138="مل",I138="لتر"),G138/1000,IF(AND(H138="لتر",I138="مل"),G138*1000,""))))))</x:f>
        <x:v>0.04</x:v>
      </x:c>
      <x:c r="K138" s="108" t="n">
        <x:v>0</x:v>
      </x:c>
      <x:c r="L138" s="46" t="str">
        <x:v>لا</x:v>
      </x:c>
      <x:c r="M138" s="100" t="n">
        <x:f>IFERROR(VLOOKUP(E138,'مواد المخزون'!$C$2:$J$500,8,FALSE),"")</x:f>
        <x:v>5000</x:v>
      </x:c>
      <x:c r="N138" s="100" t="n">
        <x:f>IF(OR(J138="",M138=""),"",J138*M138*(1+K138/100))</x:f>
        <x:v>200</x:v>
      </x:c>
      <x:c r="O138" s="46" t="str"/>
      <x:c r="P138" s="46" t="str">
        <x:f>IF(A138="SKIP","متجاوز",IF(C138="","مفتاح منتج ناقص",IF(D138="","منتج غير موجود",IF(E138="","كود مخزون ناقص",IF(F138="","مادة غير موجودة",IF(J138="","خطأ وحدة",IF(G138&lt;=0,"كمية غير صالحة","صالح")))))))</x:f>
        <x:v>صالح</x:v>
      </x:c>
    </x:row>
    <x:row r="139">
      <x:c r="A139" s="46" t="str">
        <x:v>UPSERT_INACTIVE</x:v>
      </x:c>
      <x:c r="B139" s="46" t="str">
        <x:v>بحاجة مراجعة</x:v>
      </x:c>
      <x:c r="C139" s="46" t="str">
        <x:v>hub_qashqawan_toast</x:v>
      </x:c>
      <x:c r="D139" s="46" t="str">
        <x:f>IFERROR(VLOOKUP(C139,'المنتجات'!$C$2:$D$500,2,FALSE),"")</x:f>
        <x:v>قشقوان محمصة</x:v>
      </x:c>
      <x:c r="E139" s="46" t="str">
        <x:v>ING-BREAD-SAMOON</x:v>
      </x:c>
      <x:c r="F139" s="46" t="str">
        <x:f>IFERROR(VLOOKUP(E139,'مواد المخزون'!$C$2:$J$500,2,FALSE),"")</x:f>
        <x:v>خبز سمون</x:v>
      </x:c>
      <x:c r="G139" s="104" t="n">
        <x:v>1</x:v>
      </x:c>
      <x:c r="H139" s="46" t="str">
        <x:v>قطعة</x:v>
      </x:c>
      <x:c r="I139" s="46" t="str">
        <x:f>IFERROR(VLOOKUP(E139,'مواد المخزون'!$C$2:$J$500,5,FALSE),"")</x:f>
        <x:v>قطعة</x:v>
      </x:c>
      <x:c r="J139" s="104" t="n">
        <x:f>IF(OR(G139="",H139="",I139=""),"",IF(H139=I139,G139,IF(AND(H139="غ",I139="كغ"),G139/1000,IF(AND(H139="كغ",I139="غ"),G139*1000,IF(AND(H139="مل",I139="لتر"),G139/1000,IF(AND(H139="لتر",I139="مل"),G139*1000,""))))))</x:f>
        <x:v>1</x:v>
      </x:c>
      <x:c r="K139" s="108" t="n">
        <x:v>0</x:v>
      </x:c>
      <x:c r="L139" s="46" t="str">
        <x:v>لا</x:v>
      </x:c>
      <x:c r="M139" s="100" t="str">
        <x:f>IFERROR(VLOOKUP(E139,'مواد المخزون'!$C$2:$J$500,8,FALSE),"")</x:f>
      </x:c>
      <x:c r="N139" s="100" t="str">
        <x:f>IF(OR(J139="",M139=""),"",J139*M139*(1+K139/100))</x:f>
      </x:c>
      <x:c r="O139" s="46" t="str">
        <x:v>يمكن تغيير نوع الخبز لاحقاً عبر الخيارات.</x:v>
      </x:c>
      <x:c r="P139" s="46" t="str">
        <x:f>IF(A139="SKIP","متجاوز",IF(C139="","مفتاح منتج ناقص",IF(D139="","منتج غير موجود",IF(E139="","كود مخزون ناقص",IF(F139="","مادة غير موجودة",IF(J139="","خطأ وحدة",IF(G139&lt;=0,"كمية غير صالحة","صالح")))))))</x:f>
        <x:v>صالح</x:v>
      </x:c>
    </x:row>
    <x:row r="140">
      <x:c r="A140" s="46" t="str">
        <x:v>UPSERT_INACTIVE</x:v>
      </x:c>
      <x:c r="B140" s="46" t="str">
        <x:v>بحاجة مراجعة</x:v>
      </x:c>
      <x:c r="C140" s="46" t="str">
        <x:v>hub_qashqawan_toast</x:v>
      </x:c>
      <x:c r="D140" s="46" t="str">
        <x:f>IFERROR(VLOOKUP(C140,'المنتجات'!$C$2:$D$500,2,FALSE),"")</x:f>
        <x:v>قشقوان محمصة</x:v>
      </x:c>
      <x:c r="E140" s="46" t="str">
        <x:v>ING-CHEESE-QASHQAWAN</x:v>
      </x:c>
      <x:c r="F140" s="46" t="str">
        <x:f>IFERROR(VLOOKUP(E140,'مواد المخزون'!$C$2:$J$500,2,FALSE),"")</x:f>
        <x:v>جبنة قشقوان</x:v>
      </x:c>
      <x:c r="G140" s="104" t="n">
        <x:v>100</x:v>
      </x:c>
      <x:c r="H140" s="46" t="str">
        <x:v>غ</x:v>
      </x:c>
      <x:c r="I140" s="46" t="str">
        <x:f>IFERROR(VLOOKUP(E140,'مواد المخزون'!$C$2:$J$500,5,FALSE),"")</x:f>
        <x:v>كغ</x:v>
      </x:c>
      <x:c r="J140" s="104" t="n">
        <x:f>IF(OR(G140="",H140="",I140=""),"",IF(H140=I140,G140,IF(AND(H140="غ",I140="كغ"),G140/1000,IF(AND(H140="كغ",I140="غ"),G140*1000,IF(AND(H140="مل",I140="لتر"),G140/1000,IF(AND(H140="لتر",I140="مل"),G140*1000,""))))))</x:f>
        <x:v>0.1</x:v>
      </x:c>
      <x:c r="K140" s="108" t="n">
        <x:v>0</x:v>
      </x:c>
      <x:c r="L140" s="46" t="str">
        <x:v>لا</x:v>
      </x:c>
      <x:c r="M140" s="100" t="str">
        <x:f>IFERROR(VLOOKUP(E140,'مواد المخزون'!$C$2:$J$500,8,FALSE),"")</x:f>
      </x:c>
      <x:c r="N140" s="100" t="str">
        <x:f>IF(OR(J140="",M140=""),"",J140*M140*(1+K140/100))</x:f>
      </x:c>
      <x:c r="O140" s="46" t="str"/>
      <x:c r="P140" s="46" t="str">
        <x:f>IF(A140="SKIP","متجاوز",IF(C140="","مفتاح منتج ناقص",IF(D140="","منتج غير موجود",IF(E140="","كود مخزون ناقص",IF(F140="","مادة غير موجودة",IF(J140="","خطأ وحدة",IF(G140&lt;=0,"كمية غير صالحة","صالح")))))))</x:f>
        <x:v>صالح</x:v>
      </x:c>
    </x:row>
    <x:row r="141">
      <x:c r="A141" s="46" t="str">
        <x:v>UPSERT_INACTIVE</x:v>
      </x:c>
      <x:c r="B141" s="46" t="str">
        <x:v>بحاجة مراجعة</x:v>
      </x:c>
      <x:c r="C141" s="46" t="str">
        <x:v>hub_mortadella</x:v>
      </x:c>
      <x:c r="D141" s="46" t="str">
        <x:f>IFERROR(VLOOKUP(C141,'المنتجات'!$C$2:$D$500,2,FALSE),"")</x:f>
        <x:v>مرتديلا هَب</x:v>
      </x:c>
      <x:c r="E141" s="46" t="str">
        <x:v>ING-BREAD-SAMOON</x:v>
      </x:c>
      <x:c r="F141" s="46" t="str">
        <x:f>IFERROR(VLOOKUP(E141,'مواد المخزون'!$C$2:$J$500,2,FALSE),"")</x:f>
        <x:v>خبز سمون</x:v>
      </x:c>
      <x:c r="G141" s="104" t="n">
        <x:v>1</x:v>
      </x:c>
      <x:c r="H141" s="46" t="str">
        <x:v>قطعة</x:v>
      </x:c>
      <x:c r="I141" s="46" t="str">
        <x:f>IFERROR(VLOOKUP(E141,'مواد المخزون'!$C$2:$J$500,5,FALSE),"")</x:f>
        <x:v>قطعة</x:v>
      </x:c>
      <x:c r="J141" s="104" t="n">
        <x:f>IF(OR(G141="",H141="",I141=""),"",IF(H141=I141,G141,IF(AND(H141="غ",I141="كغ"),G141/1000,IF(AND(H141="كغ",I141="غ"),G141*1000,IF(AND(H141="مل",I141="لتر"),G141/1000,IF(AND(H141="لتر",I141="مل"),G141*1000,""))))))</x:f>
        <x:v>1</x:v>
      </x:c>
      <x:c r="K141" s="108" t="n">
        <x:v>0</x:v>
      </x:c>
      <x:c r="L141" s="46" t="str">
        <x:v>لا</x:v>
      </x:c>
      <x:c r="M141" s="100" t="str">
        <x:f>IFERROR(VLOOKUP(E141,'مواد المخزون'!$C$2:$J$500,8,FALSE),"")</x:f>
      </x:c>
      <x:c r="N141" s="100" t="str">
        <x:f>IF(OR(J141="",M141=""),"",J141*M141*(1+K141/100))</x:f>
      </x:c>
      <x:c r="O141" s="46" t="str"/>
      <x:c r="P141" s="46" t="str">
        <x:f>IF(A141="SKIP","متجاوز",IF(C141="","مفتاح منتج ناقص",IF(D141="","منتج غير موجود",IF(E141="","كود مخزون ناقص",IF(F141="","مادة غير موجودة",IF(J141="","خطأ وحدة",IF(G141&lt;=0,"كمية غير صالحة","صالح")))))))</x:f>
        <x:v>صالح</x:v>
      </x:c>
    </x:row>
    <x:row r="142">
      <x:c r="A142" s="46" t="str">
        <x:v>UPSERT_INACTIVE</x:v>
      </x:c>
      <x:c r="B142" s="46" t="str">
        <x:v>بحاجة مراجعة</x:v>
      </x:c>
      <x:c r="C142" s="46" t="str">
        <x:v>hub_mortadella</x:v>
      </x:c>
      <x:c r="D142" s="46" t="str">
        <x:f>IFERROR(VLOOKUP(C142,'المنتجات'!$C$2:$D$500,2,FALSE),"")</x:f>
        <x:v>مرتديلا هَب</x:v>
      </x:c>
      <x:c r="E142" s="46" t="str">
        <x:v>ING-MEAT-MORTADELLA</x:v>
      </x:c>
      <x:c r="F142" s="46" t="str">
        <x:f>IFERROR(VLOOKUP(E142,'مواد المخزون'!$C$2:$J$500,2,FALSE),"")</x:f>
        <x:v>مرتديلا</x:v>
      </x:c>
      <x:c r="G142" s="104" t="n">
        <x:v>80</x:v>
      </x:c>
      <x:c r="H142" s="46" t="str">
        <x:v>غ</x:v>
      </x:c>
      <x:c r="I142" s="46" t="str">
        <x:f>IFERROR(VLOOKUP(E142,'مواد المخزون'!$C$2:$J$500,5,FALSE),"")</x:f>
        <x:v>كغ</x:v>
      </x:c>
      <x:c r="J142" s="104" t="n">
        <x:f>IF(OR(G142="",H142="",I142=""),"",IF(H142=I142,G142,IF(AND(H142="غ",I142="كغ"),G142/1000,IF(AND(H142="كغ",I142="غ"),G142*1000,IF(AND(H142="مل",I142="لتر"),G142/1000,IF(AND(H142="لتر",I142="مل"),G142*1000,""))))))</x:f>
        <x:v>0.08</x:v>
      </x:c>
      <x:c r="K142" s="108" t="n">
        <x:v>0</x:v>
      </x:c>
      <x:c r="L142" s="46" t="str">
        <x:v>لا</x:v>
      </x:c>
      <x:c r="M142" s="100" t="str">
        <x:f>IFERROR(VLOOKUP(E142,'مواد المخزون'!$C$2:$J$500,8,FALSE),"")</x:f>
      </x:c>
      <x:c r="N142" s="100" t="str">
        <x:f>IF(OR(J142="",M142=""),"",J142*M142*(1+K142/100))</x:f>
      </x:c>
      <x:c r="O142" s="46" t="str"/>
      <x:c r="P142" s="46" t="str">
        <x:f>IF(A142="SKIP","متجاوز",IF(C142="","مفتاح منتج ناقص",IF(D142="","منتج غير موجود",IF(E142="","كود مخزون ناقص",IF(F142="","مادة غير موجودة",IF(J142="","خطأ وحدة",IF(G142&lt;=0,"كمية غير صالحة","صالح")))))))</x:f>
        <x:v>صالح</x:v>
      </x:c>
    </x:row>
    <x:row r="143">
      <x:c r="A143" s="46" t="str">
        <x:v>UPSERT_INACTIVE</x:v>
      </x:c>
      <x:c r="B143" s="46" t="str">
        <x:v>بحاجة مراجعة</x:v>
      </x:c>
      <x:c r="C143" s="46" t="str">
        <x:v>hub_mortadella</x:v>
      </x:c>
      <x:c r="D143" s="46" t="str">
        <x:f>IFERROR(VLOOKUP(C143,'المنتجات'!$C$2:$D$500,2,FALSE),"")</x:f>
        <x:v>مرتديلا هَب</x:v>
      </x:c>
      <x:c r="E143" s="46" t="str">
        <x:v>ING-CHEESE-BURGER-SLICE</x:v>
      </x:c>
      <x:c r="F143" s="46" t="str">
        <x:f>IFERROR(VLOOKUP(E143,'مواد المخزون'!$C$2:$J$500,2,FALSE),"")</x:f>
        <x:v>شريحة جبنة برغر</x:v>
      </x:c>
      <x:c r="G143" s="104" t="n">
        <x:v>1</x:v>
      </x:c>
      <x:c r="H143" s="46" t="str">
        <x:v>قطعة</x:v>
      </x:c>
      <x:c r="I143" s="46" t="str">
        <x:f>IFERROR(VLOOKUP(E143,'مواد المخزون'!$C$2:$J$500,5,FALSE),"")</x:f>
        <x:v>قطعة</x:v>
      </x:c>
      <x:c r="J143" s="104" t="n">
        <x:f>IF(OR(G143="",H143="",I143=""),"",IF(H143=I143,G143,IF(AND(H143="غ",I143="كغ"),G143/1000,IF(AND(H143="كغ",I143="غ"),G143*1000,IF(AND(H143="مل",I143="لتر"),G143/1000,IF(AND(H143="لتر",I143="مل"),G143*1000,""))))))</x:f>
        <x:v>1</x:v>
      </x:c>
      <x:c r="K143" s="108" t="n">
        <x:v>0</x:v>
      </x:c>
      <x:c r="L143" s="46" t="str">
        <x:v>لا</x:v>
      </x:c>
      <x:c r="M143" s="100" t="str">
        <x:f>IFERROR(VLOOKUP(E143,'مواد المخزون'!$C$2:$J$500,8,FALSE),"")</x:f>
      </x:c>
      <x:c r="N143" s="100" t="str">
        <x:f>IF(OR(J143="",M143=""),"",J143*M143*(1+K143/100))</x:f>
      </x:c>
      <x:c r="O143" s="46" t="str"/>
      <x:c r="P143" s="46" t="str">
        <x:f>IF(A143="SKIP","متجاوز",IF(C143="","مفتاح منتج ناقص",IF(D143="","منتج غير موجود",IF(E143="","كود مخزون ناقص",IF(F143="","مادة غير موجودة",IF(J143="","خطأ وحدة",IF(G143&lt;=0,"كمية غير صالحة","صالح")))))))</x:f>
        <x:v>صالح</x:v>
      </x:c>
    </x:row>
    <x:row r="144">
      <x:c r="A144" s="46" t="str">
        <x:v>UPSERT_INACTIVE</x:v>
      </x:c>
      <x:c r="B144" s="46" t="str">
        <x:v>بحاجة مراجعة</x:v>
      </x:c>
      <x:c r="C144" s="46" t="str">
        <x:v>hub_mortadella</x:v>
      </x:c>
      <x:c r="D144" s="46" t="str">
        <x:f>IFERROR(VLOOKUP(C144,'المنتجات'!$C$2:$D$500,2,FALSE),"")</x:f>
        <x:v>مرتديلا هَب</x:v>
      </x:c>
      <x:c r="E144" s="46" t="str">
        <x:v>ING-PICKLE-MIXED-WEIGHT</x:v>
      </x:c>
      <x:c r="F144" s="46" t="str">
        <x:f>IFERROR(VLOOKUP(E144,'مواد المخزون'!$C$2:$J$500,2,FALSE),"")</x:f>
        <x:v>مخلل مشكل بالوزن</x:v>
      </x:c>
      <x:c r="G144" s="104" t="n">
        <x:v>25</x:v>
      </x:c>
      <x:c r="H144" s="46" t="str">
        <x:v>غ</x:v>
      </x:c>
      <x:c r="I144" s="46" t="str">
        <x:f>IFERROR(VLOOKUP(E144,'مواد المخزون'!$C$2:$J$500,5,FALSE),"")</x:f>
        <x:v>كغ</x:v>
      </x:c>
      <x:c r="J144" s="104" t="n">
        <x:f>IF(OR(G144="",H144="",I144=""),"",IF(H144=I144,G144,IF(AND(H144="غ",I144="كغ"),G144/1000,IF(AND(H144="كغ",I144="غ"),G144*1000,IF(AND(H144="مل",I144="لتر"),G144/1000,IF(AND(H144="لتر",I144="مل"),G144*1000,""))))))</x:f>
        <x:v>0.025</x:v>
      </x:c>
      <x:c r="K144" s="108" t="n">
        <x:v>0</x:v>
      </x:c>
      <x:c r="L144" s="46" t="str">
        <x:v>لا</x:v>
      </x:c>
      <x:c r="M144" s="100" t="str">
        <x:f>IFERROR(VLOOKUP(E144,'مواد المخزون'!$C$2:$J$500,8,FALSE),"")</x:f>
      </x:c>
      <x:c r="N144" s="100" t="str">
        <x:f>IF(OR(J144="",M144=""),"",J144*M144*(1+K144/100))</x:f>
      </x:c>
      <x:c r="O144" s="46" t="str"/>
      <x:c r="P144" s="46" t="str">
        <x:f>IF(A144="SKIP","متجاوز",IF(C144="","مفتاح منتج ناقص",IF(D144="","منتج غير موجود",IF(E144="","كود مخزون ناقص",IF(F144="","مادة غير موجودة",IF(J144="","خطأ وحدة",IF(G144&lt;=0,"كمية غير صالحة","صالح")))))))</x:f>
        <x:v>صالح</x:v>
      </x:c>
    </x:row>
    <x:row r="145">
      <x:c r="A145" s="46" t="str">
        <x:v>UPSERT_INACTIVE</x:v>
      </x:c>
      <x:c r="B145" s="46" t="str">
        <x:v>بحاجة مراجعة</x:v>
      </x:c>
      <x:c r="C145" s="46" t="str">
        <x:v>hub_smoked_turkey</x:v>
      </x:c>
      <x:c r="D145" s="46" t="str">
        <x:f>IFERROR(VLOOKUP(C145,'المنتجات'!$C$2:$D$500,2,FALSE),"")</x:f>
        <x:v>حبش مدخن</x:v>
      </x:c>
      <x:c r="E145" s="46" t="str">
        <x:v>ING-BREAD-SAMOON</x:v>
      </x:c>
      <x:c r="F145" s="46" t="str">
        <x:f>IFERROR(VLOOKUP(E145,'مواد المخزون'!$C$2:$J$500,2,FALSE),"")</x:f>
        <x:v>خبز سمون</x:v>
      </x:c>
      <x:c r="G145" s="104" t="n">
        <x:v>1</x:v>
      </x:c>
      <x:c r="H145" s="46" t="str">
        <x:v>قطعة</x:v>
      </x:c>
      <x:c r="I145" s="46" t="str">
        <x:f>IFERROR(VLOOKUP(E145,'مواد المخزون'!$C$2:$J$500,5,FALSE),"")</x:f>
        <x:v>قطعة</x:v>
      </x:c>
      <x:c r="J145" s="104" t="n">
        <x:f>IF(OR(G145="",H145="",I145=""),"",IF(H145=I145,G145,IF(AND(H145="غ",I145="كغ"),G145/1000,IF(AND(H145="كغ",I145="غ"),G145*1000,IF(AND(H145="مل",I145="لتر"),G145/1000,IF(AND(H145="لتر",I145="مل"),G145*1000,""))))))</x:f>
        <x:v>1</x:v>
      </x:c>
      <x:c r="K145" s="108" t="n">
        <x:v>0</x:v>
      </x:c>
      <x:c r="L145" s="46" t="str">
        <x:v>لا</x:v>
      </x:c>
      <x:c r="M145" s="100" t="str">
        <x:f>IFERROR(VLOOKUP(E145,'مواد المخزون'!$C$2:$J$500,8,FALSE),"")</x:f>
      </x:c>
      <x:c r="N145" s="100" t="str">
        <x:f>IF(OR(J145="",M145=""),"",J145*M145*(1+K145/100))</x:f>
      </x:c>
      <x:c r="O145" s="46" t="str"/>
      <x:c r="P145" s="46" t="str">
        <x:f>IF(A145="SKIP","متجاوز",IF(C145="","مفتاح منتج ناقص",IF(D145="","منتج غير موجود",IF(E145="","كود مخزون ناقص",IF(F145="","مادة غير موجودة",IF(J145="","خطأ وحدة",IF(G145&lt;=0,"كمية غير صالحة","صالح")))))))</x:f>
        <x:v>صالح</x:v>
      </x:c>
    </x:row>
    <x:row r="146">
      <x:c r="A146" s="46" t="str">
        <x:v>UPSERT_INACTIVE</x:v>
      </x:c>
      <x:c r="B146" s="46" t="str">
        <x:v>بحاجة مراجعة</x:v>
      </x:c>
      <x:c r="C146" s="46" t="str">
        <x:v>hub_smoked_turkey</x:v>
      </x:c>
      <x:c r="D146" s="46" t="str">
        <x:f>IFERROR(VLOOKUP(C146,'المنتجات'!$C$2:$D$500,2,FALSE),"")</x:f>
        <x:v>حبش مدخن</x:v>
      </x:c>
      <x:c r="E146" s="46" t="str">
        <x:v>ING-MEAT-TURKEY-SMOKED</x:v>
      </x:c>
      <x:c r="F146" s="46" t="str">
        <x:f>IFERROR(VLOOKUP(E146,'مواد المخزون'!$C$2:$J$500,2,FALSE),"")</x:f>
        <x:v>حبش مدخن</x:v>
      </x:c>
      <x:c r="G146" s="104" t="n">
        <x:v>80</x:v>
      </x:c>
      <x:c r="H146" s="46" t="str">
        <x:v>غ</x:v>
      </x:c>
      <x:c r="I146" s="46" t="str">
        <x:f>IFERROR(VLOOKUP(E146,'مواد المخزون'!$C$2:$J$500,5,FALSE),"")</x:f>
        <x:v>كغ</x:v>
      </x:c>
      <x:c r="J146" s="104" t="n">
        <x:f>IF(OR(G146="",H146="",I146=""),"",IF(H146=I146,G146,IF(AND(H146="غ",I146="كغ"),G146/1000,IF(AND(H146="كغ",I146="غ"),G146*1000,IF(AND(H146="مل",I146="لتر"),G146/1000,IF(AND(H146="لتر",I146="مل"),G146*1000,""))))))</x:f>
        <x:v>0.08</x:v>
      </x:c>
      <x:c r="K146" s="108" t="n">
        <x:v>0</x:v>
      </x:c>
      <x:c r="L146" s="46" t="str">
        <x:v>لا</x:v>
      </x:c>
      <x:c r="M146" s="100" t="str">
        <x:f>IFERROR(VLOOKUP(E146,'مواد المخزون'!$C$2:$J$500,8,FALSE),"")</x:f>
      </x:c>
      <x:c r="N146" s="100" t="str">
        <x:f>IF(OR(J146="",M146=""),"",J146*M146*(1+K146/100))</x:f>
      </x:c>
      <x:c r="O146" s="46" t="str"/>
      <x:c r="P146" s="46" t="str">
        <x:f>IF(A146="SKIP","متجاوز",IF(C146="","مفتاح منتج ناقص",IF(D146="","منتج غير موجود",IF(E146="","كود مخزون ناقص",IF(F146="","مادة غير موجودة",IF(J146="","خطأ وحدة",IF(G146&lt;=0,"كمية غير صالحة","صالح")))))))</x:f>
        <x:v>صالح</x:v>
      </x:c>
    </x:row>
    <x:row r="147">
      <x:c r="A147" s="46" t="str">
        <x:v>UPSERT_INACTIVE</x:v>
      </x:c>
      <x:c r="B147" s="46" t="str">
        <x:v>بحاجة مراجعة</x:v>
      </x:c>
      <x:c r="C147" s="46" t="str">
        <x:v>hub_smoked_turkey</x:v>
      </x:c>
      <x:c r="D147" s="46" t="str">
        <x:f>IFERROR(VLOOKUP(C147,'المنتجات'!$C$2:$D$500,2,FALSE),"")</x:f>
        <x:v>حبش مدخن</x:v>
      </x:c>
      <x:c r="E147" s="46" t="str">
        <x:v>ING-CHEESE-BURGER-SLICE</x:v>
      </x:c>
      <x:c r="F147" s="46" t="str">
        <x:f>IFERROR(VLOOKUP(E147,'مواد المخزون'!$C$2:$J$500,2,FALSE),"")</x:f>
        <x:v>شريحة جبنة برغر</x:v>
      </x:c>
      <x:c r="G147" s="104" t="n">
        <x:v>1</x:v>
      </x:c>
      <x:c r="H147" s="46" t="str">
        <x:v>قطعة</x:v>
      </x:c>
      <x:c r="I147" s="46" t="str">
        <x:f>IFERROR(VLOOKUP(E147,'مواد المخزون'!$C$2:$J$500,5,FALSE),"")</x:f>
        <x:v>قطعة</x:v>
      </x:c>
      <x:c r="J147" s="104" t="n">
        <x:f>IF(OR(G147="",H147="",I147=""),"",IF(H147=I147,G147,IF(AND(H147="غ",I147="كغ"),G147/1000,IF(AND(H147="كغ",I147="غ"),G147*1000,IF(AND(H147="مل",I147="لتر"),G147/1000,IF(AND(H147="لتر",I147="مل"),G147*1000,""))))))</x:f>
        <x:v>1</x:v>
      </x:c>
      <x:c r="K147" s="108" t="n">
        <x:v>0</x:v>
      </x:c>
      <x:c r="L147" s="46" t="str">
        <x:v>لا</x:v>
      </x:c>
      <x:c r="M147" s="100" t="str">
        <x:f>IFERROR(VLOOKUP(E147,'مواد المخزون'!$C$2:$J$500,8,FALSE),"")</x:f>
      </x:c>
      <x:c r="N147" s="100" t="str">
        <x:f>IF(OR(J147="",M147=""),"",J147*M147*(1+K147/100))</x:f>
      </x:c>
      <x:c r="O147" s="46" t="str"/>
      <x:c r="P147" s="46" t="str">
        <x:f>IF(A147="SKIP","متجاوز",IF(C147="","مفتاح منتج ناقص",IF(D147="","منتج غير موجود",IF(E147="","كود مخزون ناقص",IF(F147="","مادة غير موجودة",IF(J147="","خطأ وحدة",IF(G147&lt;=0,"كمية غير صالحة","صالح")))))))</x:f>
        <x:v>صالح</x:v>
      </x:c>
    </x:row>
    <x:row r="148">
      <x:c r="A148" s="46" t="str">
        <x:v>UPSERT_INACTIVE</x:v>
      </x:c>
      <x:c r="B148" s="46" t="str">
        <x:v>بحاجة مراجعة</x:v>
      </x:c>
      <x:c r="C148" s="46" t="str">
        <x:v>hub_smoked_turkey</x:v>
      </x:c>
      <x:c r="D148" s="46" t="str">
        <x:f>IFERROR(VLOOKUP(C148,'المنتجات'!$C$2:$D$500,2,FALSE),"")</x:f>
        <x:v>حبش مدخن</x:v>
      </x:c>
      <x:c r="E148" s="46" t="str">
        <x:v>ING-VEG-LETTUCE</x:v>
      </x:c>
      <x:c r="F148" s="46" t="str">
        <x:f>IFERROR(VLOOKUP(E148,'مواد المخزون'!$C$2:$J$500,2,FALSE),"")</x:f>
        <x:v>خس</x:v>
      </x:c>
      <x:c r="G148" s="104" t="n">
        <x:v>0.05</x:v>
      </x:c>
      <x:c r="H148" s="46" t="str">
        <x:v>عبوة</x:v>
      </x:c>
      <x:c r="I148" s="46" t="str">
        <x:f>IFERROR(VLOOKUP(E148,'مواد المخزون'!$C$2:$J$500,5,FALSE),"")</x:f>
        <x:v>عبوة</x:v>
      </x:c>
      <x:c r="J148" s="104" t="n">
        <x:f>IF(OR(G148="",H148="",I148=""),"",IF(H148=I148,G148,IF(AND(H148="غ",I148="كغ"),G148/1000,IF(AND(H148="كغ",I148="غ"),G148*1000,IF(AND(H148="مل",I148="لتر"),G148/1000,IF(AND(H148="لتر",I148="مل"),G148*1000,""))))))</x:f>
        <x:v>0.05</x:v>
      </x:c>
      <x:c r="K148" s="108" t="n">
        <x:v>0</x:v>
      </x:c>
      <x:c r="L148" s="46" t="str">
        <x:v>لا</x:v>
      </x:c>
      <x:c r="M148" s="100" t="n">
        <x:f>IFERROR(VLOOKUP(E148,'مواد المخزون'!$C$2:$J$500,8,FALSE),"")</x:f>
        <x:v>8000</x:v>
      </x:c>
      <x:c r="N148" s="100" t="n">
        <x:f>IF(OR(J148="",M148=""),"",J148*M148*(1+K148/100))</x:f>
        <x:v>400</x:v>
      </x:c>
      <x:c r="O148" s="46" t="str">
        <x:v>راجع وحدة الخس الفعلية.</x:v>
      </x:c>
      <x:c r="P148" s="46" t="str">
        <x:f>IF(A148="SKIP","متجاوز",IF(C148="","مفتاح منتج ناقص",IF(D148="","منتج غير موجود",IF(E148="","كود مخزون ناقص",IF(F148="","مادة غير موجودة",IF(J148="","خطأ وحدة",IF(G148&lt;=0,"كمية غير صالحة","صالح")))))))</x:f>
        <x:v>صالح</x:v>
      </x:c>
    </x:row>
    <x:row r="149">
      <x:c r="A149" s="46" t="str">
        <x:v>UPSERT_INACTIVE</x:v>
      </x:c>
      <x:c r="B149" s="46" t="str">
        <x:v>بحاجة مراجعة</x:v>
      </x:c>
      <x:c r="C149" s="46" t="str">
        <x:v>hub_smoked_turkey</x:v>
      </x:c>
      <x:c r="D149" s="46" t="str">
        <x:f>IFERROR(VLOOKUP(C149,'المنتجات'!$C$2:$D$500,2,FALSE),"")</x:f>
        <x:v>حبش مدخن</x:v>
      </x:c>
      <x:c r="E149" s="46" t="str">
        <x:v>ING-VEG-TOMATO</x:v>
      </x:c>
      <x:c r="F149" s="46" t="str">
        <x:f>IFERROR(VLOOKUP(E149,'مواد المخزون'!$C$2:$J$500,2,FALSE),"")</x:f>
        <x:v>بندورة</x:v>
      </x:c>
      <x:c r="G149" s="104" t="n">
        <x:v>40</x:v>
      </x:c>
      <x:c r="H149" s="46" t="str">
        <x:v>غ</x:v>
      </x:c>
      <x:c r="I149" s="46" t="str">
        <x:f>IFERROR(VLOOKUP(E149,'مواد المخزون'!$C$2:$J$500,5,FALSE),"")</x:f>
        <x:v>كغ</x:v>
      </x:c>
      <x:c r="J149" s="104" t="n">
        <x:f>IF(OR(G149="",H149="",I149=""),"",IF(H149=I149,G149,IF(AND(H149="غ",I149="كغ"),G149/1000,IF(AND(H149="كغ",I149="غ"),G149*1000,IF(AND(H149="مل",I149="لتر"),G149/1000,IF(AND(H149="لتر",I149="مل"),G149*1000,""))))))</x:f>
        <x:v>0.04</x:v>
      </x:c>
      <x:c r="K149" s="108" t="n">
        <x:v>0</x:v>
      </x:c>
      <x:c r="L149" s="46" t="str">
        <x:v>لا</x:v>
      </x:c>
      <x:c r="M149" s="100" t="n">
        <x:f>IFERROR(VLOOKUP(E149,'مواد المخزون'!$C$2:$J$500,8,FALSE),"")</x:f>
        <x:v>9000</x:v>
      </x:c>
      <x:c r="N149" s="100" t="n">
        <x:f>IF(OR(J149="",M149=""),"",J149*M149*(1+K149/100))</x:f>
        <x:v>360</x:v>
      </x:c>
      <x:c r="O149" s="46" t="str"/>
      <x:c r="P149" s="46" t="str">
        <x:f>IF(A149="SKIP","متجاوز",IF(C149="","مفتاح منتج ناقص",IF(D149="","منتج غير موجود",IF(E149="","كود مخزون ناقص",IF(F149="","مادة غير موجودة",IF(J149="","خطأ وحدة",IF(G149&lt;=0,"كمية غير صالحة","صالح")))))))</x:f>
        <x:v>صالح</x:v>
      </x:c>
    </x:row>
    <x:row r="150">
      <x:c r="A150" s="46" t="str">
        <x:v>UPSERT_INACTIVE</x:v>
      </x:c>
      <x:c r="B150" s="46" t="str">
        <x:v>بحاجة مراجعة</x:v>
      </x:c>
      <x:c r="C150" s="46" t="str">
        <x:v>hub_mediterranean_tuna</x:v>
      </x:c>
      <x:c r="D150" s="46" t="str">
        <x:f>IFERROR(VLOOKUP(C150,'المنتجات'!$C$2:$D$500,2,FALSE),"")</x:f>
        <x:v>تونة متوسطية</x:v>
      </x:c>
      <x:c r="E150" s="46" t="str">
        <x:v>ING-BREAD-SAMOON</x:v>
      </x:c>
      <x:c r="F150" s="46" t="str">
        <x:f>IFERROR(VLOOKUP(E150,'مواد المخزون'!$C$2:$J$500,2,FALSE),"")</x:f>
        <x:v>خبز سمون</x:v>
      </x:c>
      <x:c r="G150" s="104" t="n">
        <x:v>1</x:v>
      </x:c>
      <x:c r="H150" s="46" t="str">
        <x:v>قطعة</x:v>
      </x:c>
      <x:c r="I150" s="46" t="str">
        <x:f>IFERROR(VLOOKUP(E150,'مواد المخزون'!$C$2:$J$500,5,FALSE),"")</x:f>
        <x:v>قطعة</x:v>
      </x:c>
      <x:c r="J150" s="104" t="n">
        <x:f>IF(OR(G150="",H150="",I150=""),"",IF(H150=I150,G150,IF(AND(H150="غ",I150="كغ"),G150/1000,IF(AND(H150="كغ",I150="غ"),G150*1000,IF(AND(H150="مل",I150="لتر"),G150/1000,IF(AND(H150="لتر",I150="مل"),G150*1000,""))))))</x:f>
        <x:v>1</x:v>
      </x:c>
      <x:c r="K150" s="108" t="n">
        <x:v>0</x:v>
      </x:c>
      <x:c r="L150" s="46" t="str">
        <x:v>لا</x:v>
      </x:c>
      <x:c r="M150" s="100" t="str">
        <x:f>IFERROR(VLOOKUP(E150,'مواد المخزون'!$C$2:$J$500,8,FALSE),"")</x:f>
      </x:c>
      <x:c r="N150" s="100" t="str">
        <x:f>IF(OR(J150="",M150=""),"",J150*M150*(1+K150/100))</x:f>
      </x:c>
      <x:c r="O150" s="46" t="str"/>
      <x:c r="P150" s="46" t="str">
        <x:f>IF(A150="SKIP","متجاوز",IF(C150="","مفتاح منتج ناقص",IF(D150="","منتج غير موجود",IF(E150="","كود مخزون ناقص",IF(F150="","مادة غير موجودة",IF(J150="","خطأ وحدة",IF(G150&lt;=0,"كمية غير صالحة","صالح")))))))</x:f>
        <x:v>صالح</x:v>
      </x:c>
    </x:row>
    <x:row r="151">
      <x:c r="A151" s="46" t="str">
        <x:v>UPSERT_INACTIVE</x:v>
      </x:c>
      <x:c r="B151" s="46" t="str">
        <x:v>بحاجة مراجعة</x:v>
      </x:c>
      <x:c r="C151" s="46" t="str">
        <x:v>hub_mediterranean_tuna</x:v>
      </x:c>
      <x:c r="D151" s="46" t="str">
        <x:f>IFERROR(VLOOKUP(C151,'المنتجات'!$C$2:$D$500,2,FALSE),"")</x:f>
        <x:v>تونة متوسطية</x:v>
      </x:c>
      <x:c r="E151" s="46" t="str">
        <x:v>ING-CAN-TUNA-DRAINED</x:v>
      </x:c>
      <x:c r="F151" s="46" t="str">
        <x:f>IFERROR(VLOOKUP(E151,'مواد المخزون'!$C$2:$J$500,2,FALSE),"")</x:f>
        <x:v>تونة معلبة مصفاة</x:v>
      </x:c>
      <x:c r="G151" s="104" t="n">
        <x:v>100</x:v>
      </x:c>
      <x:c r="H151" s="46" t="str">
        <x:v>غ</x:v>
      </x:c>
      <x:c r="I151" s="46" t="str">
        <x:f>IFERROR(VLOOKUP(E151,'مواد المخزون'!$C$2:$J$500,5,FALSE),"")</x:f>
        <x:v>كغ</x:v>
      </x:c>
      <x:c r="J151" s="104" t="n">
        <x:f>IF(OR(G151="",H151="",I151=""),"",IF(H151=I151,G151,IF(AND(H151="غ",I151="كغ"),G151/1000,IF(AND(H151="كغ",I151="غ"),G151*1000,IF(AND(H151="مل",I151="لتر"),G151/1000,IF(AND(H151="لتر",I151="مل"),G151*1000,""))))))</x:f>
        <x:v>0.1</x:v>
      </x:c>
      <x:c r="K151" s="108" t="n">
        <x:v>0</x:v>
      </x:c>
      <x:c r="L151" s="46" t="str">
        <x:v>لا</x:v>
      </x:c>
      <x:c r="M151" s="100" t="str">
        <x:f>IFERROR(VLOOKUP(E151,'مواد المخزون'!$C$2:$J$500,8,FALSE),"")</x:f>
      </x:c>
      <x:c r="N151" s="100" t="str">
        <x:f>IF(OR(J151="",M151=""),"",J151*M151*(1+K151/100))</x:f>
      </x:c>
      <x:c r="O151" s="46" t="str"/>
      <x:c r="P151" s="46" t="str">
        <x:f>IF(A151="SKIP","متجاوز",IF(C151="","مفتاح منتج ناقص",IF(D151="","منتج غير موجود",IF(E151="","كود مخزون ناقص",IF(F151="","مادة غير موجودة",IF(J151="","خطأ وحدة",IF(G151&lt;=0,"كمية غير صالحة","صالح")))))))</x:f>
        <x:v>صالح</x:v>
      </x:c>
    </x:row>
    <x:row r="152">
      <x:c r="A152" s="46" t="str">
        <x:v>UPSERT_INACTIVE</x:v>
      </x:c>
      <x:c r="B152" s="46" t="str">
        <x:v>بحاجة مراجعة</x:v>
      </x:c>
      <x:c r="C152" s="46" t="str">
        <x:v>hub_mediterranean_tuna</x:v>
      </x:c>
      <x:c r="D152" s="46" t="str">
        <x:f>IFERROR(VLOOKUP(C152,'المنتجات'!$C$2:$D$500,2,FALSE),"")</x:f>
        <x:v>تونة متوسطية</x:v>
      </x:c>
      <x:c r="E152" s="46" t="str">
        <x:v>ING-VEG-TOMATO</x:v>
      </x:c>
      <x:c r="F152" s="46" t="str">
        <x:f>IFERROR(VLOOKUP(E152,'مواد المخزون'!$C$2:$J$500,2,FALSE),"")</x:f>
        <x:v>بندورة</x:v>
      </x:c>
      <x:c r="G152" s="104" t="n">
        <x:v>40</x:v>
      </x:c>
      <x:c r="H152" s="46" t="str">
        <x:v>غ</x:v>
      </x:c>
      <x:c r="I152" s="46" t="str">
        <x:f>IFERROR(VLOOKUP(E152,'مواد المخزون'!$C$2:$J$500,5,FALSE),"")</x:f>
        <x:v>كغ</x:v>
      </x:c>
      <x:c r="J152" s="104" t="n">
        <x:f>IF(OR(G152="",H152="",I152=""),"",IF(H152=I152,G152,IF(AND(H152="غ",I152="كغ"),G152/1000,IF(AND(H152="كغ",I152="غ"),G152*1000,IF(AND(H152="مل",I152="لتر"),G152/1000,IF(AND(H152="لتر",I152="مل"),G152*1000,""))))))</x:f>
        <x:v>0.04</x:v>
      </x:c>
      <x:c r="K152" s="108" t="n">
        <x:v>0</x:v>
      </x:c>
      <x:c r="L152" s="46" t="str">
        <x:v>لا</x:v>
      </x:c>
      <x:c r="M152" s="100" t="n">
        <x:f>IFERROR(VLOOKUP(E152,'مواد المخزون'!$C$2:$J$500,8,FALSE),"")</x:f>
        <x:v>9000</x:v>
      </x:c>
      <x:c r="N152" s="100" t="n">
        <x:f>IF(OR(J152="",M152=""),"",J152*M152*(1+K152/100))</x:f>
        <x:v>360</x:v>
      </x:c>
      <x:c r="O152" s="46" t="str"/>
      <x:c r="P152" s="46" t="str">
        <x:f>IF(A152="SKIP","متجاوز",IF(C152="","مفتاح منتج ناقص",IF(D152="","منتج غير موجود",IF(E152="","كود مخزون ناقص",IF(F152="","مادة غير موجودة",IF(J152="","خطأ وحدة",IF(G152&lt;=0,"كمية غير صالحة","صالح")))))))</x:f>
        <x:v>صالح</x:v>
      </x:c>
    </x:row>
    <x:row r="153">
      <x:c r="A153" s="46" t="str">
        <x:v>UPSERT_INACTIVE</x:v>
      </x:c>
      <x:c r="B153" s="46" t="str">
        <x:v>بحاجة مراجعة</x:v>
      </x:c>
      <x:c r="C153" s="46" t="str">
        <x:v>hub_mediterranean_tuna</x:v>
      </x:c>
      <x:c r="D153" s="46" t="str">
        <x:f>IFERROR(VLOOKUP(C153,'المنتجات'!$C$2:$D$500,2,FALSE),"")</x:f>
        <x:v>تونة متوسطية</x:v>
      </x:c>
      <x:c r="E153" s="46" t="str">
        <x:v>ING-VEG-CUCUMBER</x:v>
      </x:c>
      <x:c r="F153" s="46" t="str">
        <x:f>IFERROR(VLOOKUP(E153,'مواد المخزون'!$C$2:$J$500,2,FALSE),"")</x:f>
        <x:v>خيار / بعجور</x:v>
      </x:c>
      <x:c r="G153" s="104" t="n">
        <x:v>40</x:v>
      </x:c>
      <x:c r="H153" s="46" t="str">
        <x:v>غ</x:v>
      </x:c>
      <x:c r="I153" s="46" t="str">
        <x:f>IFERROR(VLOOKUP(E153,'مواد المخزون'!$C$2:$J$500,5,FALSE),"")</x:f>
        <x:v>كغ</x:v>
      </x:c>
      <x:c r="J153" s="104" t="n">
        <x:f>IF(OR(G153="",H153="",I153=""),"",IF(H153=I153,G153,IF(AND(H153="غ",I153="كغ"),G153/1000,IF(AND(H153="كغ",I153="غ"),G153*1000,IF(AND(H153="مل",I153="لتر"),G153/1000,IF(AND(H153="لتر",I153="مل"),G153*1000,""))))))</x:f>
        <x:v>0.04</x:v>
      </x:c>
      <x:c r="K153" s="108" t="n">
        <x:v>0</x:v>
      </x:c>
      <x:c r="L153" s="46" t="str">
        <x:v>لا</x:v>
      </x:c>
      <x:c r="M153" s="100" t="n">
        <x:f>IFERROR(VLOOKUP(E153,'مواد المخزون'!$C$2:$J$500,8,FALSE),"")</x:f>
        <x:v>5000</x:v>
      </x:c>
      <x:c r="N153" s="100" t="n">
        <x:f>IF(OR(J153="",M153=""),"",J153*M153*(1+K153/100))</x:f>
        <x:v>200</x:v>
      </x:c>
      <x:c r="O153" s="46" t="str"/>
      <x:c r="P153" s="46" t="str">
        <x:f>IF(A153="SKIP","متجاوز",IF(C153="","مفتاح منتج ناقص",IF(D153="","منتج غير موجود",IF(E153="","كود مخزون ناقص",IF(F153="","مادة غير موجودة",IF(J153="","خطأ وحدة",IF(G153&lt;=0,"كمية غير صالحة","صالح")))))))</x:f>
        <x:v>صالح</x:v>
      </x:c>
    </x:row>
    <x:row r="154">
      <x:c r="A154" s="46" t="str">
        <x:v>UPSERT_INACTIVE</x:v>
      </x:c>
      <x:c r="B154" s="46" t="str">
        <x:v>بحاجة مراجعة</x:v>
      </x:c>
      <x:c r="C154" s="46" t="str">
        <x:v>hub_mediterranean_tuna</x:v>
      </x:c>
      <x:c r="D154" s="46" t="str">
        <x:f>IFERROR(VLOOKUP(C154,'المنتجات'!$C$2:$D$500,2,FALSE),"")</x:f>
        <x:v>تونة متوسطية</x:v>
      </x:c>
      <x:c r="E154" s="46" t="str">
        <x:v>ING-FRT-LEMON</x:v>
      </x:c>
      <x:c r="F154" s="46" t="str">
        <x:f>IFERROR(VLOOKUP(E154,'مواد المخزون'!$C$2:$J$500,2,FALSE),"")</x:f>
        <x:v>ليمون</x:v>
      </x:c>
      <x:c r="G154" s="104" t="n">
        <x:v>20</x:v>
      </x:c>
      <x:c r="H154" s="46" t="str">
        <x:v>غ</x:v>
      </x:c>
      <x:c r="I154" s="46" t="str">
        <x:f>IFERROR(VLOOKUP(E154,'مواد المخزون'!$C$2:$J$500,5,FALSE),"")</x:f>
        <x:v>كغ</x:v>
      </x:c>
      <x:c r="J154" s="104" t="n">
        <x:f>IF(OR(G154="",H154="",I154=""),"",IF(H154=I154,G154,IF(AND(H154="غ",I154="كغ"),G154/1000,IF(AND(H154="كغ",I154="غ"),G154*1000,IF(AND(H154="مل",I154="لتر"),G154/1000,IF(AND(H154="لتر",I154="مل"),G154*1000,""))))))</x:f>
        <x:v>0.02</x:v>
      </x:c>
      <x:c r="K154" s="108" t="n">
        <x:v>0</x:v>
      </x:c>
      <x:c r="L154" s="46" t="str">
        <x:v>لا</x:v>
      </x:c>
      <x:c r="M154" s="100" t="n">
        <x:f>IFERROR(VLOOKUP(E154,'مواد المخزون'!$C$2:$J$500,8,FALSE),"")</x:f>
        <x:v>30000</x:v>
      </x:c>
      <x:c r="N154" s="100" t="n">
        <x:f>IF(OR(J154="",M154=""),"",J154*M154*(1+K154/100))</x:f>
        <x:v>600</x:v>
      </x:c>
      <x:c r="O154" s="46" t="str"/>
      <x:c r="P154" s="46" t="str">
        <x:f>IF(A154="SKIP","متجاوز",IF(C154="","مفتاح منتج ناقص",IF(D154="","منتج غير موجود",IF(E154="","كود مخزون ناقص",IF(F154="","مادة غير موجودة",IF(J154="","خطأ وحدة",IF(G154&lt;=0,"كمية غير صالحة","صالح")))))))</x:f>
        <x:v>صالح</x:v>
      </x:c>
    </x:row>
    <x:row r="155">
      <x:c r="A155" s="46" t="str">
        <x:v>UPSERT_INACTIVE</x:v>
      </x:c>
      <x:c r="B155" s="46" t="str">
        <x:v>بحاجة مراجعة</x:v>
      </x:c>
      <x:c r="C155" s="46" t="str">
        <x:v>hub_mediterranean_tuna</x:v>
      </x:c>
      <x:c r="D155" s="46" t="str">
        <x:f>IFERROR(VLOOKUP(C155,'المنتجات'!$C$2:$D$500,2,FALSE),"")</x:f>
        <x:v>تونة متوسطية</x:v>
      </x:c>
      <x:c r="E155" s="46" t="str">
        <x:v>ING-OIL-OLIVE</x:v>
      </x:c>
      <x:c r="F155" s="46" t="str">
        <x:f>IFERROR(VLOOKUP(E155,'مواد المخزون'!$C$2:$J$500,2,FALSE),"")</x:f>
        <x:v>زيت زيتون</x:v>
      </x:c>
      <x:c r="G155" s="104" t="n">
        <x:v>10</x:v>
      </x:c>
      <x:c r="H155" s="46" t="str">
        <x:v>مل</x:v>
      </x:c>
      <x:c r="I155" s="46" t="str">
        <x:f>IFERROR(VLOOKUP(E155,'مواد المخزون'!$C$2:$J$500,5,FALSE),"")</x:f>
        <x:v>لتر</x:v>
      </x:c>
      <x:c r="J155" s="104" t="n">
        <x:f>IF(OR(G155="",H155="",I155=""),"",IF(H155=I155,G155,IF(AND(H155="غ",I155="كغ"),G155/1000,IF(AND(H155="كغ",I155="غ"),G155*1000,IF(AND(H155="مل",I155="لتر"),G155/1000,IF(AND(H155="لتر",I155="مل"),G155*1000,""))))))</x:f>
        <x:v>0.01</x:v>
      </x:c>
      <x:c r="K155" s="108" t="n">
        <x:v>0</x:v>
      </x:c>
      <x:c r="L155" s="46" t="str">
        <x:v>لا</x:v>
      </x:c>
      <x:c r="M155" s="100" t="str">
        <x:f>IFERROR(VLOOKUP(E155,'مواد المخزون'!$C$2:$J$500,8,FALSE),"")</x:f>
      </x:c>
      <x:c r="N155" s="100" t="str">
        <x:f>IF(OR(J155="",M155=""),"",J155*M155*(1+K155/100))</x:f>
      </x:c>
      <x:c r="O155" s="46" t="str"/>
      <x:c r="P155" s="46" t="str">
        <x:f>IF(A155="SKIP","متجاوز",IF(C155="","مفتاح منتج ناقص",IF(D155="","منتج غير موجود",IF(E155="","كود مخزون ناقص",IF(F155="","مادة غير موجودة",IF(J155="","خطأ وحدة",IF(G155&lt;=0,"كمية غير صالحة","صالح")))))))</x:f>
        <x:v>صالح</x:v>
      </x:c>
    </x:row>
    <x:row r="156">
      <x:c r="A156" s="46" t="str">
        <x:v>UPSERT_INACTIVE</x:v>
      </x:c>
      <x:c r="B156" s="46" t="str">
        <x:v>بحاجة مراجعة</x:v>
      </x:c>
      <x:c r="C156" s="46" t="str">
        <x:v>regular_hotdog</x:v>
      </x:c>
      <x:c r="D156" s="46" t="str">
        <x:f>IFERROR(VLOOKUP(C156,'المنتجات'!$C$2:$D$500,2,FALSE),"")</x:f>
        <x:v>هوت دوغ عادي</x:v>
      </x:c>
      <x:c r="E156" s="46" t="str">
        <x:v>ING-BREAD-HOTDOG</x:v>
      </x:c>
      <x:c r="F156" s="46" t="str">
        <x:f>IFERROR(VLOOKUP(E156,'مواد المخزون'!$C$2:$J$500,2,FALSE),"")</x:f>
        <x:v>خبز هوت دوغ</x:v>
      </x:c>
      <x:c r="G156" s="104" t="n">
        <x:v>1</x:v>
      </x:c>
      <x:c r="H156" s="46" t="str">
        <x:v>قطعة</x:v>
      </x:c>
      <x:c r="I156" s="46" t="str">
        <x:f>IFERROR(VLOOKUP(E156,'مواد المخزون'!$C$2:$J$500,5,FALSE),"")</x:f>
        <x:v>قطعة</x:v>
      </x:c>
      <x:c r="J156" s="104" t="n">
        <x:f>IF(OR(G156="",H156="",I156=""),"",IF(H156=I156,G156,IF(AND(H156="غ",I156="كغ"),G156/1000,IF(AND(H156="كغ",I156="غ"),G156*1000,IF(AND(H156="مل",I156="لتر"),G156/1000,IF(AND(H156="لتر",I156="مل"),G156*1000,""))))))</x:f>
        <x:v>1</x:v>
      </x:c>
      <x:c r="K156" s="108" t="n">
        <x:v>0</x:v>
      </x:c>
      <x:c r="L156" s="46" t="str">
        <x:v>لا</x:v>
      </x:c>
      <x:c r="M156" s="100" t="n">
        <x:f>IFERROR(VLOOKUP(E156,'مواد المخزون'!$C$2:$J$500,8,FALSE),"")</x:f>
        <x:v>1000</x:v>
      </x:c>
      <x:c r="N156" s="100" t="n">
        <x:f>IF(OR(J156="",M156=""),"",J156*M156*(1+K156/100))</x:f>
        <x:v>1000</x:v>
      </x:c>
      <x:c r="O156" s="46" t="str"/>
      <x:c r="P156" s="46" t="str">
        <x:f>IF(A156="SKIP","متجاوز",IF(C156="","مفتاح منتج ناقص",IF(D156="","منتج غير موجود",IF(E156="","كود مخزون ناقص",IF(F156="","مادة غير موجودة",IF(J156="","خطأ وحدة",IF(G156&lt;=0,"كمية غير صالحة","صالح")))))))</x:f>
        <x:v>صالح</x:v>
      </x:c>
    </x:row>
    <x:row r="157">
      <x:c r="A157" s="46" t="str">
        <x:v>UPSERT_INACTIVE</x:v>
      </x:c>
      <x:c r="B157" s="46" t="str">
        <x:v>بحاجة مراجعة</x:v>
      </x:c>
      <x:c r="C157" s="46" t="str">
        <x:v>regular_hotdog</x:v>
      </x:c>
      <x:c r="D157" s="46" t="str">
        <x:f>IFERROR(VLOOKUP(C157,'المنتجات'!$C$2:$D$500,2,FALSE),"")</x:f>
        <x:v>هوت دوغ عادي</x:v>
      </x:c>
      <x:c r="E157" s="46" t="str">
        <x:v>ING-MEAT-HOTDOG</x:v>
      </x:c>
      <x:c r="F157" s="46" t="str">
        <x:f>IFERROR(VLOOKUP(E157,'مواد المخزون'!$C$2:$J$500,2,FALSE),"")</x:f>
        <x:v>نقانق هوت دوغ</x:v>
      </x:c>
      <x:c r="G157" s="104" t="n">
        <x:v>1</x:v>
      </x:c>
      <x:c r="H157" s="46" t="str">
        <x:v>قطعة</x:v>
      </x:c>
      <x:c r="I157" s="46" t="str">
        <x:f>IFERROR(VLOOKUP(E157,'مواد المخزون'!$C$2:$J$500,5,FALSE),"")</x:f>
        <x:v>قطعة</x:v>
      </x:c>
      <x:c r="J157" s="104" t="n">
        <x:f>IF(OR(G157="",H157="",I157=""),"",IF(H157=I157,G157,IF(AND(H157="غ",I157="كغ"),G157/1000,IF(AND(H157="كغ",I157="غ"),G157*1000,IF(AND(H157="مل",I157="لتر"),G157/1000,IF(AND(H157="لتر",I157="مل"),G157*1000,""))))))</x:f>
        <x:v>1</x:v>
      </x:c>
      <x:c r="K157" s="108" t="n">
        <x:v>0</x:v>
      </x:c>
      <x:c r="L157" s="46" t="str">
        <x:v>لا</x:v>
      </x:c>
      <x:c r="M157" s="100" t="n">
        <x:f>IFERROR(VLOOKUP(E157,'مواد المخزون'!$C$2:$J$500,8,FALSE),"")</x:f>
        <x:v>4000</x:v>
      </x:c>
      <x:c r="N157" s="100" t="n">
        <x:f>IF(OR(J157="",M157=""),"",J157*M157*(1+K157/100))</x:f>
        <x:v>4000</x:v>
      </x:c>
      <x:c r="O157" s="46" t="str"/>
      <x:c r="P157" s="46" t="str">
        <x:f>IF(A157="SKIP","متجاوز",IF(C157="","مفتاح منتج ناقص",IF(D157="","منتج غير موجود",IF(E157="","كود مخزون ناقص",IF(F157="","مادة غير موجودة",IF(J157="","خطأ وحدة",IF(G157&lt;=0,"كمية غير صالحة","صالح")))))))</x:f>
        <x:v>صالح</x:v>
      </x:c>
    </x:row>
    <x:row r="158">
      <x:c r="A158" s="46" t="str">
        <x:v>UPSERT_INACTIVE</x:v>
      </x:c>
      <x:c r="B158" s="46" t="str">
        <x:v>بحاجة مراجعة</x:v>
      </x:c>
      <x:c r="C158" s="46" t="str">
        <x:v>regular_hotdog</x:v>
      </x:c>
      <x:c r="D158" s="46" t="str">
        <x:f>IFERROR(VLOOKUP(C158,'المنتجات'!$C$2:$D$500,2,FALSE),"")</x:f>
        <x:v>هوت دوغ عادي</x:v>
      </x:c>
      <x:c r="E158" s="46" t="str">
        <x:v>ING-SAUCE-KETCHUP</x:v>
      </x:c>
      <x:c r="F158" s="46" t="str">
        <x:f>IFERROR(VLOOKUP(E158,'مواد المخزون'!$C$2:$J$500,2,FALSE),"")</x:f>
        <x:v>كاتشب</x:v>
      </x:c>
      <x:c r="G158" s="104" t="n">
        <x:v>20</x:v>
      </x:c>
      <x:c r="H158" s="46" t="str">
        <x:v>غ</x:v>
      </x:c>
      <x:c r="I158" s="46" t="str">
        <x:f>IFERROR(VLOOKUP(E158,'مواد المخزون'!$C$2:$J$500,5,FALSE),"")</x:f>
        <x:v>كغ</x:v>
      </x:c>
      <x:c r="J158" s="104" t="n">
        <x:f>IF(OR(G158="",H158="",I158=""),"",IF(H158=I158,G158,IF(AND(H158="غ",I158="كغ"),G158/1000,IF(AND(H158="كغ",I158="غ"),G158*1000,IF(AND(H158="مل",I158="لتر"),G158/1000,IF(AND(H158="لتر",I158="مل"),G158*1000,""))))))</x:f>
        <x:v>0.02</x:v>
      </x:c>
      <x:c r="K158" s="108" t="n">
        <x:v>0</x:v>
      </x:c>
      <x:c r="L158" s="46" t="str">
        <x:v>لا</x:v>
      </x:c>
      <x:c r="M158" s="100" t="n">
        <x:f>IFERROR(VLOOKUP(E158,'مواد المخزون'!$C$2:$J$500,8,FALSE),"")</x:f>
        <x:v>33333.33</x:v>
      </x:c>
      <x:c r="N158" s="100" t="n">
        <x:f>IF(OR(J158="",M158=""),"",J158*M158*(1+K158/100))</x:f>
        <x:v>666.6666</x:v>
      </x:c>
      <x:c r="O158" s="46" t="str"/>
      <x:c r="P158" s="46" t="str">
        <x:f>IF(A158="SKIP","متجاوز",IF(C158="","مفتاح منتج ناقص",IF(D158="","منتج غير موجود",IF(E158="","كود مخزون ناقص",IF(F158="","مادة غير موجودة",IF(J158="","خطأ وحدة",IF(G158&lt;=0,"كمية غير صالحة","صالح")))))))</x:f>
        <x:v>صالح</x:v>
      </x:c>
    </x:row>
    <x:row r="159">
      <x:c r="A159" s="46" t="str">
        <x:v>UPSERT_INACTIVE</x:v>
      </x:c>
      <x:c r="B159" s="46" t="str">
        <x:v>بحاجة مراجعة</x:v>
      </x:c>
      <x:c r="C159" s="46" t="str">
        <x:v>regular_hotdog</x:v>
      </x:c>
      <x:c r="D159" s="46" t="str">
        <x:f>IFERROR(VLOOKUP(C159,'المنتجات'!$C$2:$D$500,2,FALSE),"")</x:f>
        <x:v>هوت دوغ عادي</x:v>
      </x:c>
      <x:c r="E159" s="46" t="str">
        <x:v>ING-SAUCE-MUSTARD</x:v>
      </x:c>
      <x:c r="F159" s="46" t="str">
        <x:f>IFERROR(VLOOKUP(E159,'مواد المخزون'!$C$2:$J$500,2,FALSE),"")</x:f>
        <x:v>خردل</x:v>
      </x:c>
      <x:c r="G159" s="104" t="n">
        <x:v>10</x:v>
      </x:c>
      <x:c r="H159" s="46" t="str">
        <x:v>غ</x:v>
      </x:c>
      <x:c r="I159" s="46" t="str">
        <x:f>IFERROR(VLOOKUP(E159,'مواد المخزون'!$C$2:$J$500,5,FALSE),"")</x:f>
        <x:v>كغ</x:v>
      </x:c>
      <x:c r="J159" s="104" t="n">
        <x:f>IF(OR(G159="",H159="",I159=""),"",IF(H159=I159,G159,IF(AND(H159="غ",I159="كغ"),G159/1000,IF(AND(H159="كغ",I159="غ"),G159*1000,IF(AND(H159="مل",I159="لتر"),G159/1000,IF(AND(H159="لتر",I159="مل"),G159*1000,""))))))</x:f>
        <x:v>0.01</x:v>
      </x:c>
      <x:c r="K159" s="108" t="n">
        <x:v>0</x:v>
      </x:c>
      <x:c r="L159" s="46" t="str">
        <x:v>لا</x:v>
      </x:c>
      <x:c r="M159" s="100" t="n">
        <x:f>IFERROR(VLOOKUP(E159,'مواد المخزون'!$C$2:$J$500,8,FALSE),"")</x:f>
        <x:v>66666.67</x:v>
      </x:c>
      <x:c r="N159" s="100" t="n">
        <x:f>IF(OR(J159="",M159=""),"",J159*M159*(1+K159/100))</x:f>
        <x:v>666.6667</x:v>
      </x:c>
      <x:c r="O159" s="46" t="str"/>
      <x:c r="P159" s="46" t="str">
        <x:f>IF(A159="SKIP","متجاوز",IF(C159="","مفتاح منتج ناقص",IF(D159="","منتج غير موجود",IF(E159="","كود مخزون ناقص",IF(F159="","مادة غير موجودة",IF(J159="","خطأ وحدة",IF(G159&lt;=0,"كمية غير صالحة","صالح")))))))</x:f>
        <x:v>صالح</x:v>
      </x:c>
    </x:row>
    <x:row r="160">
      <x:c r="A160" s="46" t="str">
        <x:v>UPSERT_INACTIVE</x:v>
      </x:c>
      <x:c r="B160" s="46" t="str">
        <x:v>بحاجة مراجعة</x:v>
      </x:c>
      <x:c r="C160" s="46" t="str">
        <x:v>regular_hotdog</x:v>
      </x:c>
      <x:c r="D160" s="46" t="str">
        <x:f>IFERROR(VLOOKUP(C160,'المنتجات'!$C$2:$D$500,2,FALSE),"")</x:f>
        <x:v>هوت دوغ عادي</x:v>
      </x:c>
      <x:c r="E160" s="46" t="str">
        <x:v>ING-PICKLE-MIXED-WEIGHT</x:v>
      </x:c>
      <x:c r="F160" s="46" t="str">
        <x:f>IFERROR(VLOOKUP(E160,'مواد المخزون'!$C$2:$J$500,2,FALSE),"")</x:f>
        <x:v>مخلل مشكل بالوزن</x:v>
      </x:c>
      <x:c r="G160" s="104" t="n">
        <x:v>25</x:v>
      </x:c>
      <x:c r="H160" s="46" t="str">
        <x:v>غ</x:v>
      </x:c>
      <x:c r="I160" s="46" t="str">
        <x:f>IFERROR(VLOOKUP(E160,'مواد المخزون'!$C$2:$J$500,5,FALSE),"")</x:f>
        <x:v>كغ</x:v>
      </x:c>
      <x:c r="J160" s="104" t="n">
        <x:f>IF(OR(G160="",H160="",I160=""),"",IF(H160=I160,G160,IF(AND(H160="غ",I160="كغ"),G160/1000,IF(AND(H160="كغ",I160="غ"),G160*1000,IF(AND(H160="مل",I160="لتر"),G160/1000,IF(AND(H160="لتر",I160="مل"),G160*1000,""))))))</x:f>
        <x:v>0.025</x:v>
      </x:c>
      <x:c r="K160" s="108" t="n">
        <x:v>0</x:v>
      </x:c>
      <x:c r="L160" s="46" t="str">
        <x:v>لا</x:v>
      </x:c>
      <x:c r="M160" s="100" t="str">
        <x:f>IFERROR(VLOOKUP(E160,'مواد المخزون'!$C$2:$J$500,8,FALSE),"")</x:f>
      </x:c>
      <x:c r="N160" s="100" t="str">
        <x:f>IF(OR(J160="",M160=""),"",J160*M160*(1+K160/100))</x:f>
      </x:c>
      <x:c r="O160" s="46" t="str"/>
      <x:c r="P160" s="46" t="str">
        <x:f>IF(A160="SKIP","متجاوز",IF(C160="","مفتاح منتج ناقص",IF(D160="","منتج غير موجود",IF(E160="","كود مخزون ناقص",IF(F160="","مادة غير موجودة",IF(J160="","خطأ وحدة",IF(G160&lt;=0,"كمية غير صالحة","صالح")))))))</x:f>
        <x:v>صالح</x:v>
      </x:c>
    </x:row>
    <x:row r="161">
      <x:c r="A161" s="46" t="str">
        <x:v>UPSERT_INACTIVE</x:v>
      </x:c>
      <x:c r="B161" s="46" t="str">
        <x:v>بحاجة مراجعة</x:v>
      </x:c>
      <x:c r="C161" s="46" t="str">
        <x:v>regular_hotdog</x:v>
      </x:c>
      <x:c r="D161" s="46" t="str">
        <x:f>IFERROR(VLOOKUP(C161,'المنتجات'!$C$2:$D$500,2,FALSE),"")</x:f>
        <x:v>هوت دوغ عادي</x:v>
      </x:c>
      <x:c r="E161" s="46" t="str">
        <x:v>ING-VEG-ONION</x:v>
      </x:c>
      <x:c r="F161" s="46" t="str">
        <x:f>IFERROR(VLOOKUP(E161,'مواد المخزون'!$C$2:$J$500,2,FALSE),"")</x:f>
        <x:v>بصل</x:v>
      </x:c>
      <x:c r="G161" s="104" t="n">
        <x:v>20</x:v>
      </x:c>
      <x:c r="H161" s="46" t="str">
        <x:v>غ</x:v>
      </x:c>
      <x:c r="I161" s="46" t="str">
        <x:f>IFERROR(VLOOKUP(E161,'مواد المخزون'!$C$2:$J$500,5,FALSE),"")</x:f>
        <x:v>كغ</x:v>
      </x:c>
      <x:c r="J161" s="104" t="n">
        <x:f>IF(OR(G161="",H161="",I161=""),"",IF(H161=I161,G161,IF(AND(H161="غ",I161="كغ"),G161/1000,IF(AND(H161="كغ",I161="غ"),G161*1000,IF(AND(H161="مل",I161="لتر"),G161/1000,IF(AND(H161="لتر",I161="مل"),G161*1000,""))))))</x:f>
        <x:v>0.02</x:v>
      </x:c>
      <x:c r="K161" s="108" t="n">
        <x:v>0</x:v>
      </x:c>
      <x:c r="L161" s="46" t="str">
        <x:v>لا</x:v>
      </x:c>
      <x:c r="M161" s="100" t="n">
        <x:f>IFERROR(VLOOKUP(E161,'مواد المخزون'!$C$2:$J$500,8,FALSE),"")</x:f>
        <x:v>12000</x:v>
      </x:c>
      <x:c r="N161" s="100" t="n">
        <x:f>IF(OR(J161="",M161=""),"",J161*M161*(1+K161/100))</x:f>
        <x:v>240</x:v>
      </x:c>
      <x:c r="O161" s="46" t="str"/>
      <x:c r="P161" s="46" t="str">
        <x:f>IF(A161="SKIP","متجاوز",IF(C161="","مفتاح منتج ناقص",IF(D161="","منتج غير موجود",IF(E161="","كود مخزون ناقص",IF(F161="","مادة غير موجودة",IF(J161="","خطأ وحدة",IF(G161&lt;=0,"كمية غير صالحة","صالح")))))))</x:f>
        <x:v>صالح</x:v>
      </x:c>
    </x:row>
    <x:row r="162">
      <x:c r="A162" s="46" t="str">
        <x:v>UPSERT_INACTIVE</x:v>
      </x:c>
      <x:c r="B162" s="46" t="str">
        <x:v>بحاجة مراجعة</x:v>
      </x:c>
      <x:c r="C162" s="46" t="str">
        <x:v>spicy_hotdog</x:v>
      </x:c>
      <x:c r="D162" s="46" t="str">
        <x:f>IFERROR(VLOOKUP(C162,'المنتجات'!$C$2:$D$500,2,FALSE),"")</x:f>
        <x:v>سبايسي</x:v>
      </x:c>
      <x:c r="E162" s="46" t="str">
        <x:v>ING-BREAD-HOTDOG</x:v>
      </x:c>
      <x:c r="F162" s="46" t="str">
        <x:f>IFERROR(VLOOKUP(E162,'مواد المخزون'!$C$2:$J$500,2,FALSE),"")</x:f>
        <x:v>خبز هوت دوغ</x:v>
      </x:c>
      <x:c r="G162" s="104" t="n">
        <x:v>1</x:v>
      </x:c>
      <x:c r="H162" s="46" t="str">
        <x:v>قطعة</x:v>
      </x:c>
      <x:c r="I162" s="46" t="str">
        <x:f>IFERROR(VLOOKUP(E162,'مواد المخزون'!$C$2:$J$500,5,FALSE),"")</x:f>
        <x:v>قطعة</x:v>
      </x:c>
      <x:c r="J162" s="104" t="n">
        <x:f>IF(OR(G162="",H162="",I162=""),"",IF(H162=I162,G162,IF(AND(H162="غ",I162="كغ"),G162/1000,IF(AND(H162="كغ",I162="غ"),G162*1000,IF(AND(H162="مل",I162="لتر"),G162/1000,IF(AND(H162="لتر",I162="مل"),G162*1000,""))))))</x:f>
        <x:v>1</x:v>
      </x:c>
      <x:c r="K162" s="108" t="n">
        <x:v>0</x:v>
      </x:c>
      <x:c r="L162" s="46" t="str">
        <x:v>لا</x:v>
      </x:c>
      <x:c r="M162" s="100" t="n">
        <x:f>IFERROR(VLOOKUP(E162,'مواد المخزون'!$C$2:$J$500,8,FALSE),"")</x:f>
        <x:v>1000</x:v>
      </x:c>
      <x:c r="N162" s="100" t="n">
        <x:f>IF(OR(J162="",M162=""),"",J162*M162*(1+K162/100))</x:f>
        <x:v>1000</x:v>
      </x:c>
      <x:c r="O162" s="46" t="str"/>
      <x:c r="P162" s="46" t="str">
        <x:f>IF(A162="SKIP","متجاوز",IF(C162="","مفتاح منتج ناقص",IF(D162="","منتج غير موجود",IF(E162="","كود مخزون ناقص",IF(F162="","مادة غير موجودة",IF(J162="","خطأ وحدة",IF(G162&lt;=0,"كمية غير صالحة","صالح")))))))</x:f>
        <x:v>صالح</x:v>
      </x:c>
    </x:row>
    <x:row r="163">
      <x:c r="A163" s="46" t="str">
        <x:v>UPSERT_INACTIVE</x:v>
      </x:c>
      <x:c r="B163" s="46" t="str">
        <x:v>بحاجة مراجعة</x:v>
      </x:c>
      <x:c r="C163" s="46" t="str">
        <x:v>spicy_hotdog</x:v>
      </x:c>
      <x:c r="D163" s="46" t="str">
        <x:f>IFERROR(VLOOKUP(C163,'المنتجات'!$C$2:$D$500,2,FALSE),"")</x:f>
        <x:v>سبايسي</x:v>
      </x:c>
      <x:c r="E163" s="46" t="str">
        <x:v>ING-MEAT-HOTDOG</x:v>
      </x:c>
      <x:c r="F163" s="46" t="str">
        <x:f>IFERROR(VLOOKUP(E163,'مواد المخزون'!$C$2:$J$500,2,FALSE),"")</x:f>
        <x:v>نقانق هوت دوغ</x:v>
      </x:c>
      <x:c r="G163" s="104" t="n">
        <x:v>1</x:v>
      </x:c>
      <x:c r="H163" s="46" t="str">
        <x:v>قطعة</x:v>
      </x:c>
      <x:c r="I163" s="46" t="str">
        <x:f>IFERROR(VLOOKUP(E163,'مواد المخزون'!$C$2:$J$500,5,FALSE),"")</x:f>
        <x:v>قطعة</x:v>
      </x:c>
      <x:c r="J163" s="104" t="n">
        <x:f>IF(OR(G163="",H163="",I163=""),"",IF(H163=I163,G163,IF(AND(H163="غ",I163="كغ"),G163/1000,IF(AND(H163="كغ",I163="غ"),G163*1000,IF(AND(H163="مل",I163="لتر"),G163/1000,IF(AND(H163="لتر",I163="مل"),G163*1000,""))))))</x:f>
        <x:v>1</x:v>
      </x:c>
      <x:c r="K163" s="108" t="n">
        <x:v>0</x:v>
      </x:c>
      <x:c r="L163" s="46" t="str">
        <x:v>لا</x:v>
      </x:c>
      <x:c r="M163" s="100" t="n">
        <x:f>IFERROR(VLOOKUP(E163,'مواد المخزون'!$C$2:$J$500,8,FALSE),"")</x:f>
        <x:v>4000</x:v>
      </x:c>
      <x:c r="N163" s="100" t="n">
        <x:f>IF(OR(J163="",M163=""),"",J163*M163*(1+K163/100))</x:f>
        <x:v>4000</x:v>
      </x:c>
      <x:c r="O163" s="46" t="str"/>
      <x:c r="P163" s="46" t="str">
        <x:f>IF(A163="SKIP","متجاوز",IF(C163="","مفتاح منتج ناقص",IF(D163="","منتج غير موجود",IF(E163="","كود مخزون ناقص",IF(F163="","مادة غير موجودة",IF(J163="","خطأ وحدة",IF(G163&lt;=0,"كمية غير صالحة","صالح")))))))</x:f>
        <x:v>صالح</x:v>
      </x:c>
    </x:row>
    <x:row r="164">
      <x:c r="A164" s="46" t="str">
        <x:v>UPSERT_INACTIVE</x:v>
      </x:c>
      <x:c r="B164" s="46" t="str">
        <x:v>بحاجة مراجعة</x:v>
      </x:c>
      <x:c r="C164" s="46" t="str">
        <x:v>spicy_hotdog</x:v>
      </x:c>
      <x:c r="D164" s="46" t="str">
        <x:f>IFERROR(VLOOKUP(C164,'المنتجات'!$C$2:$D$500,2,FALSE),"")</x:f>
        <x:v>سبايسي</x:v>
      </x:c>
      <x:c r="E164" s="46" t="str">
        <x:v>ING-SAUCE-KETCHUP</x:v>
      </x:c>
      <x:c r="F164" s="46" t="str">
        <x:f>IFERROR(VLOOKUP(E164,'مواد المخزون'!$C$2:$J$500,2,FALSE),"")</x:f>
        <x:v>كاتشب</x:v>
      </x:c>
      <x:c r="G164" s="104" t="n">
        <x:v>15</x:v>
      </x:c>
      <x:c r="H164" s="46" t="str">
        <x:v>غ</x:v>
      </x:c>
      <x:c r="I164" s="46" t="str">
        <x:f>IFERROR(VLOOKUP(E164,'مواد المخزون'!$C$2:$J$500,5,FALSE),"")</x:f>
        <x:v>كغ</x:v>
      </x:c>
      <x:c r="J164" s="104" t="n">
        <x:f>IF(OR(G164="",H164="",I164=""),"",IF(H164=I164,G164,IF(AND(H164="غ",I164="كغ"),G164/1000,IF(AND(H164="كغ",I164="غ"),G164*1000,IF(AND(H164="مل",I164="لتر"),G164/1000,IF(AND(H164="لتر",I164="مل"),G164*1000,""))))))</x:f>
        <x:v>0.015</x:v>
      </x:c>
      <x:c r="K164" s="108" t="n">
        <x:v>0</x:v>
      </x:c>
      <x:c r="L164" s="46" t="str">
        <x:v>لا</x:v>
      </x:c>
      <x:c r="M164" s="100" t="n">
        <x:f>IFERROR(VLOOKUP(E164,'مواد المخزون'!$C$2:$J$500,8,FALSE),"")</x:f>
        <x:v>33333.33</x:v>
      </x:c>
      <x:c r="N164" s="100" t="n">
        <x:f>IF(OR(J164="",M164=""),"",J164*M164*(1+K164/100))</x:f>
        <x:v>499.99995</x:v>
      </x:c>
      <x:c r="O164" s="46" t="str"/>
      <x:c r="P164" s="46" t="str">
        <x:f>IF(A164="SKIP","متجاوز",IF(C164="","مفتاح منتج ناقص",IF(D164="","منتج غير موجود",IF(E164="","كود مخزون ناقص",IF(F164="","مادة غير موجودة",IF(J164="","خطأ وحدة",IF(G164&lt;=0,"كمية غير صالحة","صالح")))))))</x:f>
        <x:v>صالح</x:v>
      </x:c>
    </x:row>
    <x:row r="165">
      <x:c r="A165" s="46" t="str">
        <x:v>UPSERT_INACTIVE</x:v>
      </x:c>
      <x:c r="B165" s="46" t="str">
        <x:v>بحاجة مراجعة</x:v>
      </x:c>
      <x:c r="C165" s="46" t="str">
        <x:v>spicy_hotdog</x:v>
      </x:c>
      <x:c r="D165" s="46" t="str">
        <x:f>IFERROR(VLOOKUP(C165,'المنتجات'!$C$2:$D$500,2,FALSE),"")</x:f>
        <x:v>سبايسي</x:v>
      </x:c>
      <x:c r="E165" s="46" t="str">
        <x:v>ING-SAUCE-MUSTARD</x:v>
      </x:c>
      <x:c r="F165" s="46" t="str">
        <x:f>IFERROR(VLOOKUP(E165,'مواد المخزون'!$C$2:$J$500,2,FALSE),"")</x:f>
        <x:v>خردل</x:v>
      </x:c>
      <x:c r="G165" s="104" t="n">
        <x:v>5</x:v>
      </x:c>
      <x:c r="H165" s="46" t="str">
        <x:v>غ</x:v>
      </x:c>
      <x:c r="I165" s="46" t="str">
        <x:f>IFERROR(VLOOKUP(E165,'مواد المخزون'!$C$2:$J$500,5,FALSE),"")</x:f>
        <x:v>كغ</x:v>
      </x:c>
      <x:c r="J165" s="104" t="n">
        <x:f>IF(OR(G165="",H165="",I165=""),"",IF(H165=I165,G165,IF(AND(H165="غ",I165="كغ"),G165/1000,IF(AND(H165="كغ",I165="غ"),G165*1000,IF(AND(H165="مل",I165="لتر"),G165/1000,IF(AND(H165="لتر",I165="مل"),G165*1000,""))))))</x:f>
        <x:v>0.005</x:v>
      </x:c>
      <x:c r="K165" s="108" t="n">
        <x:v>0</x:v>
      </x:c>
      <x:c r="L165" s="46" t="str">
        <x:v>لا</x:v>
      </x:c>
      <x:c r="M165" s="100" t="n">
        <x:f>IFERROR(VLOOKUP(E165,'مواد المخزون'!$C$2:$J$500,8,FALSE),"")</x:f>
        <x:v>66666.67</x:v>
      </x:c>
      <x:c r="N165" s="100" t="n">
        <x:f>IF(OR(J165="",M165=""),"",J165*M165*(1+K165/100))</x:f>
        <x:v>333.33335</x:v>
      </x:c>
      <x:c r="O165" s="46" t="str"/>
      <x:c r="P165" s="46" t="str">
        <x:f>IF(A165="SKIP","متجاوز",IF(C165="","مفتاح منتج ناقص",IF(D165="","منتج غير موجود",IF(E165="","كود مخزون ناقص",IF(F165="","مادة غير موجودة",IF(J165="","خطأ وحدة",IF(G165&lt;=0,"كمية غير صالحة","صالح")))))))</x:f>
        <x:v>صالح</x:v>
      </x:c>
    </x:row>
    <x:row r="166">
      <x:c r="A166" s="46" t="str">
        <x:v>UPSERT_INACTIVE</x:v>
      </x:c>
      <x:c r="B166" s="46" t="str">
        <x:v>بحاجة مراجعة</x:v>
      </x:c>
      <x:c r="C166" s="46" t="str">
        <x:v>spicy_hotdog</x:v>
      </x:c>
      <x:c r="D166" s="46" t="str">
        <x:f>IFERROR(VLOOKUP(C166,'المنتجات'!$C$2:$D$500,2,FALSE),"")</x:f>
        <x:v>سبايسي</x:v>
      </x:c>
      <x:c r="E166" s="46" t="str">
        <x:v>ING-SAUCE-CHILIPASTE</x:v>
      </x:c>
      <x:c r="F166" s="46" t="str">
        <x:f>IFERROR(VLOOKUP(E166,'مواد المخزون'!$C$2:$J$500,2,FALSE),"")</x:f>
        <x:v>شطة / معجون فلفل حار</x:v>
      </x:c>
      <x:c r="G166" s="104" t="n">
        <x:v>10</x:v>
      </x:c>
      <x:c r="H166" s="46" t="str">
        <x:v>غ</x:v>
      </x:c>
      <x:c r="I166" s="46" t="str">
        <x:f>IFERROR(VLOOKUP(E166,'مواد المخزون'!$C$2:$J$500,5,FALSE),"")</x:f>
        <x:v>كغ</x:v>
      </x:c>
      <x:c r="J166" s="104" t="n">
        <x:f>IF(OR(G166="",H166="",I166=""),"",IF(H166=I166,G166,IF(AND(H166="غ",I166="كغ"),G166/1000,IF(AND(H166="كغ",I166="غ"),G166*1000,IF(AND(H166="مل",I166="لتر"),G166/1000,IF(AND(H166="لتر",I166="مل"),G166*1000,""))))))</x:f>
        <x:v>0.01</x:v>
      </x:c>
      <x:c r="K166" s="108" t="n">
        <x:v>0</x:v>
      </x:c>
      <x:c r="L166" s="46" t="str">
        <x:v>لا</x:v>
      </x:c>
      <x:c r="M166" s="100" t="n">
        <x:f>IFERROR(VLOOKUP(E166,'مواد المخزون'!$C$2:$J$500,8,FALSE),"")</x:f>
        <x:v>32000</x:v>
      </x:c>
      <x:c r="N166" s="100" t="n">
        <x:f>IF(OR(J166="",M166=""),"",J166*M166*(1+K166/100))</x:f>
        <x:v>320</x:v>
      </x:c>
      <x:c r="O166" s="46" t="str">
        <x:v>حرّاق خفيف.</x:v>
      </x:c>
      <x:c r="P166" s="46" t="str">
        <x:f>IF(A166="SKIP","متجاوز",IF(C166="","مفتاح منتج ناقص",IF(D166="","منتج غير موجود",IF(E166="","كود مخزون ناقص",IF(F166="","مادة غير موجودة",IF(J166="","خطأ وحدة",IF(G166&lt;=0,"كمية غير صالحة","صالح")))))))</x:f>
        <x:v>صالح</x:v>
      </x:c>
    </x:row>
    <x:row r="167">
      <x:c r="A167" s="46" t="str">
        <x:v>UPSERT_INACTIVE</x:v>
      </x:c>
      <x:c r="B167" s="46" t="str">
        <x:v>بحاجة مراجعة</x:v>
      </x:c>
      <x:c r="C167" s="46" t="str">
        <x:v>spicy_hotdog</x:v>
      </x:c>
      <x:c r="D167" s="46" t="str">
        <x:f>IFERROR(VLOOKUP(C167,'المنتجات'!$C$2:$D$500,2,FALSE),"")</x:f>
        <x:v>سبايسي</x:v>
      </x:c>
      <x:c r="E167" s="46" t="str">
        <x:v>ING-PICKLE-MIXED-WEIGHT</x:v>
      </x:c>
      <x:c r="F167" s="46" t="str">
        <x:f>IFERROR(VLOOKUP(E167,'مواد المخزون'!$C$2:$J$500,2,FALSE),"")</x:f>
        <x:v>مخلل مشكل بالوزن</x:v>
      </x:c>
      <x:c r="G167" s="104" t="n">
        <x:v>25</x:v>
      </x:c>
      <x:c r="H167" s="46" t="str">
        <x:v>غ</x:v>
      </x:c>
      <x:c r="I167" s="46" t="str">
        <x:f>IFERROR(VLOOKUP(E167,'مواد المخزون'!$C$2:$J$500,5,FALSE),"")</x:f>
        <x:v>كغ</x:v>
      </x:c>
      <x:c r="J167" s="104" t="n">
        <x:f>IF(OR(G167="",H167="",I167=""),"",IF(H167=I167,G167,IF(AND(H167="غ",I167="كغ"),G167/1000,IF(AND(H167="كغ",I167="غ"),G167*1000,IF(AND(H167="مل",I167="لتر"),G167/1000,IF(AND(H167="لتر",I167="مل"),G167*1000,""))))))</x:f>
        <x:v>0.025</x:v>
      </x:c>
      <x:c r="K167" s="108" t="n">
        <x:v>0</x:v>
      </x:c>
      <x:c r="L167" s="46" t="str">
        <x:v>لا</x:v>
      </x:c>
      <x:c r="M167" s="100" t="str">
        <x:f>IFERROR(VLOOKUP(E167,'مواد المخزون'!$C$2:$J$500,8,FALSE),"")</x:f>
      </x:c>
      <x:c r="N167" s="100" t="str">
        <x:f>IF(OR(J167="",M167=""),"",J167*M167*(1+K167/100))</x:f>
      </x:c>
      <x:c r="O167" s="46" t="str"/>
      <x:c r="P167" s="46" t="str">
        <x:f>IF(A167="SKIP","متجاوز",IF(C167="","مفتاح منتج ناقص",IF(D167="","منتج غير موجود",IF(E167="","كود مخزون ناقص",IF(F167="","مادة غير موجودة",IF(J167="","خطأ وحدة",IF(G167&lt;=0,"كمية غير صالحة","صالح")))))))</x:f>
        <x:v>صالح</x:v>
      </x:c>
    </x:row>
    <x:row r="168">
      <x:c r="A168" s="46" t="str">
        <x:v>UPSERT_INACTIVE</x:v>
      </x:c>
      <x:c r="B168" s="46" t="str">
        <x:v>بحاجة مراجعة</x:v>
      </x:c>
      <x:c r="C168" s="46" t="str">
        <x:v>cheese_hotdog</x:v>
      </x:c>
      <x:c r="D168" s="46" t="str">
        <x:f>IFERROR(VLOOKUP(C168,'المنتجات'!$C$2:$D$500,2,FALSE),"")</x:f>
        <x:v>هوت دوغ بالجبنة</x:v>
      </x:c>
      <x:c r="E168" s="46" t="str">
        <x:v>ING-BREAD-HOTDOG</x:v>
      </x:c>
      <x:c r="F168" s="46" t="str">
        <x:f>IFERROR(VLOOKUP(E168,'مواد المخزون'!$C$2:$J$500,2,FALSE),"")</x:f>
        <x:v>خبز هوت دوغ</x:v>
      </x:c>
      <x:c r="G168" s="104" t="n">
        <x:v>1</x:v>
      </x:c>
      <x:c r="H168" s="46" t="str">
        <x:v>قطعة</x:v>
      </x:c>
      <x:c r="I168" s="46" t="str">
        <x:f>IFERROR(VLOOKUP(E168,'مواد المخزون'!$C$2:$J$500,5,FALSE),"")</x:f>
        <x:v>قطعة</x:v>
      </x:c>
      <x:c r="J168" s="104" t="n">
        <x:f>IF(OR(G168="",H168="",I168=""),"",IF(H168=I168,G168,IF(AND(H168="غ",I168="كغ"),G168/1000,IF(AND(H168="كغ",I168="غ"),G168*1000,IF(AND(H168="مل",I168="لتر"),G168/1000,IF(AND(H168="لتر",I168="مل"),G168*1000,""))))))</x:f>
        <x:v>1</x:v>
      </x:c>
      <x:c r="K168" s="108" t="n">
        <x:v>0</x:v>
      </x:c>
      <x:c r="L168" s="46" t="str">
        <x:v>لا</x:v>
      </x:c>
      <x:c r="M168" s="100" t="n">
        <x:f>IFERROR(VLOOKUP(E168,'مواد المخزون'!$C$2:$J$500,8,FALSE),"")</x:f>
        <x:v>1000</x:v>
      </x:c>
      <x:c r="N168" s="100" t="n">
        <x:f>IF(OR(J168="",M168=""),"",J168*M168*(1+K168/100))</x:f>
        <x:v>1000</x:v>
      </x:c>
      <x:c r="O168" s="46" t="str"/>
      <x:c r="P168" s="46" t="str">
        <x:f>IF(A168="SKIP","متجاوز",IF(C168="","مفتاح منتج ناقص",IF(D168="","منتج غير موجود",IF(E168="","كود مخزون ناقص",IF(F168="","مادة غير موجودة",IF(J168="","خطأ وحدة",IF(G168&lt;=0,"كمية غير صالحة","صالح")))))))</x:f>
        <x:v>صالح</x:v>
      </x:c>
    </x:row>
    <x:row r="169">
      <x:c r="A169" s="46" t="str">
        <x:v>UPSERT_INACTIVE</x:v>
      </x:c>
      <x:c r="B169" s="46" t="str">
        <x:v>بحاجة مراجعة</x:v>
      </x:c>
      <x:c r="C169" s="46" t="str">
        <x:v>cheese_hotdog</x:v>
      </x:c>
      <x:c r="D169" s="46" t="str">
        <x:f>IFERROR(VLOOKUP(C169,'المنتجات'!$C$2:$D$500,2,FALSE),"")</x:f>
        <x:v>هوت دوغ بالجبنة</x:v>
      </x:c>
      <x:c r="E169" s="46" t="str">
        <x:v>ING-MEAT-HOTDOG</x:v>
      </x:c>
      <x:c r="F169" s="46" t="str">
        <x:f>IFERROR(VLOOKUP(E169,'مواد المخزون'!$C$2:$J$500,2,FALSE),"")</x:f>
        <x:v>نقانق هوت دوغ</x:v>
      </x:c>
      <x:c r="G169" s="104" t="n">
        <x:v>1</x:v>
      </x:c>
      <x:c r="H169" s="46" t="str">
        <x:v>قطعة</x:v>
      </x:c>
      <x:c r="I169" s="46" t="str">
        <x:f>IFERROR(VLOOKUP(E169,'مواد المخزون'!$C$2:$J$500,5,FALSE),"")</x:f>
        <x:v>قطعة</x:v>
      </x:c>
      <x:c r="J169" s="104" t="n">
        <x:f>IF(OR(G169="",H169="",I169=""),"",IF(H169=I169,G169,IF(AND(H169="غ",I169="كغ"),G169/1000,IF(AND(H169="كغ",I169="غ"),G169*1000,IF(AND(H169="مل",I169="لتر"),G169/1000,IF(AND(H169="لتر",I169="مل"),G169*1000,""))))))</x:f>
        <x:v>1</x:v>
      </x:c>
      <x:c r="K169" s="108" t="n">
        <x:v>0</x:v>
      </x:c>
      <x:c r="L169" s="46" t="str">
        <x:v>لا</x:v>
      </x:c>
      <x:c r="M169" s="100" t="n">
        <x:f>IFERROR(VLOOKUP(E169,'مواد المخزون'!$C$2:$J$500,8,FALSE),"")</x:f>
        <x:v>4000</x:v>
      </x:c>
      <x:c r="N169" s="100" t="n">
        <x:f>IF(OR(J169="",M169=""),"",J169*M169*(1+K169/100))</x:f>
        <x:v>4000</x:v>
      </x:c>
      <x:c r="O169" s="46" t="str"/>
      <x:c r="P169" s="46" t="str">
        <x:f>IF(A169="SKIP","متجاوز",IF(C169="","مفتاح منتج ناقص",IF(D169="","منتج غير موجود",IF(E169="","كود مخزون ناقص",IF(F169="","مادة غير موجودة",IF(J169="","خطأ وحدة",IF(G169&lt;=0,"كمية غير صالحة","صالح")))))))</x:f>
        <x:v>صالح</x:v>
      </x:c>
    </x:row>
    <x:row r="170">
      <x:c r="A170" s="46" t="str">
        <x:v>UPSERT_INACTIVE</x:v>
      </x:c>
      <x:c r="B170" s="46" t="str">
        <x:v>بحاجة مراجعة</x:v>
      </x:c>
      <x:c r="C170" s="46" t="str">
        <x:v>cheese_hotdog</x:v>
      </x:c>
      <x:c r="D170" s="46" t="str">
        <x:f>IFERROR(VLOOKUP(C170,'المنتجات'!$C$2:$D$500,2,FALSE),"")</x:f>
        <x:v>هوت دوغ بالجبنة</x:v>
      </x:c>
      <x:c r="E170" s="46" t="str">
        <x:v>ING-CHEESE-BURGER-SLICE</x:v>
      </x:c>
      <x:c r="F170" s="46" t="str">
        <x:f>IFERROR(VLOOKUP(E170,'مواد المخزون'!$C$2:$J$500,2,FALSE),"")</x:f>
        <x:v>شريحة جبنة برغر</x:v>
      </x:c>
      <x:c r="G170" s="104" t="n">
        <x:v>1</x:v>
      </x:c>
      <x:c r="H170" s="46" t="str">
        <x:v>قطعة</x:v>
      </x:c>
      <x:c r="I170" s="46" t="str">
        <x:f>IFERROR(VLOOKUP(E170,'مواد المخزون'!$C$2:$J$500,5,FALSE),"")</x:f>
        <x:v>قطعة</x:v>
      </x:c>
      <x:c r="J170" s="104" t="n">
        <x:f>IF(OR(G170="",H170="",I170=""),"",IF(H170=I170,G170,IF(AND(H170="غ",I170="كغ"),G170/1000,IF(AND(H170="كغ",I170="غ"),G170*1000,IF(AND(H170="مل",I170="لتر"),G170/1000,IF(AND(H170="لتر",I170="مل"),G170*1000,""))))))</x:f>
        <x:v>1</x:v>
      </x:c>
      <x:c r="K170" s="108" t="n">
        <x:v>0</x:v>
      </x:c>
      <x:c r="L170" s="46" t="str">
        <x:v>لا</x:v>
      </x:c>
      <x:c r="M170" s="100" t="str">
        <x:f>IFERROR(VLOOKUP(E170,'مواد المخزون'!$C$2:$J$500,8,FALSE),"")</x:f>
      </x:c>
      <x:c r="N170" s="100" t="str">
        <x:f>IF(OR(J170="",M170=""),"",J170*M170*(1+K170/100))</x:f>
      </x:c>
      <x:c r="O170" s="46" t="str"/>
      <x:c r="P170" s="46" t="str">
        <x:f>IF(A170="SKIP","متجاوز",IF(C170="","مفتاح منتج ناقص",IF(D170="","منتج غير موجود",IF(E170="","كود مخزون ناقص",IF(F170="","مادة غير موجودة",IF(J170="","خطأ وحدة",IF(G170&lt;=0,"كمية غير صالحة","صالح")))))))</x:f>
        <x:v>صالح</x:v>
      </x:c>
    </x:row>
    <x:row r="171">
      <x:c r="A171" s="46" t="str">
        <x:v>UPSERT_INACTIVE</x:v>
      </x:c>
      <x:c r="B171" s="46" t="str">
        <x:v>بحاجة مراجعة</x:v>
      </x:c>
      <x:c r="C171" s="46" t="str">
        <x:v>cheese_hotdog</x:v>
      </x:c>
      <x:c r="D171" s="46" t="str">
        <x:f>IFERROR(VLOOKUP(C171,'المنتجات'!$C$2:$D$500,2,FALSE),"")</x:f>
        <x:v>هوت دوغ بالجبنة</x:v>
      </x:c>
      <x:c r="E171" s="46" t="str">
        <x:v>ING-SAUCE-KETCHUP</x:v>
      </x:c>
      <x:c r="F171" s="46" t="str">
        <x:f>IFERROR(VLOOKUP(E171,'مواد المخزون'!$C$2:$J$500,2,FALSE),"")</x:f>
        <x:v>كاتشب</x:v>
      </x:c>
      <x:c r="G171" s="104" t="n">
        <x:v>15</x:v>
      </x:c>
      <x:c r="H171" s="46" t="str">
        <x:v>غ</x:v>
      </x:c>
      <x:c r="I171" s="46" t="str">
        <x:f>IFERROR(VLOOKUP(E171,'مواد المخزون'!$C$2:$J$500,5,FALSE),"")</x:f>
        <x:v>كغ</x:v>
      </x:c>
      <x:c r="J171" s="104" t="n">
        <x:f>IF(OR(G171="",H171="",I171=""),"",IF(H171=I171,G171,IF(AND(H171="غ",I171="كغ"),G171/1000,IF(AND(H171="كغ",I171="غ"),G171*1000,IF(AND(H171="مل",I171="لتر"),G171/1000,IF(AND(H171="لتر",I171="مل"),G171*1000,""))))))</x:f>
        <x:v>0.015</x:v>
      </x:c>
      <x:c r="K171" s="108" t="n">
        <x:v>0</x:v>
      </x:c>
      <x:c r="L171" s="46" t="str">
        <x:v>لا</x:v>
      </x:c>
      <x:c r="M171" s="100" t="n">
        <x:f>IFERROR(VLOOKUP(E171,'مواد المخزون'!$C$2:$J$500,8,FALSE),"")</x:f>
        <x:v>33333.33</x:v>
      </x:c>
      <x:c r="N171" s="100" t="n">
        <x:f>IF(OR(J171="",M171=""),"",J171*M171*(1+K171/100))</x:f>
        <x:v>499.99995</x:v>
      </x:c>
      <x:c r="O171" s="46" t="str"/>
      <x:c r="P171" s="46" t="str">
        <x:f>IF(A171="SKIP","متجاوز",IF(C171="","مفتاح منتج ناقص",IF(D171="","منتج غير موجود",IF(E171="","كود مخزون ناقص",IF(F171="","مادة غير موجودة",IF(J171="","خطأ وحدة",IF(G171&lt;=0,"كمية غير صالحة","صالح")))))))</x:f>
        <x:v>صالح</x:v>
      </x:c>
    </x:row>
    <x:row r="172">
      <x:c r="A172" s="46" t="str">
        <x:v>UPSERT_INACTIVE</x:v>
      </x:c>
      <x:c r="B172" s="46" t="str">
        <x:v>بحاجة مراجعة</x:v>
      </x:c>
      <x:c r="C172" s="46" t="str">
        <x:v>cheese_hotdog</x:v>
      </x:c>
      <x:c r="D172" s="46" t="str">
        <x:f>IFERROR(VLOOKUP(C172,'المنتجات'!$C$2:$D$500,2,FALSE),"")</x:f>
        <x:v>هوت دوغ بالجبنة</x:v>
      </x:c>
      <x:c r="E172" s="46" t="str">
        <x:v>ING-SAUCE-MUSTARD</x:v>
      </x:c>
      <x:c r="F172" s="46" t="str">
        <x:f>IFERROR(VLOOKUP(E172,'مواد المخزون'!$C$2:$J$500,2,FALSE),"")</x:f>
        <x:v>خردل</x:v>
      </x:c>
      <x:c r="G172" s="104" t="n">
        <x:v>8</x:v>
      </x:c>
      <x:c r="H172" s="46" t="str">
        <x:v>غ</x:v>
      </x:c>
      <x:c r="I172" s="46" t="str">
        <x:f>IFERROR(VLOOKUP(E172,'مواد المخزون'!$C$2:$J$500,5,FALSE),"")</x:f>
        <x:v>كغ</x:v>
      </x:c>
      <x:c r="J172" s="104" t="n">
        <x:f>IF(OR(G172="",H172="",I172=""),"",IF(H172=I172,G172,IF(AND(H172="غ",I172="كغ"),G172/1000,IF(AND(H172="كغ",I172="غ"),G172*1000,IF(AND(H172="مل",I172="لتر"),G172/1000,IF(AND(H172="لتر",I172="مل"),G172*1000,""))))))</x:f>
        <x:v>0.008</x:v>
      </x:c>
      <x:c r="K172" s="108" t="n">
        <x:v>0</x:v>
      </x:c>
      <x:c r="L172" s="46" t="str">
        <x:v>لا</x:v>
      </x:c>
      <x:c r="M172" s="100" t="n">
        <x:f>IFERROR(VLOOKUP(E172,'مواد المخزون'!$C$2:$J$500,8,FALSE),"")</x:f>
        <x:v>66666.67</x:v>
      </x:c>
      <x:c r="N172" s="100" t="n">
        <x:f>IF(OR(J172="",M172=""),"",J172*M172*(1+K172/100))</x:f>
        <x:v>533.33336</x:v>
      </x:c>
      <x:c r="O172" s="46" t="str"/>
      <x:c r="P172" s="46" t="str">
        <x:f>IF(A172="SKIP","متجاوز",IF(C172="","مفتاح منتج ناقص",IF(D172="","منتج غير موجود",IF(E172="","كود مخزون ناقص",IF(F172="","مادة غير موجودة",IF(J172="","خطأ وحدة",IF(G172&lt;=0,"كمية غير صالحة","صالح")))))))</x:f>
        <x:v>صالح</x:v>
      </x:c>
    </x:row>
    <x:row r="173">
      <x:c r="A173" s="46" t="str">
        <x:v>UPSERT_INACTIVE</x:v>
      </x:c>
      <x:c r="B173" s="46" t="str">
        <x:v>بحاجة مراجعة</x:v>
      </x:c>
      <x:c r="C173" s="46" t="str">
        <x:v>cheese_hotdog</x:v>
      </x:c>
      <x:c r="D173" s="46" t="str">
        <x:f>IFERROR(VLOOKUP(C173,'المنتجات'!$C$2:$D$500,2,FALSE),"")</x:f>
        <x:v>هوت دوغ بالجبنة</x:v>
      </x:c>
      <x:c r="E173" s="46" t="str">
        <x:v>ING-PICKLE-MIXED-WEIGHT</x:v>
      </x:c>
      <x:c r="F173" s="46" t="str">
        <x:f>IFERROR(VLOOKUP(E173,'مواد المخزون'!$C$2:$J$500,2,FALSE),"")</x:f>
        <x:v>مخلل مشكل بالوزن</x:v>
      </x:c>
      <x:c r="G173" s="104" t="n">
        <x:v>20</x:v>
      </x:c>
      <x:c r="H173" s="46" t="str">
        <x:v>غ</x:v>
      </x:c>
      <x:c r="I173" s="46" t="str">
        <x:f>IFERROR(VLOOKUP(E173,'مواد المخزون'!$C$2:$J$500,5,FALSE),"")</x:f>
        <x:v>كغ</x:v>
      </x:c>
      <x:c r="J173" s="104" t="n">
        <x:f>IF(OR(G173="",H173="",I173=""),"",IF(H173=I173,G173,IF(AND(H173="غ",I173="كغ"),G173/1000,IF(AND(H173="كغ",I173="غ"),G173*1000,IF(AND(H173="مل",I173="لتر"),G173/1000,IF(AND(H173="لتر",I173="مل"),G173*1000,""))))))</x:f>
        <x:v>0.02</x:v>
      </x:c>
      <x:c r="K173" s="108" t="n">
        <x:v>0</x:v>
      </x:c>
      <x:c r="L173" s="46" t="str">
        <x:v>لا</x:v>
      </x:c>
      <x:c r="M173" s="100" t="str">
        <x:f>IFERROR(VLOOKUP(E173,'مواد المخزون'!$C$2:$J$500,8,FALSE),"")</x:f>
      </x:c>
      <x:c r="N173" s="100" t="str">
        <x:f>IF(OR(J173="",M173=""),"",J173*M173*(1+K173/100))</x:f>
      </x:c>
      <x:c r="O173" s="46" t="str"/>
      <x:c r="P173" s="46" t="str">
        <x:f>IF(A173="SKIP","متجاوز",IF(C173="","مفتاح منتج ناقص",IF(D173="","منتج غير موجود",IF(E173="","كود مخزون ناقص",IF(F173="","مادة غير موجودة",IF(J173="","خطأ وحدة",IF(G173&lt;=0,"كمية غير صالحة","صالح")))))))</x:f>
        <x:v>صالح</x:v>
      </x:c>
    </x:row>
    <x:row r="174">
      <x:c r="A174" s="46" t="str">
        <x:v>UPSERT_INACTIVE</x:v>
      </x:c>
      <x:c r="B174" s="46" t="str">
        <x:v>بحاجة مراجعة</x:v>
      </x:c>
      <x:c r="C174" s="46" t="str">
        <x:v>black_barrel_special</x:v>
      </x:c>
      <x:c r="D174" s="46" t="str">
        <x:f>IFERROR(VLOOKUP(C174,'المنتجات'!$C$2:$D$500,2,FALSE),"")</x:f>
        <x:v>البرميل الأسود</x:v>
      </x:c>
      <x:c r="E174" s="46" t="str">
        <x:v>ING-BREAD-HOTDOG</x:v>
      </x:c>
      <x:c r="F174" s="46" t="str">
        <x:f>IFERROR(VLOOKUP(E174,'مواد المخزون'!$C$2:$J$500,2,FALSE),"")</x:f>
        <x:v>خبز هوت دوغ</x:v>
      </x:c>
      <x:c r="G174" s="104" t="n">
        <x:v>1</x:v>
      </x:c>
      <x:c r="H174" s="46" t="str">
        <x:v>قطعة</x:v>
      </x:c>
      <x:c r="I174" s="46" t="str">
        <x:f>IFERROR(VLOOKUP(E174,'مواد المخزون'!$C$2:$J$500,5,FALSE),"")</x:f>
        <x:v>قطعة</x:v>
      </x:c>
      <x:c r="J174" s="104" t="n">
        <x:f>IF(OR(G174="",H174="",I174=""),"",IF(H174=I174,G174,IF(AND(H174="غ",I174="كغ"),G174/1000,IF(AND(H174="كغ",I174="غ"),G174*1000,IF(AND(H174="مل",I174="لتر"),G174/1000,IF(AND(H174="لتر",I174="مل"),G174*1000,""))))))</x:f>
        <x:v>1</x:v>
      </x:c>
      <x:c r="K174" s="108" t="n">
        <x:v>0</x:v>
      </x:c>
      <x:c r="L174" s="46" t="str">
        <x:v>لا</x:v>
      </x:c>
      <x:c r="M174" s="100" t="n">
        <x:f>IFERROR(VLOOKUP(E174,'مواد المخزون'!$C$2:$J$500,8,FALSE),"")</x:f>
        <x:v>1000</x:v>
      </x:c>
      <x:c r="N174" s="100" t="n">
        <x:f>IF(OR(J174="",M174=""),"",J174*M174*(1+K174/100))</x:f>
        <x:v>1000</x:v>
      </x:c>
      <x:c r="O174" s="46" t="str"/>
      <x:c r="P174" s="46" t="str">
        <x:f>IF(A174="SKIP","متجاوز",IF(C174="","مفتاح منتج ناقص",IF(D174="","منتج غير موجود",IF(E174="","كود مخزون ناقص",IF(F174="","مادة غير موجودة",IF(J174="","خطأ وحدة",IF(G174&lt;=0,"كمية غير صالحة","صالح")))))))</x:f>
        <x:v>صالح</x:v>
      </x:c>
    </x:row>
    <x:row r="175">
      <x:c r="A175" s="46" t="str">
        <x:v>UPSERT_INACTIVE</x:v>
      </x:c>
      <x:c r="B175" s="46" t="str">
        <x:v>بحاجة مراجعة</x:v>
      </x:c>
      <x:c r="C175" s="46" t="str">
        <x:v>black_barrel_special</x:v>
      </x:c>
      <x:c r="D175" s="46" t="str">
        <x:f>IFERROR(VLOOKUP(C175,'المنتجات'!$C$2:$D$500,2,FALSE),"")</x:f>
        <x:v>البرميل الأسود</x:v>
      </x:c>
      <x:c r="E175" s="46" t="str">
        <x:v>ING-MEAT-HOTDOG</x:v>
      </x:c>
      <x:c r="F175" s="46" t="str">
        <x:f>IFERROR(VLOOKUP(E175,'مواد المخزون'!$C$2:$J$500,2,FALSE),"")</x:f>
        <x:v>نقانق هوت دوغ</x:v>
      </x:c>
      <x:c r="G175" s="104" t="n">
        <x:v>1</x:v>
      </x:c>
      <x:c r="H175" s="46" t="str">
        <x:v>قطعة</x:v>
      </x:c>
      <x:c r="I175" s="46" t="str">
        <x:f>IFERROR(VLOOKUP(E175,'مواد المخزون'!$C$2:$J$500,5,FALSE),"")</x:f>
        <x:v>قطعة</x:v>
      </x:c>
      <x:c r="J175" s="104" t="n">
        <x:f>IF(OR(G175="",H175="",I175=""),"",IF(H175=I175,G175,IF(AND(H175="غ",I175="كغ"),G175/1000,IF(AND(H175="كغ",I175="غ"),G175*1000,IF(AND(H175="مل",I175="لتر"),G175/1000,IF(AND(H175="لتر",I175="مل"),G175*1000,""))))))</x:f>
        <x:v>1</x:v>
      </x:c>
      <x:c r="K175" s="108" t="n">
        <x:v>0</x:v>
      </x:c>
      <x:c r="L175" s="46" t="str">
        <x:v>لا</x:v>
      </x:c>
      <x:c r="M175" s="100" t="n">
        <x:f>IFERROR(VLOOKUP(E175,'مواد المخزون'!$C$2:$J$500,8,FALSE),"")</x:f>
        <x:v>4000</x:v>
      </x:c>
      <x:c r="N175" s="100" t="n">
        <x:f>IF(OR(J175="",M175=""),"",J175*M175*(1+K175/100))</x:f>
        <x:v>4000</x:v>
      </x:c>
      <x:c r="O175" s="46" t="str"/>
      <x:c r="P175" s="46" t="str">
        <x:f>IF(A175="SKIP","متجاوز",IF(C175="","مفتاح منتج ناقص",IF(D175="","منتج غير موجود",IF(E175="","كود مخزون ناقص",IF(F175="","مادة غير موجودة",IF(J175="","خطأ وحدة",IF(G175&lt;=0,"كمية غير صالحة","صالح")))))))</x:f>
        <x:v>صالح</x:v>
      </x:c>
    </x:row>
    <x:row r="176">
      <x:c r="A176" s="46" t="str">
        <x:v>UPSERT_INACTIVE</x:v>
      </x:c>
      <x:c r="B176" s="46" t="str">
        <x:v>بحاجة مراجعة</x:v>
      </x:c>
      <x:c r="C176" s="46" t="str">
        <x:v>black_barrel_special</x:v>
      </x:c>
      <x:c r="D176" s="46" t="str">
        <x:f>IFERROR(VLOOKUP(C176,'المنتجات'!$C$2:$D$500,2,FALSE),"")</x:f>
        <x:v>البرميل الأسود</x:v>
      </x:c>
      <x:c r="E176" s="46" t="str">
        <x:v>ING-SAUCE-KETCHUP</x:v>
      </x:c>
      <x:c r="F176" s="46" t="str">
        <x:f>IFERROR(VLOOKUP(E176,'مواد المخزون'!$C$2:$J$500,2,FALSE),"")</x:f>
        <x:v>كاتشب</x:v>
      </x:c>
      <x:c r="G176" s="104" t="n">
        <x:v>20</x:v>
      </x:c>
      <x:c r="H176" s="46" t="str">
        <x:v>غ</x:v>
      </x:c>
      <x:c r="I176" s="46" t="str">
        <x:f>IFERROR(VLOOKUP(E176,'مواد المخزون'!$C$2:$J$500,5,FALSE),"")</x:f>
        <x:v>كغ</x:v>
      </x:c>
      <x:c r="J176" s="104" t="n">
        <x:f>IF(OR(G176="",H176="",I176=""),"",IF(H176=I176,G176,IF(AND(H176="غ",I176="كغ"),G176/1000,IF(AND(H176="كغ",I176="غ"),G176*1000,IF(AND(H176="مل",I176="لتر"),G176/1000,IF(AND(H176="لتر",I176="مل"),G176*1000,""))))))</x:f>
        <x:v>0.02</x:v>
      </x:c>
      <x:c r="K176" s="108" t="n">
        <x:v>0</x:v>
      </x:c>
      <x:c r="L176" s="46" t="str">
        <x:v>لا</x:v>
      </x:c>
      <x:c r="M176" s="100" t="n">
        <x:f>IFERROR(VLOOKUP(E176,'مواد المخزون'!$C$2:$J$500,8,FALSE),"")</x:f>
        <x:v>33333.33</x:v>
      </x:c>
      <x:c r="N176" s="100" t="n">
        <x:f>IF(OR(J176="",M176=""),"",J176*M176*(1+K176/100))</x:f>
        <x:v>666.6666</x:v>
      </x:c>
      <x:c r="O176" s="46" t="str"/>
      <x:c r="P176" s="46" t="str">
        <x:f>IF(A176="SKIP","متجاوز",IF(C176="","مفتاح منتج ناقص",IF(D176="","منتج غير موجود",IF(E176="","كود مخزون ناقص",IF(F176="","مادة غير موجودة",IF(J176="","خطأ وحدة",IF(G176&lt;=0,"كمية غير صالحة","صالح")))))))</x:f>
        <x:v>صالح</x:v>
      </x:c>
    </x:row>
    <x:row r="177">
      <x:c r="A177" s="46" t="str">
        <x:v>UPSERT_INACTIVE</x:v>
      </x:c>
      <x:c r="B177" s="46" t="str">
        <x:v>بحاجة مراجعة</x:v>
      </x:c>
      <x:c r="C177" s="46" t="str">
        <x:v>black_barrel_special</x:v>
      </x:c>
      <x:c r="D177" s="46" t="str">
        <x:f>IFERROR(VLOOKUP(C177,'المنتجات'!$C$2:$D$500,2,FALSE),"")</x:f>
        <x:v>البرميل الأسود</x:v>
      </x:c>
      <x:c r="E177" s="46" t="str">
        <x:v>ING-SAUCE-MUSTARD</x:v>
      </x:c>
      <x:c r="F177" s="46" t="str">
        <x:f>IFERROR(VLOOKUP(E177,'مواد المخزون'!$C$2:$J$500,2,FALSE),"")</x:f>
        <x:v>خردل</x:v>
      </x:c>
      <x:c r="G177" s="104" t="n">
        <x:v>10</x:v>
      </x:c>
      <x:c r="H177" s="46" t="str">
        <x:v>غ</x:v>
      </x:c>
      <x:c r="I177" s="46" t="str">
        <x:f>IFERROR(VLOOKUP(E177,'مواد المخزون'!$C$2:$J$500,5,FALSE),"")</x:f>
        <x:v>كغ</x:v>
      </x:c>
      <x:c r="J177" s="104" t="n">
        <x:f>IF(OR(G177="",H177="",I177=""),"",IF(H177=I177,G177,IF(AND(H177="غ",I177="كغ"),G177/1000,IF(AND(H177="كغ",I177="غ"),G177*1000,IF(AND(H177="مل",I177="لتر"),G177/1000,IF(AND(H177="لتر",I177="مل"),G177*1000,""))))))</x:f>
        <x:v>0.01</x:v>
      </x:c>
      <x:c r="K177" s="108" t="n">
        <x:v>0</x:v>
      </x:c>
      <x:c r="L177" s="46" t="str">
        <x:v>لا</x:v>
      </x:c>
      <x:c r="M177" s="100" t="n">
        <x:f>IFERROR(VLOOKUP(E177,'مواد المخزون'!$C$2:$J$500,8,FALSE),"")</x:f>
        <x:v>66666.67</x:v>
      </x:c>
      <x:c r="N177" s="100" t="n">
        <x:f>IF(OR(J177="",M177=""),"",J177*M177*(1+K177/100))</x:f>
        <x:v>666.6667</x:v>
      </x:c>
      <x:c r="O177" s="46" t="str"/>
      <x:c r="P177" s="46" t="str">
        <x:f>IF(A177="SKIP","متجاوز",IF(C177="","مفتاح منتج ناقص",IF(D177="","منتج غير موجود",IF(E177="","كود مخزون ناقص",IF(F177="","مادة غير موجودة",IF(J177="","خطأ وحدة",IF(G177&lt;=0,"كمية غير صالحة","صالح")))))))</x:f>
        <x:v>صالح</x:v>
      </x:c>
    </x:row>
    <x:row r="178">
      <x:c r="A178" s="46" t="str">
        <x:v>UPSERT_INACTIVE</x:v>
      </x:c>
      <x:c r="B178" s="46" t="str">
        <x:v>بحاجة مراجعة</x:v>
      </x:c>
      <x:c r="C178" s="46" t="str">
        <x:v>black_barrel_special</x:v>
      </x:c>
      <x:c r="D178" s="46" t="str">
        <x:f>IFERROR(VLOOKUP(C178,'المنتجات'!$C$2:$D$500,2,FALSE),"")</x:f>
        <x:v>البرميل الأسود</x:v>
      </x:c>
      <x:c r="E178" s="46" t="str">
        <x:v>ING-SAUCE-MAYO-WEIGHT</x:v>
      </x:c>
      <x:c r="F178" s="46" t="str">
        <x:f>IFERROR(VLOOKUP(E178,'مواد المخزون'!$C$2:$J$500,2,FALSE),"")</x:f>
        <x:v>مايونيز بالوزن</x:v>
      </x:c>
      <x:c r="G178" s="104" t="n">
        <x:v>15</x:v>
      </x:c>
      <x:c r="H178" s="46" t="str">
        <x:v>غ</x:v>
      </x:c>
      <x:c r="I178" s="46" t="str">
        <x:f>IFERROR(VLOOKUP(E178,'مواد المخزون'!$C$2:$J$500,5,FALSE),"")</x:f>
        <x:v>كغ</x:v>
      </x:c>
      <x:c r="J178" s="104" t="n">
        <x:f>IF(OR(G178="",H178="",I178=""),"",IF(H178=I178,G178,IF(AND(H178="غ",I178="كغ"),G178/1000,IF(AND(H178="كغ",I178="غ"),G178*1000,IF(AND(H178="مل",I178="لتر"),G178/1000,IF(AND(H178="لتر",I178="مل"),G178*1000,""))))))</x:f>
        <x:v>0.015</x:v>
      </x:c>
      <x:c r="K178" s="108" t="n">
        <x:v>0</x:v>
      </x:c>
      <x:c r="L178" s="46" t="str">
        <x:v>لا</x:v>
      </x:c>
      <x:c r="M178" s="100" t="str">
        <x:f>IFERROR(VLOOKUP(E178,'مواد المخزون'!$C$2:$J$500,8,FALSE),"")</x:f>
      </x:c>
      <x:c r="N178" s="100" t="str">
        <x:f>IF(OR(J178="",M178=""),"",J178*M178*(1+K178/100))</x:f>
      </x:c>
      <x:c r="O178" s="46" t="str"/>
      <x:c r="P178" s="46" t="str">
        <x:f>IF(A178="SKIP","متجاوز",IF(C178="","مفتاح منتج ناقص",IF(D178="","منتج غير موجود",IF(E178="","كود مخزون ناقص",IF(F178="","مادة غير موجودة",IF(J178="","خطأ وحدة",IF(G178&lt;=0,"كمية غير صالحة","صالح")))))))</x:f>
        <x:v>صالح</x:v>
      </x:c>
    </x:row>
    <x:row r="179">
      <x:c r="A179" s="46" t="str">
        <x:v>UPSERT_INACTIVE</x:v>
      </x:c>
      <x:c r="B179" s="46" t="str">
        <x:v>بحاجة مراجعة</x:v>
      </x:c>
      <x:c r="C179" s="46" t="str">
        <x:v>black_barrel_special</x:v>
      </x:c>
      <x:c r="D179" s="46" t="str">
        <x:f>IFERROR(VLOOKUP(C179,'المنتجات'!$C$2:$D$500,2,FALSE),"")</x:f>
        <x:v>البرميل الأسود</x:v>
      </x:c>
      <x:c r="E179" s="46" t="str">
        <x:v>ING-PICKLE-MIXED-WEIGHT</x:v>
      </x:c>
      <x:c r="F179" s="46" t="str">
        <x:f>IFERROR(VLOOKUP(E179,'مواد المخزون'!$C$2:$J$500,2,FALSE),"")</x:f>
        <x:v>مخلل مشكل بالوزن</x:v>
      </x:c>
      <x:c r="G179" s="104" t="n">
        <x:v>25</x:v>
      </x:c>
      <x:c r="H179" s="46" t="str">
        <x:v>غ</x:v>
      </x:c>
      <x:c r="I179" s="46" t="str">
        <x:f>IFERROR(VLOOKUP(E179,'مواد المخزون'!$C$2:$J$500,5,FALSE),"")</x:f>
        <x:v>كغ</x:v>
      </x:c>
      <x:c r="J179" s="104" t="n">
        <x:f>IF(OR(G179="",H179="",I179=""),"",IF(H179=I179,G179,IF(AND(H179="غ",I179="كغ"),G179/1000,IF(AND(H179="كغ",I179="غ"),G179*1000,IF(AND(H179="مل",I179="لتر"),G179/1000,IF(AND(H179="لتر",I179="مل"),G179*1000,""))))))</x:f>
        <x:v>0.025</x:v>
      </x:c>
      <x:c r="K179" s="108" t="n">
        <x:v>0</x:v>
      </x:c>
      <x:c r="L179" s="46" t="str">
        <x:v>لا</x:v>
      </x:c>
      <x:c r="M179" s="100" t="str">
        <x:f>IFERROR(VLOOKUP(E179,'مواد المخزون'!$C$2:$J$500,8,FALSE),"")</x:f>
      </x:c>
      <x:c r="N179" s="100" t="str">
        <x:f>IF(OR(J179="",M179=""),"",J179*M179*(1+K179/100))</x:f>
      </x:c>
      <x:c r="O179" s="46" t="str"/>
      <x:c r="P179" s="46" t="str">
        <x:f>IF(A179="SKIP","متجاوز",IF(C179="","مفتاح منتج ناقص",IF(D179="","منتج غير موجود",IF(E179="","كود مخزون ناقص",IF(F179="","مادة غير موجودة",IF(J179="","خطأ وحدة",IF(G179&lt;=0,"كمية غير صالحة","صالح")))))))</x:f>
        <x:v>صالح</x:v>
      </x:c>
    </x:row>
    <x:row r="180">
      <x:c r="A180" s="46" t="str">
        <x:v>UPSERT_INACTIVE</x:v>
      </x:c>
      <x:c r="B180" s="46" t="str">
        <x:v>بحاجة مراجعة</x:v>
      </x:c>
      <x:c r="C180" s="46" t="str">
        <x:v>black_barrel_special</x:v>
      </x:c>
      <x:c r="D180" s="46" t="str">
        <x:f>IFERROR(VLOOKUP(C180,'المنتجات'!$C$2:$D$500,2,FALSE),"")</x:f>
        <x:v>البرميل الأسود</x:v>
      </x:c>
      <x:c r="E180" s="46" t="str">
        <x:v>ING-VEG-ONION</x:v>
      </x:c>
      <x:c r="F180" s="46" t="str">
        <x:f>IFERROR(VLOOKUP(E180,'مواد المخزون'!$C$2:$J$500,2,FALSE),"")</x:f>
        <x:v>بصل</x:v>
      </x:c>
      <x:c r="G180" s="104" t="n">
        <x:v>20</x:v>
      </x:c>
      <x:c r="H180" s="46" t="str">
        <x:v>غ</x:v>
      </x:c>
      <x:c r="I180" s="46" t="str">
        <x:f>IFERROR(VLOOKUP(E180,'مواد المخزون'!$C$2:$J$500,5,FALSE),"")</x:f>
        <x:v>كغ</x:v>
      </x:c>
      <x:c r="J180" s="104" t="n">
        <x:f>IF(OR(G180="",H180="",I180=""),"",IF(H180=I180,G180,IF(AND(H180="غ",I180="كغ"),G180/1000,IF(AND(H180="كغ",I180="غ"),G180*1000,IF(AND(H180="مل",I180="لتر"),G180/1000,IF(AND(H180="لتر",I180="مل"),G180*1000,""))))))</x:f>
        <x:v>0.02</x:v>
      </x:c>
      <x:c r="K180" s="108" t="n">
        <x:v>0</x:v>
      </x:c>
      <x:c r="L180" s="46" t="str">
        <x:v>لا</x:v>
      </x:c>
      <x:c r="M180" s="100" t="n">
        <x:f>IFERROR(VLOOKUP(E180,'مواد المخزون'!$C$2:$J$500,8,FALSE),"")</x:f>
        <x:v>12000</x:v>
      </x:c>
      <x:c r="N180" s="100" t="n">
        <x:f>IF(OR(J180="",M180=""),"",J180*M180*(1+K180/100))</x:f>
        <x:v>240</x:v>
      </x:c>
      <x:c r="O180" s="46" t="str"/>
      <x:c r="P180" s="46" t="str">
        <x:f>IF(A180="SKIP","متجاوز",IF(C180="","مفتاح منتج ناقص",IF(D180="","منتج غير موجود",IF(E180="","كود مخزون ناقص",IF(F180="","مادة غير موجودة",IF(J180="","خطأ وحدة",IF(G180&lt;=0,"كمية غير صالحة","صالح")))))))</x:f>
        <x:v>صالح</x:v>
      </x:c>
    </x:row>
    <x:row r="181">
      <x:c r="A181" s="46" t="str">
        <x:v>UPSERT_INACTIVE</x:v>
      </x:c>
      <x:c r="B181" s="46" t="str">
        <x:v>بحاجة مراجعة</x:v>
      </x:c>
      <x:c r="C181" s="46" t="str">
        <x:v>black_barrel_special</x:v>
      </x:c>
      <x:c r="D181" s="46" t="str">
        <x:f>IFERROR(VLOOKUP(C181,'المنتجات'!$C$2:$D$500,2,FALSE),"")</x:f>
        <x:v>البرميل الأسود</x:v>
      </x:c>
      <x:c r="E181" s="46" t="str">
        <x:v>ING-TOPPING-CRISPY-ONION</x:v>
      </x:c>
      <x:c r="F181" s="46" t="str">
        <x:f>IFERROR(VLOOKUP(E181,'مواد المخزون'!$C$2:$J$500,2,FALSE),"")</x:f>
        <x:v>بصل مقرمش</x:v>
      </x:c>
      <x:c r="G181" s="104" t="n">
        <x:v>15</x:v>
      </x:c>
      <x:c r="H181" s="46" t="str">
        <x:v>غ</x:v>
      </x:c>
      <x:c r="I181" s="46" t="str">
        <x:f>IFERROR(VLOOKUP(E181,'مواد المخزون'!$C$2:$J$500,5,FALSE),"")</x:f>
        <x:v>كغ</x:v>
      </x:c>
      <x:c r="J181" s="104" t="n">
        <x:f>IF(OR(G181="",H181="",I181=""),"",IF(H181=I181,G181,IF(AND(H181="غ",I181="كغ"),G181/1000,IF(AND(H181="كغ",I181="غ"),G181*1000,IF(AND(H181="مل",I181="لتر"),G181/1000,IF(AND(H181="لتر",I181="مل"),G181*1000,""))))))</x:f>
        <x:v>0.015</x:v>
      </x:c>
      <x:c r="K181" s="108" t="n">
        <x:v>0</x:v>
      </x:c>
      <x:c r="L181" s="46" t="str">
        <x:v>لا</x:v>
      </x:c>
      <x:c r="M181" s="100" t="str">
        <x:f>IFERROR(VLOOKUP(E181,'مواد المخزون'!$C$2:$J$500,8,FALSE),"")</x:f>
      </x:c>
      <x:c r="N181" s="100" t="str">
        <x:f>IF(OR(J181="",M181=""),"",J181*M181*(1+K181/100))</x:f>
      </x:c>
      <x:c r="O181" s="46" t="str"/>
      <x:c r="P181" s="46" t="str">
        <x:f>IF(A181="SKIP","متجاوز",IF(C181="","مفتاح منتج ناقص",IF(D181="","منتج غير موجود",IF(E181="","كود مخزون ناقص",IF(F181="","مادة غير موجودة",IF(J181="","خطأ وحدة",IF(G181&lt;=0,"كمية غير صالحة","صالح")))))))</x:f>
        <x:v>صالح</x:v>
      </x:c>
    </x:row>
    <x:row r="182">
      <x:c r="A182" s="46" t="str">
        <x:v>UPSERT_INACTIVE</x:v>
      </x:c>
      <x:c r="B182" s="46" t="str">
        <x:v>بحاجة مراجعة</x:v>
      </x:c>
      <x:c r="C182" s="46" t="str">
        <x:v>double_barrel_hotdog</x:v>
      </x:c>
      <x:c r="D182" s="46" t="str">
        <x:f>IFERROR(VLOOKUP(C182,'المنتجات'!$C$2:$D$500,2,FALSE),"")</x:f>
        <x:v>دبل برميل</x:v>
      </x:c>
      <x:c r="E182" s="46" t="str">
        <x:v>ING-BREAD-HOTDOG</x:v>
      </x:c>
      <x:c r="F182" s="46" t="str">
        <x:f>IFERROR(VLOOKUP(E182,'مواد المخزون'!$C$2:$J$500,2,FALSE),"")</x:f>
        <x:v>خبز هوت دوغ</x:v>
      </x:c>
      <x:c r="G182" s="104" t="n">
        <x:v>1</x:v>
      </x:c>
      <x:c r="H182" s="46" t="str">
        <x:v>قطعة</x:v>
      </x:c>
      <x:c r="I182" s="46" t="str">
        <x:f>IFERROR(VLOOKUP(E182,'مواد المخزون'!$C$2:$J$500,5,FALSE),"")</x:f>
        <x:v>قطعة</x:v>
      </x:c>
      <x:c r="J182" s="104" t="n">
        <x:f>IF(OR(G182="",H182="",I182=""),"",IF(H182=I182,G182,IF(AND(H182="غ",I182="كغ"),G182/1000,IF(AND(H182="كغ",I182="غ"),G182*1000,IF(AND(H182="مل",I182="لتر"),G182/1000,IF(AND(H182="لتر",I182="مل"),G182*1000,""))))))</x:f>
        <x:v>1</x:v>
      </x:c>
      <x:c r="K182" s="108" t="n">
        <x:v>0</x:v>
      </x:c>
      <x:c r="L182" s="46" t="str">
        <x:v>لا</x:v>
      </x:c>
      <x:c r="M182" s="100" t="n">
        <x:f>IFERROR(VLOOKUP(E182,'مواد المخزون'!$C$2:$J$500,8,FALSE),"")</x:f>
        <x:v>1000</x:v>
      </x:c>
      <x:c r="N182" s="100" t="n">
        <x:f>IF(OR(J182="",M182=""),"",J182*M182*(1+K182/100))</x:f>
        <x:v>1000</x:v>
      </x:c>
      <x:c r="O182" s="46" t="str"/>
      <x:c r="P182" s="46" t="str">
        <x:f>IF(A182="SKIP","متجاوز",IF(C182="","مفتاح منتج ناقص",IF(D182="","منتج غير موجود",IF(E182="","كود مخزون ناقص",IF(F182="","مادة غير موجودة",IF(J182="","خطأ وحدة",IF(G182&lt;=0,"كمية غير صالحة","صالح")))))))</x:f>
        <x:v>صالح</x:v>
      </x:c>
    </x:row>
    <x:row r="183">
      <x:c r="A183" s="46" t="str">
        <x:v>UPSERT_INACTIVE</x:v>
      </x:c>
      <x:c r="B183" s="46" t="str">
        <x:v>بحاجة مراجعة</x:v>
      </x:c>
      <x:c r="C183" s="46" t="str">
        <x:v>double_barrel_hotdog</x:v>
      </x:c>
      <x:c r="D183" s="46" t="str">
        <x:f>IFERROR(VLOOKUP(C183,'المنتجات'!$C$2:$D$500,2,FALSE),"")</x:f>
        <x:v>دبل برميل</x:v>
      </x:c>
      <x:c r="E183" s="46" t="str">
        <x:v>ING-MEAT-HOTDOG</x:v>
      </x:c>
      <x:c r="F183" s="46" t="str">
        <x:f>IFERROR(VLOOKUP(E183,'مواد المخزون'!$C$2:$J$500,2,FALSE),"")</x:f>
        <x:v>نقانق هوت دوغ</x:v>
      </x:c>
      <x:c r="G183" s="104" t="n">
        <x:v>2</x:v>
      </x:c>
      <x:c r="H183" s="46" t="str">
        <x:v>قطعة</x:v>
      </x:c>
      <x:c r="I183" s="46" t="str">
        <x:f>IFERROR(VLOOKUP(E183,'مواد المخزون'!$C$2:$J$500,5,FALSE),"")</x:f>
        <x:v>قطعة</x:v>
      </x:c>
      <x:c r="J183" s="104" t="n">
        <x:f>IF(OR(G183="",H183="",I183=""),"",IF(H183=I183,G183,IF(AND(H183="غ",I183="كغ"),G183/1000,IF(AND(H183="كغ",I183="غ"),G183*1000,IF(AND(H183="مل",I183="لتر"),G183/1000,IF(AND(H183="لتر",I183="مل"),G183*1000,""))))))</x:f>
        <x:v>2</x:v>
      </x:c>
      <x:c r="K183" s="108" t="n">
        <x:v>0</x:v>
      </x:c>
      <x:c r="L183" s="46" t="str">
        <x:v>لا</x:v>
      </x:c>
      <x:c r="M183" s="100" t="n">
        <x:f>IFERROR(VLOOKUP(E183,'مواد المخزون'!$C$2:$J$500,8,FALSE),"")</x:f>
        <x:v>4000</x:v>
      </x:c>
      <x:c r="N183" s="100" t="n">
        <x:f>IF(OR(J183="",M183=""),"",J183*M183*(1+K183/100))</x:f>
        <x:v>8000</x:v>
      </x:c>
      <x:c r="O183" s="46" t="str"/>
      <x:c r="P183" s="46" t="str">
        <x:f>IF(A183="SKIP","متجاوز",IF(C183="","مفتاح منتج ناقص",IF(D183="","منتج غير موجود",IF(E183="","كود مخزون ناقص",IF(F183="","مادة غير موجودة",IF(J183="","خطأ وحدة",IF(G183&lt;=0,"كمية غير صالحة","صالح")))))))</x:f>
        <x:v>صالح</x:v>
      </x:c>
    </x:row>
    <x:row r="184">
      <x:c r="A184" s="46" t="str">
        <x:v>UPSERT_INACTIVE</x:v>
      </x:c>
      <x:c r="B184" s="46" t="str">
        <x:v>بحاجة مراجعة</x:v>
      </x:c>
      <x:c r="C184" s="46" t="str">
        <x:v>double_barrel_hotdog</x:v>
      </x:c>
      <x:c r="D184" s="46" t="str">
        <x:f>IFERROR(VLOOKUP(C184,'المنتجات'!$C$2:$D$500,2,FALSE),"")</x:f>
        <x:v>دبل برميل</x:v>
      </x:c>
      <x:c r="E184" s="46" t="str">
        <x:v>ING-SAUCE-KETCHUP</x:v>
      </x:c>
      <x:c r="F184" s="46" t="str">
        <x:f>IFERROR(VLOOKUP(E184,'مواد المخزون'!$C$2:$J$500,2,FALSE),"")</x:f>
        <x:v>كاتشب</x:v>
      </x:c>
      <x:c r="G184" s="104" t="n">
        <x:v>25</x:v>
      </x:c>
      <x:c r="H184" s="46" t="str">
        <x:v>غ</x:v>
      </x:c>
      <x:c r="I184" s="46" t="str">
        <x:f>IFERROR(VLOOKUP(E184,'مواد المخزون'!$C$2:$J$500,5,FALSE),"")</x:f>
        <x:v>كغ</x:v>
      </x:c>
      <x:c r="J184" s="104" t="n">
        <x:f>IF(OR(G184="",H184="",I184=""),"",IF(H184=I184,G184,IF(AND(H184="غ",I184="كغ"),G184/1000,IF(AND(H184="كغ",I184="غ"),G184*1000,IF(AND(H184="مل",I184="لتر"),G184/1000,IF(AND(H184="لتر",I184="مل"),G184*1000,""))))))</x:f>
        <x:v>0.025</x:v>
      </x:c>
      <x:c r="K184" s="108" t="n">
        <x:v>0</x:v>
      </x:c>
      <x:c r="L184" s="46" t="str">
        <x:v>لا</x:v>
      </x:c>
      <x:c r="M184" s="100" t="n">
        <x:f>IFERROR(VLOOKUP(E184,'مواد المخزون'!$C$2:$J$500,8,FALSE),"")</x:f>
        <x:v>33333.33</x:v>
      </x:c>
      <x:c r="N184" s="100" t="n">
        <x:f>IF(OR(J184="",M184=""),"",J184*M184*(1+K184/100))</x:f>
        <x:v>833.3332500000001</x:v>
      </x:c>
      <x:c r="O184" s="46" t="str"/>
      <x:c r="P184" s="46" t="str">
        <x:f>IF(A184="SKIP","متجاوز",IF(C184="","مفتاح منتج ناقص",IF(D184="","منتج غير موجود",IF(E184="","كود مخزون ناقص",IF(F184="","مادة غير موجودة",IF(J184="","خطأ وحدة",IF(G184&lt;=0,"كمية غير صالحة","صالح")))))))</x:f>
        <x:v>صالح</x:v>
      </x:c>
    </x:row>
    <x:row r="185">
      <x:c r="A185" s="46" t="str">
        <x:v>UPSERT_INACTIVE</x:v>
      </x:c>
      <x:c r="B185" s="46" t="str">
        <x:v>بحاجة مراجعة</x:v>
      </x:c>
      <x:c r="C185" s="46" t="str">
        <x:v>double_barrel_hotdog</x:v>
      </x:c>
      <x:c r="D185" s="46" t="str">
        <x:f>IFERROR(VLOOKUP(C185,'المنتجات'!$C$2:$D$500,2,FALSE),"")</x:f>
        <x:v>دبل برميل</x:v>
      </x:c>
      <x:c r="E185" s="46" t="str">
        <x:v>ING-SAUCE-MUSTARD</x:v>
      </x:c>
      <x:c r="F185" s="46" t="str">
        <x:f>IFERROR(VLOOKUP(E185,'مواد المخزون'!$C$2:$J$500,2,FALSE),"")</x:f>
        <x:v>خردل</x:v>
      </x:c>
      <x:c r="G185" s="104" t="n">
        <x:v>12</x:v>
      </x:c>
      <x:c r="H185" s="46" t="str">
        <x:v>غ</x:v>
      </x:c>
      <x:c r="I185" s="46" t="str">
        <x:f>IFERROR(VLOOKUP(E185,'مواد المخزون'!$C$2:$J$500,5,FALSE),"")</x:f>
        <x:v>كغ</x:v>
      </x:c>
      <x:c r="J185" s="104" t="n">
        <x:f>IF(OR(G185="",H185="",I185=""),"",IF(H185=I185,G185,IF(AND(H185="غ",I185="كغ"),G185/1000,IF(AND(H185="كغ",I185="غ"),G185*1000,IF(AND(H185="مل",I185="لتر"),G185/1000,IF(AND(H185="لتر",I185="مل"),G185*1000,""))))))</x:f>
        <x:v>0.012</x:v>
      </x:c>
      <x:c r="K185" s="108" t="n">
        <x:v>0</x:v>
      </x:c>
      <x:c r="L185" s="46" t="str">
        <x:v>لا</x:v>
      </x:c>
      <x:c r="M185" s="100" t="n">
        <x:f>IFERROR(VLOOKUP(E185,'مواد المخزون'!$C$2:$J$500,8,FALSE),"")</x:f>
        <x:v>66666.67</x:v>
      </x:c>
      <x:c r="N185" s="100" t="n">
        <x:f>IF(OR(J185="",M185=""),"",J185*M185*(1+K185/100))</x:f>
        <x:v>800.00004</x:v>
      </x:c>
      <x:c r="O185" s="46" t="str"/>
      <x:c r="P185" s="46" t="str">
        <x:f>IF(A185="SKIP","متجاوز",IF(C185="","مفتاح منتج ناقص",IF(D185="","منتج غير موجود",IF(E185="","كود مخزون ناقص",IF(F185="","مادة غير موجودة",IF(J185="","خطأ وحدة",IF(G185&lt;=0,"كمية غير صالحة","صالح")))))))</x:f>
        <x:v>صالح</x:v>
      </x:c>
    </x:row>
    <x:row r="186">
      <x:c r="A186" s="46" t="str">
        <x:v>UPSERT_INACTIVE</x:v>
      </x:c>
      <x:c r="B186" s="46" t="str">
        <x:v>بحاجة مراجعة</x:v>
      </x:c>
      <x:c r="C186" s="46" t="str">
        <x:v>double_barrel_hotdog</x:v>
      </x:c>
      <x:c r="D186" s="46" t="str">
        <x:f>IFERROR(VLOOKUP(C186,'المنتجات'!$C$2:$D$500,2,FALSE),"")</x:f>
        <x:v>دبل برميل</x:v>
      </x:c>
      <x:c r="E186" s="46" t="str">
        <x:v>ING-PICKLE-MIXED-WEIGHT</x:v>
      </x:c>
      <x:c r="F186" s="46" t="str">
        <x:f>IFERROR(VLOOKUP(E186,'مواد المخزون'!$C$2:$J$500,2,FALSE),"")</x:f>
        <x:v>مخلل مشكل بالوزن</x:v>
      </x:c>
      <x:c r="G186" s="104" t="n">
        <x:v>25</x:v>
      </x:c>
      <x:c r="H186" s="46" t="str">
        <x:v>غ</x:v>
      </x:c>
      <x:c r="I186" s="46" t="str">
        <x:f>IFERROR(VLOOKUP(E186,'مواد المخزون'!$C$2:$J$500,5,FALSE),"")</x:f>
        <x:v>كغ</x:v>
      </x:c>
      <x:c r="J186" s="104" t="n">
        <x:f>IF(OR(G186="",H186="",I186=""),"",IF(H186=I186,G186,IF(AND(H186="غ",I186="كغ"),G186/1000,IF(AND(H186="كغ",I186="غ"),G186*1000,IF(AND(H186="مل",I186="لتر"),G186/1000,IF(AND(H186="لتر",I186="مل"),G186*1000,""))))))</x:f>
        <x:v>0.025</x:v>
      </x:c>
      <x:c r="K186" s="108" t="n">
        <x:v>0</x:v>
      </x:c>
      <x:c r="L186" s="46" t="str">
        <x:v>لا</x:v>
      </x:c>
      <x:c r="M186" s="100" t="str">
        <x:f>IFERROR(VLOOKUP(E186,'مواد المخزون'!$C$2:$J$500,8,FALSE),"")</x:f>
      </x:c>
      <x:c r="N186" s="100" t="str">
        <x:f>IF(OR(J186="",M186=""),"",J186*M186*(1+K186/100))</x:f>
      </x:c>
      <x:c r="O186" s="46" t="str"/>
      <x:c r="P186" s="46" t="str">
        <x:f>IF(A186="SKIP","متجاوز",IF(C186="","مفتاح منتج ناقص",IF(D186="","منتج غير موجود",IF(E186="","كود مخزون ناقص",IF(F186="","مادة غير موجودة",IF(J186="","خطأ وحدة",IF(G186&lt;=0,"كمية غير صالحة","صالح")))))))</x:f>
        <x:v>صالح</x:v>
      </x:c>
    </x:row>
    <x:row r="187">
      <x:c r="A187" s="46" t="str">
        <x:v>UPSERT_INACTIVE</x:v>
      </x:c>
      <x:c r="B187" s="46" t="str">
        <x:v>بحاجة مراجعة</x:v>
      </x:c>
      <x:c r="C187" s="46" t="str">
        <x:v>double_barrel_hotdog</x:v>
      </x:c>
      <x:c r="D187" s="46" t="str">
        <x:f>IFERROR(VLOOKUP(C187,'المنتجات'!$C$2:$D$500,2,FALSE),"")</x:f>
        <x:v>دبل برميل</x:v>
      </x:c>
      <x:c r="E187" s="46" t="str">
        <x:v>ING-VEG-ONION</x:v>
      </x:c>
      <x:c r="F187" s="46" t="str">
        <x:f>IFERROR(VLOOKUP(E187,'مواد المخزون'!$C$2:$J$500,2,FALSE),"")</x:f>
        <x:v>بصل</x:v>
      </x:c>
      <x:c r="G187" s="104" t="n">
        <x:v>20</x:v>
      </x:c>
      <x:c r="H187" s="46" t="str">
        <x:v>غ</x:v>
      </x:c>
      <x:c r="I187" s="46" t="str">
        <x:f>IFERROR(VLOOKUP(E187,'مواد المخزون'!$C$2:$J$500,5,FALSE),"")</x:f>
        <x:v>كغ</x:v>
      </x:c>
      <x:c r="J187" s="104" t="n">
        <x:f>IF(OR(G187="",H187="",I187=""),"",IF(H187=I187,G187,IF(AND(H187="غ",I187="كغ"),G187/1000,IF(AND(H187="كغ",I187="غ"),G187*1000,IF(AND(H187="مل",I187="لتر"),G187/1000,IF(AND(H187="لتر",I187="مل"),G187*1000,""))))))</x:f>
        <x:v>0.02</x:v>
      </x:c>
      <x:c r="K187" s="108" t="n">
        <x:v>0</x:v>
      </x:c>
      <x:c r="L187" s="46" t="str">
        <x:v>لا</x:v>
      </x:c>
      <x:c r="M187" s="100" t="n">
        <x:f>IFERROR(VLOOKUP(E187,'مواد المخزون'!$C$2:$J$500,8,FALSE),"")</x:f>
        <x:v>12000</x:v>
      </x:c>
      <x:c r="N187" s="100" t="n">
        <x:f>IF(OR(J187="",M187=""),"",J187*M187*(1+K187/100))</x:f>
        <x:v>240</x:v>
      </x:c>
      <x:c r="O187" s="46" t="str"/>
      <x:c r="P187" s="46" t="str">
        <x:f>IF(A187="SKIP","متجاوز",IF(C187="","مفتاح منتج ناقص",IF(D187="","منتج غير موجود",IF(E187="","كود مخزون ناقص",IF(F187="","مادة غير موجودة",IF(J187="","خطأ وحدة",IF(G187&lt;=0,"كمية غير صالحة","صالح")))))))</x:f>
        <x:v>صالح</x:v>
      </x:c>
    </x:row>
    <x:row r="188">
      <x:c r="A188" s="46" t="str">
        <x:v>UPSERT_INACTIVE</x:v>
      </x:c>
      <x:c r="B188" s="46" t="str">
        <x:v>بحاجة مراجعة</x:v>
      </x:c>
      <x:c r="C188" s="46" t="str">
        <x:v>crunchy_halloumi_dog</x:v>
      </x:c>
      <x:c r="D188" s="46" t="str">
        <x:f>IFERROR(VLOOKUP(C188,'المنتجات'!$C$2:$D$500,2,FALSE),"")</x:f>
        <x:v>حلّوم مقرمش</x:v>
      </x:c>
      <x:c r="E188" s="46" t="str">
        <x:v>ING-BREAD-HOTDOG</x:v>
      </x:c>
      <x:c r="F188" s="46" t="str">
        <x:f>IFERROR(VLOOKUP(E188,'مواد المخزون'!$C$2:$J$500,2,FALSE),"")</x:f>
        <x:v>خبز هوت دوغ</x:v>
      </x:c>
      <x:c r="G188" s="104" t="n">
        <x:v>1</x:v>
      </x:c>
      <x:c r="H188" s="46" t="str">
        <x:v>قطعة</x:v>
      </x:c>
      <x:c r="I188" s="46" t="str">
        <x:f>IFERROR(VLOOKUP(E188,'مواد المخزون'!$C$2:$J$500,5,FALSE),"")</x:f>
        <x:v>قطعة</x:v>
      </x:c>
      <x:c r="J188" s="104" t="n">
        <x:f>IF(OR(G188="",H188="",I188=""),"",IF(H188=I188,G188,IF(AND(H188="غ",I188="كغ"),G188/1000,IF(AND(H188="كغ",I188="غ"),G188*1000,IF(AND(H188="مل",I188="لتر"),G188/1000,IF(AND(H188="لتر",I188="مل"),G188*1000,""))))))</x:f>
        <x:v>1</x:v>
      </x:c>
      <x:c r="K188" s="108" t="n">
        <x:v>0</x:v>
      </x:c>
      <x:c r="L188" s="46" t="str">
        <x:v>لا</x:v>
      </x:c>
      <x:c r="M188" s="100" t="n">
        <x:f>IFERROR(VLOOKUP(E188,'مواد المخزون'!$C$2:$J$500,8,FALSE),"")</x:f>
        <x:v>1000</x:v>
      </x:c>
      <x:c r="N188" s="100" t="n">
        <x:f>IF(OR(J188="",M188=""),"",J188*M188*(1+K188/100))</x:f>
        <x:v>1000</x:v>
      </x:c>
      <x:c r="O188" s="46" t="str"/>
      <x:c r="P188" s="46" t="str">
        <x:f>IF(A188="SKIP","متجاوز",IF(C188="","مفتاح منتج ناقص",IF(D188="","منتج غير موجود",IF(E188="","كود مخزون ناقص",IF(F188="","مادة غير موجودة",IF(J188="","خطأ وحدة",IF(G188&lt;=0,"كمية غير صالحة","صالح")))))))</x:f>
        <x:v>صالح</x:v>
      </x:c>
    </x:row>
    <x:row r="189">
      <x:c r="A189" s="46" t="str">
        <x:v>UPSERT_INACTIVE</x:v>
      </x:c>
      <x:c r="B189" s="46" t="str">
        <x:v>بحاجة مراجعة</x:v>
      </x:c>
      <x:c r="C189" s="46" t="str">
        <x:v>crunchy_halloumi_dog</x:v>
      </x:c>
      <x:c r="D189" s="46" t="str">
        <x:f>IFERROR(VLOOKUP(C189,'المنتجات'!$C$2:$D$500,2,FALSE),"")</x:f>
        <x:v>حلّوم مقرمش</x:v>
      </x:c>
      <x:c r="E189" s="46" t="str">
        <x:v>ING-CHEESE-HALLOUMI</x:v>
      </x:c>
      <x:c r="F189" s="46" t="str">
        <x:f>IFERROR(VLOOKUP(E189,'مواد المخزون'!$C$2:$J$500,2,FALSE),"")</x:f>
        <x:v>جبنة حلوم</x:v>
      </x:c>
      <x:c r="G189" s="104" t="n">
        <x:v>100</x:v>
      </x:c>
      <x:c r="H189" s="46" t="str">
        <x:v>غ</x:v>
      </x:c>
      <x:c r="I189" s="46" t="str">
        <x:f>IFERROR(VLOOKUP(E189,'مواد المخزون'!$C$2:$J$500,5,FALSE),"")</x:f>
        <x:v>كغ</x:v>
      </x:c>
      <x:c r="J189" s="104" t="n">
        <x:f>IF(OR(G189="",H189="",I189=""),"",IF(H189=I189,G189,IF(AND(H189="غ",I189="كغ"),G189/1000,IF(AND(H189="كغ",I189="غ"),G189*1000,IF(AND(H189="مل",I189="لتر"),G189/1000,IF(AND(H189="لتر",I189="مل"),G189*1000,""))))))</x:f>
        <x:v>0.1</x:v>
      </x:c>
      <x:c r="K189" s="108" t="n">
        <x:v>5</x:v>
      </x:c>
      <x:c r="L189" s="46" t="str">
        <x:v>لا</x:v>
      </x:c>
      <x:c r="M189" s="100" t="str">
        <x:f>IFERROR(VLOOKUP(E189,'مواد المخزون'!$C$2:$J$500,8,FALSE),"")</x:f>
      </x:c>
      <x:c r="N189" s="100" t="str">
        <x:f>IF(OR(J189="",M189=""),"",J189*M189*(1+K189/100))</x:f>
      </x:c>
      <x:c r="O189" s="46" t="str"/>
      <x:c r="P189" s="46" t="str">
        <x:f>IF(A189="SKIP","متجاوز",IF(C189="","مفتاح منتج ناقص",IF(D189="","منتج غير موجود",IF(E189="","كود مخزون ناقص",IF(F189="","مادة غير موجودة",IF(J189="","خطأ وحدة",IF(G189&lt;=0,"كمية غير صالحة","صالح")))))))</x:f>
        <x:v>صالح</x:v>
      </x:c>
    </x:row>
    <x:row r="190">
      <x:c r="A190" s="46" t="str">
        <x:v>UPSERT_INACTIVE</x:v>
      </x:c>
      <x:c r="B190" s="46" t="str">
        <x:v>بحاجة مراجعة</x:v>
      </x:c>
      <x:c r="C190" s="46" t="str">
        <x:v>crunchy_halloumi_dog</x:v>
      </x:c>
      <x:c r="D190" s="46" t="str">
        <x:f>IFERROR(VLOOKUP(C190,'المنتجات'!$C$2:$D$500,2,FALSE),"")</x:f>
        <x:v>حلّوم مقرمش</x:v>
      </x:c>
      <x:c r="E190" s="46" t="str">
        <x:v>ING-DRY-BREADCRUMB</x:v>
      </x:c>
      <x:c r="F190" s="46" t="str">
        <x:f>IFERROR(VLOOKUP(E190,'مواد المخزون'!$C$2:$J$500,2,FALSE),"")</x:f>
        <x:v>بقسماط / كعك مطحون</x:v>
      </x:c>
      <x:c r="G190" s="104" t="n">
        <x:v>20</x:v>
      </x:c>
      <x:c r="H190" s="46" t="str">
        <x:v>غ</x:v>
      </x:c>
      <x:c r="I190" s="46" t="str">
        <x:f>IFERROR(VLOOKUP(E190,'مواد المخزون'!$C$2:$J$500,5,FALSE),"")</x:f>
        <x:v>كغ</x:v>
      </x:c>
      <x:c r="J190" s="104" t="n">
        <x:f>IF(OR(G190="",H190="",I190=""),"",IF(H190=I190,G190,IF(AND(H190="غ",I190="كغ"),G190/1000,IF(AND(H190="كغ",I190="غ"),G190*1000,IF(AND(H190="مل",I190="لتر"),G190/1000,IF(AND(H190="لتر",I190="مل"),G190*1000,""))))))</x:f>
        <x:v>0.02</x:v>
      </x:c>
      <x:c r="K190" s="108" t="n">
        <x:v>0</x:v>
      </x:c>
      <x:c r="L190" s="46" t="str">
        <x:v>لا</x:v>
      </x:c>
      <x:c r="M190" s="100" t="str">
        <x:f>IFERROR(VLOOKUP(E190,'مواد المخزون'!$C$2:$J$500,8,FALSE),"")</x:f>
      </x:c>
      <x:c r="N190" s="100" t="str">
        <x:f>IF(OR(J190="",M190=""),"",J190*M190*(1+K190/100))</x:f>
      </x:c>
      <x:c r="O190" s="46" t="str"/>
      <x:c r="P190" s="46" t="str">
        <x:f>IF(A190="SKIP","متجاوز",IF(C190="","مفتاح منتج ناقص",IF(D190="","منتج غير موجود",IF(E190="","كود مخزون ناقص",IF(F190="","مادة غير موجودة",IF(J190="","خطأ وحدة",IF(G190&lt;=0,"كمية غير صالحة","صالح")))))))</x:f>
        <x:v>صالح</x:v>
      </x:c>
    </x:row>
    <x:row r="191">
      <x:c r="A191" s="46" t="str">
        <x:v>UPSERT_INACTIVE</x:v>
      </x:c>
      <x:c r="B191" s="46" t="str">
        <x:v>بحاجة مراجعة</x:v>
      </x:c>
      <x:c r="C191" s="46" t="str">
        <x:v>crunchy_halloumi_dog</x:v>
      </x:c>
      <x:c r="D191" s="46" t="str">
        <x:f>IFERROR(VLOOKUP(C191,'المنتجات'!$C$2:$D$500,2,FALSE),"")</x:f>
        <x:v>حلّوم مقرمش</x:v>
      </x:c>
      <x:c r="E191" s="46" t="str">
        <x:v>ING-PREP-GARLIC-SAUCE</x:v>
      </x:c>
      <x:c r="F191" s="46" t="str">
        <x:f>IFERROR(VLOOKUP(E191,'مواد المخزون'!$C$2:$J$500,2,FALSE),"")</x:f>
        <x:v>ثومية / صوص ثوم</x:v>
      </x:c>
      <x:c r="G191" s="104" t="n">
        <x:v>25</x:v>
      </x:c>
      <x:c r="H191" s="46" t="str">
        <x:v>غ</x:v>
      </x:c>
      <x:c r="I191" s="46" t="str">
        <x:f>IFERROR(VLOOKUP(E191,'مواد المخزون'!$C$2:$J$500,5,FALSE),"")</x:f>
        <x:v>كغ</x:v>
      </x:c>
      <x:c r="J191" s="104" t="n">
        <x:f>IF(OR(G191="",H191="",I191=""),"",IF(H191=I191,G191,IF(AND(H191="غ",I191="كغ"),G191/1000,IF(AND(H191="كغ",I191="غ"),G191*1000,IF(AND(H191="مل",I191="لتر"),G191/1000,IF(AND(H191="لتر",I191="مل"),G191*1000,""))))))</x:f>
        <x:v>0.025</x:v>
      </x:c>
      <x:c r="K191" s="108" t="n">
        <x:v>0</x:v>
      </x:c>
      <x:c r="L191" s="46" t="str">
        <x:v>لا</x:v>
      </x:c>
      <x:c r="M191" s="100" t="str">
        <x:f>IFERROR(VLOOKUP(E191,'مواد المخزون'!$C$2:$J$500,8,FALSE),"")</x:f>
      </x:c>
      <x:c r="N191" s="100" t="str">
        <x:f>IF(OR(J191="",M191=""),"",J191*M191*(1+K191/100))</x:f>
      </x:c>
      <x:c r="O191" s="46" t="str"/>
      <x:c r="P191" s="46" t="str">
        <x:f>IF(A191="SKIP","متجاوز",IF(C191="","مفتاح منتج ناقص",IF(D191="","منتج غير موجود",IF(E191="","كود مخزون ناقص",IF(F191="","مادة غير موجودة",IF(J191="","خطأ وحدة",IF(G191&lt;=0,"كمية غير صالحة","صالح")))))))</x:f>
        <x:v>صالح</x:v>
      </x:c>
    </x:row>
    <x:row r="192">
      <x:c r="A192" s="46" t="str">
        <x:v>UPSERT_INACTIVE</x:v>
      </x:c>
      <x:c r="B192" s="46" t="str">
        <x:v>بحاجة مراجعة</x:v>
      </x:c>
      <x:c r="C192" s="46" t="str">
        <x:v>crunchy_halloumi_dog</x:v>
      </x:c>
      <x:c r="D192" s="46" t="str">
        <x:f>IFERROR(VLOOKUP(C192,'المنتجات'!$C$2:$D$500,2,FALSE),"")</x:f>
        <x:v>حلّوم مقرمش</x:v>
      </x:c>
      <x:c r="E192" s="46" t="str">
        <x:v>ING-PICKLE-MIXED-WEIGHT</x:v>
      </x:c>
      <x:c r="F192" s="46" t="str">
        <x:f>IFERROR(VLOOKUP(E192,'مواد المخزون'!$C$2:$J$500,2,FALSE),"")</x:f>
        <x:v>مخلل مشكل بالوزن</x:v>
      </x:c>
      <x:c r="G192" s="104" t="n">
        <x:v>20</x:v>
      </x:c>
      <x:c r="H192" s="46" t="str">
        <x:v>غ</x:v>
      </x:c>
      <x:c r="I192" s="46" t="str">
        <x:f>IFERROR(VLOOKUP(E192,'مواد المخزون'!$C$2:$J$500,5,FALSE),"")</x:f>
        <x:v>كغ</x:v>
      </x:c>
      <x:c r="J192" s="104" t="n">
        <x:f>IF(OR(G192="",H192="",I192=""),"",IF(H192=I192,G192,IF(AND(H192="غ",I192="كغ"),G192/1000,IF(AND(H192="كغ",I192="غ"),G192*1000,IF(AND(H192="مل",I192="لتر"),G192/1000,IF(AND(H192="لتر",I192="مل"),G192*1000,""))))))</x:f>
        <x:v>0.02</x:v>
      </x:c>
      <x:c r="K192" s="108" t="n">
        <x:v>0</x:v>
      </x:c>
      <x:c r="L192" s="46" t="str">
        <x:v>لا</x:v>
      </x:c>
      <x:c r="M192" s="100" t="str">
        <x:f>IFERROR(VLOOKUP(E192,'مواد المخزون'!$C$2:$J$500,8,FALSE),"")</x:f>
      </x:c>
      <x:c r="N192" s="100" t="str">
        <x:f>IF(OR(J192="",M192=""),"",J192*M192*(1+K192/100))</x:f>
      </x:c>
      <x:c r="O192" s="46" t="str"/>
      <x:c r="P192" s="46" t="str">
        <x:f>IF(A192="SKIP","متجاوز",IF(C192="","مفتاح منتج ناقص",IF(D192="","منتج غير موجود",IF(E192="","كود مخزون ناقص",IF(F192="","مادة غير موجودة",IF(J192="","خطأ وحدة",IF(G192&lt;=0,"كمية غير صالحة","صالح")))))))</x:f>
        <x:v>صالح</x:v>
      </x:c>
    </x:row>
    <x:row r="193">
      <x:c r="A193" s="46" t="str">
        <x:v>UPSERT_INACTIVE</x:v>
      </x:c>
      <x:c r="B193" s="46" t="str">
        <x:v>بحاجة مراجعة</x:v>
      </x:c>
      <x:c r="C193" s="46" t="str">
        <x:v>crunchy_halloumi_dog</x:v>
      </x:c>
      <x:c r="D193" s="46" t="str">
        <x:f>IFERROR(VLOOKUP(C193,'المنتجات'!$C$2:$D$500,2,FALSE),"")</x:f>
        <x:v>حلّوم مقرمش</x:v>
      </x:c>
      <x:c r="E193" s="46" t="str">
        <x:v>ING-VEG-LETTUCE</x:v>
      </x:c>
      <x:c r="F193" s="46" t="str">
        <x:f>IFERROR(VLOOKUP(E193,'مواد المخزون'!$C$2:$J$500,2,FALSE),"")</x:f>
        <x:v>خس</x:v>
      </x:c>
      <x:c r="G193" s="104" t="n">
        <x:v>0.05</x:v>
      </x:c>
      <x:c r="H193" s="46" t="str">
        <x:v>عبوة</x:v>
      </x:c>
      <x:c r="I193" s="46" t="str">
        <x:f>IFERROR(VLOOKUP(E193,'مواد المخزون'!$C$2:$J$500,5,FALSE),"")</x:f>
        <x:v>عبوة</x:v>
      </x:c>
      <x:c r="J193" s="104" t="n">
        <x:f>IF(OR(G193="",H193="",I193=""),"",IF(H193=I193,G193,IF(AND(H193="غ",I193="كغ"),G193/1000,IF(AND(H193="كغ",I193="غ"),G193*1000,IF(AND(H193="مل",I193="لتر"),G193/1000,IF(AND(H193="لتر",I193="مل"),G193*1000,""))))))</x:f>
        <x:v>0.05</x:v>
      </x:c>
      <x:c r="K193" s="108" t="n">
        <x:v>0</x:v>
      </x:c>
      <x:c r="L193" s="46" t="str">
        <x:v>لا</x:v>
      </x:c>
      <x:c r="M193" s="100" t="n">
        <x:f>IFERROR(VLOOKUP(E193,'مواد المخزون'!$C$2:$J$500,8,FALSE),"")</x:f>
        <x:v>8000</x:v>
      </x:c>
      <x:c r="N193" s="100" t="n">
        <x:f>IF(OR(J193="",M193=""),"",J193*M193*(1+K193/100))</x:f>
        <x:v>400</x:v>
      </x:c>
      <x:c r="O193" s="46" t="str">
        <x:v>راجع وحدة الخس الفعلية.</x:v>
      </x:c>
      <x:c r="P193" s="46" t="str">
        <x:f>IF(A193="SKIP","متجاوز",IF(C193="","مفتاح منتج ناقص",IF(D193="","منتج غير موجود",IF(E193="","كود مخزون ناقص",IF(F193="","مادة غير موجودة",IF(J193="","خطأ وحدة",IF(G193&lt;=0,"كمية غير صالحة","صالح")))))))</x:f>
        <x:v>صالح</x:v>
      </x:c>
    </x:row>
    <x:row r="194">
      <x:c r="A194" s="46" t="str">
        <x:v>UPSERT_INACTIVE</x:v>
      </x:c>
      <x:c r="B194" s="46" t="str">
        <x:v>بحاجة مراجعة</x:v>
      </x:c>
      <x:c r="C194" s="46" t="str">
        <x:v>grilled_cheese_bun</x:v>
      </x:c>
      <x:c r="D194" s="46" t="str">
        <x:f>IFERROR(VLOOKUP(C194,'المنتجات'!$C$2:$D$500,2,FALSE),"")</x:f>
        <x:v>خبزة جبنة مشوية</x:v>
      </x:c>
      <x:c r="E194" s="46" t="str">
        <x:v>ING-BREAD-HOTDOG</x:v>
      </x:c>
      <x:c r="F194" s="46" t="str">
        <x:f>IFERROR(VLOOKUP(E194,'مواد المخزون'!$C$2:$J$500,2,FALSE),"")</x:f>
        <x:v>خبز هوت دوغ</x:v>
      </x:c>
      <x:c r="G194" s="104" t="n">
        <x:v>1</x:v>
      </x:c>
      <x:c r="H194" s="46" t="str">
        <x:v>قطعة</x:v>
      </x:c>
      <x:c r="I194" s="46" t="str">
        <x:f>IFERROR(VLOOKUP(E194,'مواد المخزون'!$C$2:$J$500,5,FALSE),"")</x:f>
        <x:v>قطعة</x:v>
      </x:c>
      <x:c r="J194" s="104" t="n">
        <x:f>IF(OR(G194="",H194="",I194=""),"",IF(H194=I194,G194,IF(AND(H194="غ",I194="كغ"),G194/1000,IF(AND(H194="كغ",I194="غ"),G194*1000,IF(AND(H194="مل",I194="لتر"),G194/1000,IF(AND(H194="لتر",I194="مل"),G194*1000,""))))))</x:f>
        <x:v>1</x:v>
      </x:c>
      <x:c r="K194" s="108" t="n">
        <x:v>0</x:v>
      </x:c>
      <x:c r="L194" s="46" t="str">
        <x:v>لا</x:v>
      </x:c>
      <x:c r="M194" s="100" t="n">
        <x:f>IFERROR(VLOOKUP(E194,'مواد المخزون'!$C$2:$J$500,8,FALSE),"")</x:f>
        <x:v>1000</x:v>
      </x:c>
      <x:c r="N194" s="100" t="n">
        <x:f>IF(OR(J194="",M194=""),"",J194*M194*(1+K194/100))</x:f>
        <x:v>1000</x:v>
      </x:c>
      <x:c r="O194" s="46" t="str"/>
      <x:c r="P194" s="46" t="str">
        <x:f>IF(A194="SKIP","متجاوز",IF(C194="","مفتاح منتج ناقص",IF(D194="","منتج غير موجود",IF(E194="","كود مخزون ناقص",IF(F194="","مادة غير موجودة",IF(J194="","خطأ وحدة",IF(G194&lt;=0,"كمية غير صالحة","صالح")))))))</x:f>
        <x:v>صالح</x:v>
      </x:c>
    </x:row>
    <x:row r="195">
      <x:c r="A195" s="46" t="str">
        <x:v>UPSERT_INACTIVE</x:v>
      </x:c>
      <x:c r="B195" s="46" t="str">
        <x:v>بحاجة مراجعة</x:v>
      </x:c>
      <x:c r="C195" s="46" t="str">
        <x:v>grilled_cheese_bun</x:v>
      </x:c>
      <x:c r="D195" s="46" t="str">
        <x:f>IFERROR(VLOOKUP(C195,'المنتجات'!$C$2:$D$500,2,FALSE),"")</x:f>
        <x:v>خبزة جبنة مشوية</x:v>
      </x:c>
      <x:c r="E195" s="46" t="str">
        <x:v>ING-CHEESE-BURGER-SLICE</x:v>
      </x:c>
      <x:c r="F195" s="46" t="str">
        <x:f>IFERROR(VLOOKUP(E195,'مواد المخزون'!$C$2:$J$500,2,FALSE),"")</x:f>
        <x:v>شريحة جبنة برغر</x:v>
      </x:c>
      <x:c r="G195" s="104" t="n">
        <x:v>2</x:v>
      </x:c>
      <x:c r="H195" s="46" t="str">
        <x:v>قطعة</x:v>
      </x:c>
      <x:c r="I195" s="46" t="str">
        <x:f>IFERROR(VLOOKUP(E195,'مواد المخزون'!$C$2:$J$500,5,FALSE),"")</x:f>
        <x:v>قطعة</x:v>
      </x:c>
      <x:c r="J195" s="104" t="n">
        <x:f>IF(OR(G195="",H195="",I195=""),"",IF(H195=I195,G195,IF(AND(H195="غ",I195="كغ"),G195/1000,IF(AND(H195="كغ",I195="غ"),G195*1000,IF(AND(H195="مل",I195="لتر"),G195/1000,IF(AND(H195="لتر",I195="مل"),G195*1000,""))))))</x:f>
        <x:v>2</x:v>
      </x:c>
      <x:c r="K195" s="108" t="n">
        <x:v>0</x:v>
      </x:c>
      <x:c r="L195" s="46" t="str">
        <x:v>لا</x:v>
      </x:c>
      <x:c r="M195" s="100" t="str">
        <x:f>IFERROR(VLOOKUP(E195,'مواد المخزون'!$C$2:$J$500,8,FALSE),"")</x:f>
      </x:c>
      <x:c r="N195" s="100" t="str">
        <x:f>IF(OR(J195="",M195=""),"",J195*M195*(1+K195/100))</x:f>
      </x:c>
      <x:c r="O195" s="46" t="str"/>
      <x:c r="P195" s="46" t="str">
        <x:f>IF(A195="SKIP","متجاوز",IF(C195="","مفتاح منتج ناقص",IF(D195="","منتج غير موجود",IF(E195="","كود مخزون ناقص",IF(F195="","مادة غير موجودة",IF(J195="","خطأ وحدة",IF(G195&lt;=0,"كمية غير صالحة","صالح")))))))</x:f>
        <x:v>صالح</x:v>
      </x:c>
    </x:row>
    <x:row r="196">
      <x:c r="A196" s="46" t="str">
        <x:v>UPSERT_INACTIVE</x:v>
      </x:c>
      <x:c r="B196" s="46" t="str">
        <x:v>بحاجة مراجعة</x:v>
      </x:c>
      <x:c r="C196" s="46" t="str">
        <x:v>grilled_cheese_bun</x:v>
      </x:c>
      <x:c r="D196" s="46" t="str">
        <x:f>IFERROR(VLOOKUP(C196,'المنتجات'!$C$2:$D$500,2,FALSE),"")</x:f>
        <x:v>خبزة جبنة مشوية</x:v>
      </x:c>
      <x:c r="E196" s="46" t="str">
        <x:v>ING-SAUCE-SMOKY</x:v>
      </x:c>
      <x:c r="F196" s="46" t="str">
        <x:f>IFERROR(VLOOKUP(E196,'مواد المخزون'!$C$2:$J$500,2,FALSE),"")</x:f>
        <x:v>صوص مدخن</x:v>
      </x:c>
      <x:c r="G196" s="104" t="n">
        <x:v>10</x:v>
      </x:c>
      <x:c r="H196" s="46" t="str">
        <x:v>مل</x:v>
      </x:c>
      <x:c r="I196" s="46" t="str">
        <x:f>IFERROR(VLOOKUP(E196,'مواد المخزون'!$C$2:$J$500,5,FALSE),"")</x:f>
        <x:v>لتر</x:v>
      </x:c>
      <x:c r="J196" s="104" t="n">
        <x:f>IF(OR(G196="",H196="",I196=""),"",IF(H196=I196,G196,IF(AND(H196="غ",I196="كغ"),G196/1000,IF(AND(H196="كغ",I196="غ"),G196*1000,IF(AND(H196="مل",I196="لتر"),G196/1000,IF(AND(H196="لتر",I196="مل"),G196*1000,""))))))</x:f>
        <x:v>0.01</x:v>
      </x:c>
      <x:c r="K196" s="108" t="n">
        <x:v>0</x:v>
      </x:c>
      <x:c r="L196" s="46" t="str">
        <x:v>لا</x:v>
      </x:c>
      <x:c r="M196" s="100" t="str">
        <x:f>IFERROR(VLOOKUP(E196,'مواد المخزون'!$C$2:$J$500,8,FALSE),"")</x:f>
      </x:c>
      <x:c r="N196" s="100" t="str">
        <x:f>IF(OR(J196="",M196=""),"",J196*M196*(1+K196/100))</x:f>
      </x:c>
      <x:c r="O196" s="46" t="str"/>
      <x:c r="P196" s="46" t="str">
        <x:f>IF(A196="SKIP","متجاوز",IF(C196="","مفتاح منتج ناقص",IF(D196="","منتج غير موجود",IF(E196="","كود مخزون ناقص",IF(F196="","مادة غير موجودة",IF(J196="","خطأ وحدة",IF(G196&lt;=0,"كمية غير صالحة","صالح")))))))</x:f>
        <x:v>صالح</x:v>
      </x:c>
    </x:row>
    <x:row r="197">
      <x:c r="A197" s="46" t="str">
        <x:v>UPSERT_INACTIVE</x:v>
      </x:c>
      <x:c r="B197" s="46" t="str">
        <x:v>بحاجة مراجعة</x:v>
      </x:c>
      <x:c r="C197" s="46" t="str">
        <x:v>chips_with_dip</x:v>
      </x:c>
      <x:c r="D197" s="46" t="str">
        <x:f>IFERROR(VLOOKUP(C197,'المنتجات'!$C$2:$D$500,2,FALSE),"")</x:f>
        <x:v>شيبس مع صوص</x:v>
      </x:c>
      <x:c r="E197" s="46" t="str">
        <x:v>DRK-SNACK-CHIPS</x:v>
      </x:c>
      <x:c r="F197" s="46" t="str">
        <x:f>IFERROR(VLOOKUP(E197,'مواد المخزون'!$C$2:$J$500,2,FALSE),"")</x:f>
        <x:v>شيبس بطاطا</x:v>
      </x:c>
      <x:c r="G197" s="104" t="n">
        <x:v>1</x:v>
      </x:c>
      <x:c r="H197" s="46" t="str">
        <x:v>عبوة</x:v>
      </x:c>
      <x:c r="I197" s="46" t="str">
        <x:f>IFERROR(VLOOKUP(E197,'مواد المخزون'!$C$2:$J$500,5,FALSE),"")</x:f>
        <x:v>عبوة</x:v>
      </x:c>
      <x:c r="J197" s="104" t="n">
        <x:f>IF(OR(G197="",H197="",I197=""),"",IF(H197=I197,G197,IF(AND(H197="غ",I197="كغ"),G197/1000,IF(AND(H197="كغ",I197="غ"),G197*1000,IF(AND(H197="مل",I197="لتر"),G197/1000,IF(AND(H197="لتر",I197="مل"),G197*1000,""))))))</x:f>
        <x:v>1</x:v>
      </x:c>
      <x:c r="K197" s="108" t="n">
        <x:v>0</x:v>
      </x:c>
      <x:c r="L197" s="46" t="str">
        <x:v>لا</x:v>
      </x:c>
      <x:c r="M197" s="100" t="str">
        <x:f>IFERROR(VLOOKUP(E197,'مواد المخزون'!$C$2:$J$500,8,FALSE),"")</x:f>
      </x:c>
      <x:c r="N197" s="100" t="str">
        <x:f>IF(OR(J197="",M197=""),"",J197*M197*(1+K197/100))</x:f>
      </x:c>
      <x:c r="O197" s="46" t="str"/>
      <x:c r="P197" s="46" t="str">
        <x:f>IF(A197="SKIP","متجاوز",IF(C197="","مفتاح منتج ناقص",IF(D197="","منتج غير موجود",IF(E197="","كود مخزون ناقص",IF(F197="","مادة غير موجودة",IF(J197="","خطأ وحدة",IF(G197&lt;=0,"كمية غير صالحة","صالح")))))))</x:f>
        <x:v>صالح</x:v>
      </x:c>
    </x:row>
    <x:row r="198">
      <x:c r="A198" s="46" t="str">
        <x:v>UPSERT_INACTIVE</x:v>
      </x:c>
      <x:c r="B198" s="46" t="str">
        <x:v>بحاجة مراجعة</x:v>
      </x:c>
      <x:c r="C198" s="46" t="str">
        <x:v>chips_with_dip</x:v>
      </x:c>
      <x:c r="D198" s="46" t="str">
        <x:f>IFERROR(VLOOKUP(C198,'المنتجات'!$C$2:$D$500,2,FALSE),"")</x:f>
        <x:v>شيبس مع صوص</x:v>
      </x:c>
      <x:c r="E198" s="46" t="str">
        <x:v>ING-PREP-GARLIC-SAUCE</x:v>
      </x:c>
      <x:c r="F198" s="46" t="str">
        <x:f>IFERROR(VLOOKUP(E198,'مواد المخزون'!$C$2:$J$500,2,FALSE),"")</x:f>
        <x:v>ثومية / صوص ثوم</x:v>
      </x:c>
      <x:c r="G198" s="104" t="n">
        <x:v>30</x:v>
      </x:c>
      <x:c r="H198" s="46" t="str">
        <x:v>غ</x:v>
      </x:c>
      <x:c r="I198" s="46" t="str">
        <x:f>IFERROR(VLOOKUP(E198,'مواد المخزون'!$C$2:$J$500,5,FALSE),"")</x:f>
        <x:v>كغ</x:v>
      </x:c>
      <x:c r="J198" s="104" t="n">
        <x:f>IF(OR(G198="",H198="",I198=""),"",IF(H198=I198,G198,IF(AND(H198="غ",I198="كغ"),G198/1000,IF(AND(H198="كغ",I198="غ"),G198*1000,IF(AND(H198="مل",I198="لتر"),G198/1000,IF(AND(H198="لتر",I198="مل"),G198*1000,""))))))</x:f>
        <x:v>0.03</x:v>
      </x:c>
      <x:c r="K198" s="108" t="n">
        <x:v>0</x:v>
      </x:c>
      <x:c r="L198" s="46" t="str">
        <x:v>لا</x:v>
      </x:c>
      <x:c r="M198" s="100" t="str">
        <x:f>IFERROR(VLOOKUP(E198,'مواد المخزون'!$C$2:$J$500,8,FALSE),"")</x:f>
      </x:c>
      <x:c r="N198" s="100" t="str">
        <x:f>IF(OR(J198="",M198=""),"",J198*M198*(1+K198/100))</x:f>
      </x:c>
      <x:c r="O198" s="46" t="str"/>
      <x:c r="P198" s="46" t="str">
        <x:f>IF(A198="SKIP","متجاوز",IF(C198="","مفتاح منتج ناقص",IF(D198="","منتج غير موجود",IF(E198="","كود مخزون ناقص",IF(F198="","مادة غير موجودة",IF(J198="","خطأ وحدة",IF(G198&lt;=0,"كمية غير صالحة","صالح")))))))</x:f>
        <x:v>صالح</x:v>
      </x:c>
    </x:row>
    <x:row r="199">
      <x:c r="A199" s="46" t="str">
        <x:v>UPSERT_INACTIVE</x:v>
      </x:c>
      <x:c r="B199" s="46" t="str">
        <x:v>بحاجة مراجعة</x:v>
      </x:c>
      <x:c r="C199" s="46" t="str">
        <x:v>grilled_corn</x:v>
      </x:c>
      <x:c r="D199" s="46" t="str">
        <x:f>IFERROR(VLOOKUP(C199,'المنتجات'!$C$2:$D$500,2,FALSE),"")</x:f>
        <x:v>ذرة مشوية</x:v>
      </x:c>
      <x:c r="E199" s="46" t="str">
        <x:v>ING-VEG-CORNCOB</x:v>
      </x:c>
      <x:c r="F199" s="46" t="str">
        <x:f>IFERROR(VLOOKUP(E199,'مواد المخزون'!$C$2:$J$500,2,FALSE),"")</x:f>
        <x:v>عرانيس ذرة</x:v>
      </x:c>
      <x:c r="G199" s="104" t="n">
        <x:v>1</x:v>
      </x:c>
      <x:c r="H199" s="46" t="str">
        <x:v>قطعة</x:v>
      </x:c>
      <x:c r="I199" s="46" t="str">
        <x:f>IFERROR(VLOOKUP(E199,'مواد المخزون'!$C$2:$J$500,5,FALSE),"")</x:f>
        <x:v>قطعة</x:v>
      </x:c>
      <x:c r="J199" s="104" t="n">
        <x:f>IF(OR(G199="",H199="",I199=""),"",IF(H199=I199,G199,IF(AND(H199="غ",I199="كغ"),G199/1000,IF(AND(H199="كغ",I199="غ"),G199*1000,IF(AND(H199="مل",I199="لتر"),G199/1000,IF(AND(H199="لتر",I199="مل"),G199*1000,""))))))</x:f>
        <x:v>1</x:v>
      </x:c>
      <x:c r="K199" s="108" t="n">
        <x:v>0</x:v>
      </x:c>
      <x:c r="L199" s="46" t="str">
        <x:v>لا</x:v>
      </x:c>
      <x:c r="M199" s="100" t="str">
        <x:f>IFERROR(VLOOKUP(E199,'مواد المخزون'!$C$2:$J$500,8,FALSE),"")</x:f>
      </x:c>
      <x:c r="N199" s="100" t="str">
        <x:f>IF(OR(J199="",M199=""),"",J199*M199*(1+K199/100))</x:f>
      </x:c>
      <x:c r="O199" s="46" t="str"/>
      <x:c r="P199" s="46" t="str">
        <x:f>IF(A199="SKIP","متجاوز",IF(C199="","مفتاح منتج ناقص",IF(D199="","منتج غير موجود",IF(E199="","كود مخزون ناقص",IF(F199="","مادة غير موجودة",IF(J199="","خطأ وحدة",IF(G199&lt;=0,"كمية غير صالحة","صالح")))))))</x:f>
        <x:v>صالح</x:v>
      </x:c>
    </x:row>
    <x:row r="200">
      <x:c r="A200" s="46" t="str">
        <x:v>UPSERT_INACTIVE</x:v>
      </x:c>
      <x:c r="B200" s="46" t="str">
        <x:v>بحاجة مراجعة</x:v>
      </x:c>
      <x:c r="C200" s="46" t="str">
        <x:v>grilled_corn</x:v>
      </x:c>
      <x:c r="D200" s="46" t="str">
        <x:f>IFERROR(VLOOKUP(C200,'المنتجات'!$C$2:$D$500,2,FALSE),"")</x:f>
        <x:v>ذرة مشوية</x:v>
      </x:c>
      <x:c r="E200" s="46" t="str">
        <x:v>ING-DAIRY-BUTTER</x:v>
      </x:c>
      <x:c r="F200" s="46" t="str">
        <x:f>IFERROR(VLOOKUP(E200,'مواد المخزون'!$C$2:$J$500,2,FALSE),"")</x:f>
        <x:v>زبدة</x:v>
      </x:c>
      <x:c r="G200" s="104" t="n">
        <x:v>10</x:v>
      </x:c>
      <x:c r="H200" s="46" t="str">
        <x:v>غ</x:v>
      </x:c>
      <x:c r="I200" s="46" t="str">
        <x:f>IFERROR(VLOOKUP(E200,'مواد المخزون'!$C$2:$J$500,5,FALSE),"")</x:f>
        <x:v>كغ</x:v>
      </x:c>
      <x:c r="J200" s="104" t="n">
        <x:f>IF(OR(G200="",H200="",I200=""),"",IF(H200=I200,G200,IF(AND(H200="غ",I200="كغ"),G200/1000,IF(AND(H200="كغ",I200="غ"),G200*1000,IF(AND(H200="مل",I200="لتر"),G200/1000,IF(AND(H200="لتر",I200="مل"),G200*1000,""))))))</x:f>
        <x:v>0.01</x:v>
      </x:c>
      <x:c r="K200" s="108" t="n">
        <x:v>0</x:v>
      </x:c>
      <x:c r="L200" s="46" t="str">
        <x:v>لا</x:v>
      </x:c>
      <x:c r="M200" s="100" t="str">
        <x:f>IFERROR(VLOOKUP(E200,'مواد المخزون'!$C$2:$J$500,8,FALSE),"")</x:f>
      </x:c>
      <x:c r="N200" s="100" t="str">
        <x:f>IF(OR(J200="",M200=""),"",J200*M200*(1+K200/100))</x:f>
      </x:c>
      <x:c r="O200" s="46" t="str"/>
      <x:c r="P200" s="46" t="str">
        <x:f>IF(A200="SKIP","متجاوز",IF(C200="","مفتاح منتج ناقص",IF(D200="","منتج غير موجود",IF(E200="","كود مخزون ناقص",IF(F200="","مادة غير موجودة",IF(J200="","خطأ وحدة",IF(G200&lt;=0,"كمية غير صالحة","صالح")))))))</x:f>
        <x:v>صالح</x:v>
      </x:c>
    </x:row>
    <x:row r="201">
      <x:c r="A201" s="46" t="str">
        <x:v>UPSERT_INACTIVE</x:v>
      </x:c>
      <x:c r="B201" s="46" t="str">
        <x:v>بحاجة مراجعة</x:v>
      </x:c>
      <x:c r="C201" s="46" t="str">
        <x:v>grilled_corn</x:v>
      </x:c>
      <x:c r="D201" s="46" t="str">
        <x:f>IFERROR(VLOOKUP(C201,'المنتجات'!$C$2:$D$500,2,FALSE),"")</x:f>
        <x:v>ذرة مشوية</x:v>
      </x:c>
      <x:c r="E201" s="46" t="str">
        <x:v>ING-SPICE-PAPRIKA</x:v>
      </x:c>
      <x:c r="F201" s="46" t="str">
        <x:f>IFERROR(VLOOKUP(E201,'مواد المخزون'!$C$2:$J$500,2,FALSE),"")</x:f>
        <x:v>فلفل حلو مطحون</x:v>
      </x:c>
      <x:c r="G201" s="104" t="n">
        <x:v>2</x:v>
      </x:c>
      <x:c r="H201" s="46" t="str">
        <x:v>غ</x:v>
      </x:c>
      <x:c r="I201" s="46" t="str">
        <x:f>IFERROR(VLOOKUP(E201,'مواد المخزون'!$C$2:$J$500,5,FALSE),"")</x:f>
        <x:v>كغ</x:v>
      </x:c>
      <x:c r="J201" s="104" t="n">
        <x:f>IF(OR(G201="",H201="",I201=""),"",IF(H201=I201,G201,IF(AND(H201="غ",I201="كغ"),G201/1000,IF(AND(H201="كغ",I201="غ"),G201*1000,IF(AND(H201="مل",I201="لتر"),G201/1000,IF(AND(H201="لتر",I201="مل"),G201*1000,""))))))</x:f>
        <x:v>0.002</x:v>
      </x:c>
      <x:c r="K201" s="108" t="n">
        <x:v>0</x:v>
      </x:c>
      <x:c r="L201" s="46" t="str">
        <x:v>لا</x:v>
      </x:c>
      <x:c r="M201" s="100" t="n">
        <x:f>IFERROR(VLOOKUP(E201,'مواد المخزون'!$C$2:$J$500,8,FALSE),"")</x:f>
        <x:v>200000</x:v>
      </x:c>
      <x:c r="N201" s="100" t="n">
        <x:f>IF(OR(J201="",M201=""),"",J201*M201*(1+K201/100))</x:f>
        <x:v>400</x:v>
      </x:c>
      <x:c r="O201" s="46" t="str"/>
      <x:c r="P201" s="46" t="str">
        <x:f>IF(A201="SKIP","متجاوز",IF(C201="","مفتاح منتج ناقص",IF(D201="","منتج غير موجود",IF(E201="","كود مخزون ناقص",IF(F201="","مادة غير موجودة",IF(J201="","خطأ وحدة",IF(G201&lt;=0,"كمية غير صالحة","صالح")))))))</x:f>
        <x:v>صالح</x:v>
      </x:c>
    </x:row>
    <x:row r="202">
      <x:c r="A202" s="46" t="str">
        <x:v>UPSERT_INACTIVE</x:v>
      </x:c>
      <x:c r="B202" s="46" t="str">
        <x:v>بحاجة مراجعة</x:v>
      </x:c>
      <x:c r="C202" s="46" t="str">
        <x:v>grilled_corn</x:v>
      </x:c>
      <x:c r="D202" s="46" t="str">
        <x:f>IFERROR(VLOOKUP(C202,'المنتجات'!$C$2:$D$500,2,FALSE),"")</x:f>
        <x:v>ذرة مشوية</x:v>
      </x:c>
      <x:c r="E202" s="46" t="str">
        <x:v>ING-SPICE-SALT</x:v>
      </x:c>
      <x:c r="F202" s="46" t="str">
        <x:f>IFERROR(VLOOKUP(E202,'مواد المخزون'!$C$2:$J$500,2,FALSE),"")</x:f>
        <x:v>ملح</x:v>
      </x:c>
      <x:c r="G202" s="104" t="n">
        <x:v>2</x:v>
      </x:c>
      <x:c r="H202" s="46" t="str">
        <x:v>غ</x:v>
      </x:c>
      <x:c r="I202" s="46" t="str">
        <x:f>IFERROR(VLOOKUP(E202,'مواد المخزون'!$C$2:$J$500,5,FALSE),"")</x:f>
        <x:v>كغ</x:v>
      </x:c>
      <x:c r="J202" s="104" t="n">
        <x:f>IF(OR(G202="",H202="",I202=""),"",IF(H202=I202,G202,IF(AND(H202="غ",I202="كغ"),G202/1000,IF(AND(H202="كغ",I202="غ"),G202*1000,IF(AND(H202="مل",I202="لتر"),G202/1000,IF(AND(H202="لتر",I202="مل"),G202*1000,""))))))</x:f>
        <x:v>0.002</x:v>
      </x:c>
      <x:c r="K202" s="108" t="n">
        <x:v>0</x:v>
      </x:c>
      <x:c r="L202" s="46" t="str">
        <x:v>لا</x:v>
      </x:c>
      <x:c r="M202" s="100" t="str">
        <x:f>IFERROR(VLOOKUP(E202,'مواد المخزون'!$C$2:$J$500,8,FALSE),"")</x:f>
      </x:c>
      <x:c r="N202" s="100" t="str">
        <x:f>IF(OR(J202="",M202=""),"",J202*M202*(1+K202/100))</x:f>
      </x:c>
      <x:c r="O202" s="46" t="str"/>
      <x:c r="P202" s="46" t="str">
        <x:f>IF(A202="SKIP","متجاوز",IF(C202="","مفتاح منتج ناقص",IF(D202="","منتج غير موجود",IF(E202="","كود مخزون ناقص",IF(F202="","مادة غير موجودة",IF(J202="","خطأ وحدة",IF(G202&lt;=0,"كمية غير صالحة","صالح")))))))</x:f>
        <x:v>صالح</x:v>
      </x:c>
    </x:row>
    <x:row r="203">
      <x:c r="A203" s="46" t="str">
        <x:v>UPSERT_INACTIVE</x:v>
      </x:c>
      <x:c r="B203" s="46" t="str">
        <x:v>بحاجة مراجعة</x:v>
      </x:c>
      <x:c r="C203" s="46" t="str">
        <x:v>pickle_cup</x:v>
      </x:c>
      <x:c r="D203" s="46" t="str">
        <x:f>IFERROR(VLOOKUP(C203,'المنتجات'!$C$2:$D$500,2,FALSE),"")</x:f>
        <x:v>كاسة مخلل</x:v>
      </x:c>
      <x:c r="E203" s="46" t="str">
        <x:v>ING-PICKLE-MIXED-WEIGHT</x:v>
      </x:c>
      <x:c r="F203" s="46" t="str">
        <x:f>IFERROR(VLOOKUP(E203,'مواد المخزون'!$C$2:$J$500,2,FALSE),"")</x:f>
        <x:v>مخلل مشكل بالوزن</x:v>
      </x:c>
      <x:c r="G203" s="104" t="n">
        <x:v>100</x:v>
      </x:c>
      <x:c r="H203" s="46" t="str">
        <x:v>غ</x:v>
      </x:c>
      <x:c r="I203" s="46" t="str">
        <x:f>IFERROR(VLOOKUP(E203,'مواد المخزون'!$C$2:$J$500,5,FALSE),"")</x:f>
        <x:v>كغ</x:v>
      </x:c>
      <x:c r="J203" s="104" t="n">
        <x:f>IF(OR(G203="",H203="",I203=""),"",IF(H203=I203,G203,IF(AND(H203="غ",I203="كغ"),G203/1000,IF(AND(H203="كغ",I203="غ"),G203*1000,IF(AND(H203="مل",I203="لتر"),G203/1000,IF(AND(H203="لتر",I203="مل"),G203*1000,""))))))</x:f>
        <x:v>0.1</x:v>
      </x:c>
      <x:c r="K203" s="108" t="n">
        <x:v>0</x:v>
      </x:c>
      <x:c r="L203" s="46" t="str">
        <x:v>لا</x:v>
      </x:c>
      <x:c r="M203" s="100" t="str">
        <x:f>IFERROR(VLOOKUP(E203,'مواد المخزون'!$C$2:$J$500,8,FALSE),"")</x:f>
      </x:c>
      <x:c r="N203" s="100" t="str">
        <x:f>IF(OR(J203="",M203=""),"",J203*M203*(1+K203/100))</x:f>
      </x:c>
      <x:c r="O203" s="46" t="str"/>
      <x:c r="P203" s="46" t="str">
        <x:f>IF(A203="SKIP","متجاوز",IF(C203="","مفتاح منتج ناقص",IF(D203="","منتج غير موجود",IF(E203="","كود مخزون ناقص",IF(F203="","مادة غير موجودة",IF(J203="","خطأ وحدة",IF(G203&lt;=0,"كمية غير صالحة","صالح")))))))</x:f>
        <x:v>صالح</x:v>
      </x:c>
    </x:row>
    <x:row r="204">
      <x:c r="A204" s="46" t="str">
        <x:v>UPSERT_INACTIVE</x:v>
      </x:c>
      <x:c r="B204" s="46" t="str">
        <x:v>بحاجة مراجعة</x:v>
      </x:c>
      <x:c r="C204" s="46" t="str">
        <x:v>arabic_coffee</x:v>
      </x:c>
      <x:c r="D204" s="46" t="str">
        <x:f>IFERROR(VLOOKUP(C204,'المنتجات'!$C$2:$D$500,2,FALSE),"")</x:f>
        <x:v>قهوة عربية</x:v>
      </x:c>
      <x:c r="E204" s="46" t="str">
        <x:v>DRK-COF-ARABIC</x:v>
      </x:c>
      <x:c r="F204" s="46" t="str">
        <x:f>IFERROR(VLOOKUP(E204,'مواد المخزون'!$C$2:$J$500,2,FALSE),"")</x:f>
        <x:v>بن عربي فاتح</x:v>
      </x:c>
      <x:c r="G204" s="104" t="n">
        <x:v>10</x:v>
      </x:c>
      <x:c r="H204" s="46" t="str">
        <x:v>غ</x:v>
      </x:c>
      <x:c r="I204" s="46" t="str">
        <x:f>IFERROR(VLOOKUP(E204,'مواد المخزون'!$C$2:$J$500,5,FALSE),"")</x:f>
        <x:v>كغ</x:v>
      </x:c>
      <x:c r="J204" s="104" t="n">
        <x:f>IF(OR(G204="",H204="",I204=""),"",IF(H204=I204,G204,IF(AND(H204="غ",I204="كغ"),G204/1000,IF(AND(H204="كغ",I204="غ"),G204*1000,IF(AND(H204="مل",I204="لتر"),G204/1000,IF(AND(H204="لتر",I204="مل"),G204*1000,""))))))</x:f>
        <x:v>0.01</x:v>
      </x:c>
      <x:c r="K204" s="108" t="n">
        <x:v>0</x:v>
      </x:c>
      <x:c r="L204" s="46" t="str">
        <x:v>لا</x:v>
      </x:c>
      <x:c r="M204" s="100" t="str">
        <x:f>IFERROR(VLOOKUP(E204,'مواد المخزون'!$C$2:$J$500,8,FALSE),"")</x:f>
      </x:c>
      <x:c r="N204" s="100" t="str">
        <x:f>IF(OR(J204="",M204=""),"",J204*M204*(1+K204/100))</x:f>
      </x:c>
      <x:c r="O204" s="46" t="str">
        <x:v>جرعة مبدئية.</x:v>
      </x:c>
      <x:c r="P204" s="46" t="str">
        <x:f>IF(A204="SKIP","متجاوز",IF(C204="","مفتاح منتج ناقص",IF(D204="","منتج غير موجود",IF(E204="","كود مخزون ناقص",IF(F204="","مادة غير موجودة",IF(J204="","خطأ وحدة",IF(G204&lt;=0,"كمية غير صالحة","صالح")))))))</x:f>
        <x:v>صالح</x:v>
      </x:c>
    </x:row>
    <x:row r="205">
      <x:c r="A205" s="46" t="str">
        <x:v>UPSERT_INACTIVE</x:v>
      </x:c>
      <x:c r="B205" s="46" t="str">
        <x:v>بحاجة مراجعة</x:v>
      </x:c>
      <x:c r="C205" s="46" t="str">
        <x:v>italian_coffee</x:v>
      </x:c>
      <x:c r="D205" s="46" t="str">
        <x:f>IFERROR(VLOOKUP(C205,'المنتجات'!$C$2:$D$500,2,FALSE),"")</x:f>
        <x:v>قهوة إيطالية</x:v>
      </x:c>
      <x:c r="E205" s="46" t="str">
        <x:v>DRK-COF-ESPRESSO</x:v>
      </x:c>
      <x:c r="F205" s="46" t="str">
        <x:f>IFERROR(VLOOKUP(E205,'مواد المخزون'!$C$2:$J$500,2,FALSE),"")</x:f>
        <x:v>بن إسبريسو</x:v>
      </x:c>
      <x:c r="G205" s="104" t="n">
        <x:v>18</x:v>
      </x:c>
      <x:c r="H205" s="46" t="str">
        <x:v>غ</x:v>
      </x:c>
      <x:c r="I205" s="46" t="str">
        <x:f>IFERROR(VLOOKUP(E205,'مواد المخزون'!$C$2:$J$500,5,FALSE),"")</x:f>
        <x:v>كغ</x:v>
      </x:c>
      <x:c r="J205" s="104" t="n">
        <x:f>IF(OR(G205="",H205="",I205=""),"",IF(H205=I205,G205,IF(AND(H205="غ",I205="كغ"),G205/1000,IF(AND(H205="كغ",I205="غ"),G205*1000,IF(AND(H205="مل",I205="لتر"),G205/1000,IF(AND(H205="لتر",I205="مل"),G205*1000,""))))))</x:f>
        <x:v>0.018</x:v>
      </x:c>
      <x:c r="K205" s="108" t="n">
        <x:v>0</x:v>
      </x:c>
      <x:c r="L205" s="46" t="str">
        <x:v>لا</x:v>
      </x:c>
      <x:c r="M205" s="100" t="str">
        <x:f>IFERROR(VLOOKUP(E205,'مواد المخزون'!$C$2:$J$500,8,FALSE),"")</x:f>
      </x:c>
      <x:c r="N205" s="100" t="str">
        <x:f>IF(OR(J205="",M205=""),"",J205*M205*(1+K205/100))</x:f>
      </x:c>
      <x:c r="O205" s="46" t="str">
        <x:v>جرعة مبدئية.</x:v>
      </x:c>
      <x:c r="P205" s="46" t="str">
        <x:f>IF(A205="SKIP","متجاوز",IF(C205="","مفتاح منتج ناقص",IF(D205="","منتج غير موجود",IF(E205="","كود مخزون ناقص",IF(F205="","مادة غير موجودة",IF(J205="","خطأ وحدة",IF(G205&lt;=0,"كمية غير صالحة","صالح")))))))</x:f>
        <x:v>صالح</x:v>
      </x:c>
    </x:row>
    <x:row r="206">
      <x:c r="A206" s="46" t="str">
        <x:v>UPSERT_INACTIVE</x:v>
      </x:c>
      <x:c r="B206" s="46" t="str">
        <x:v>بحاجة مراجعة</x:v>
      </x:c>
      <x:c r="C206" s="46" t="str">
        <x:v>masharib_iced_tea</x:v>
      </x:c>
      <x:c r="D206" s="46" t="str">
        <x:f>IFERROR(VLOOKUP(C206,'المنتجات'!$C$2:$D$500,2,FALSE),"")</x:f>
        <x:v>آيس تي مشاريب</x:v>
      </x:c>
      <x:c r="E206" s="46" t="str">
        <x:v>DRK-TEA-AHMAD-BAG</x:v>
      </x:c>
      <x:c r="F206" s="46" t="str">
        <x:f>IFERROR(VLOOKUP(E206,'مواد المخزون'!$C$2:$J$500,2,FALSE),"")</x:f>
        <x:v>شاي أحمد عادي – ظرف</x:v>
      </x:c>
      <x:c r="G206" s="104" t="n">
        <x:v>1</x:v>
      </x:c>
      <x:c r="H206" s="46" t="str">
        <x:v>حصة</x:v>
      </x:c>
      <x:c r="I206" s="46" t="str">
        <x:f>IFERROR(VLOOKUP(E206,'مواد المخزون'!$C$2:$J$500,5,FALSE),"")</x:f>
        <x:v>حصة</x:v>
      </x:c>
      <x:c r="J206" s="104" t="n">
        <x:f>IF(OR(G206="",H206="",I206=""),"",IF(H206=I206,G206,IF(AND(H206="غ",I206="كغ"),G206/1000,IF(AND(H206="كغ",I206="غ"),G206*1000,IF(AND(H206="مل",I206="لتر"),G206/1000,IF(AND(H206="لتر",I206="مل"),G206*1000,""))))))</x:f>
        <x:v>1</x:v>
      </x:c>
      <x:c r="K206" s="108" t="n">
        <x:v>0</x:v>
      </x:c>
      <x:c r="L206" s="46" t="str">
        <x:v>لا</x:v>
      </x:c>
      <x:c r="M206" s="100" t="n">
        <x:f>IFERROR(VLOOKUP(E206,'مواد المخزون'!$C$2:$J$500,8,FALSE),"")</x:f>
        <x:v>420</x:v>
      </x:c>
      <x:c r="N206" s="100" t="n">
        <x:f>IF(OR(J206="",M206=""),"",J206*M206*(1+K206/100))</x:f>
        <x:v>420</x:v>
      </x:c>
      <x:c r="O206" s="46" t="str"/>
      <x:c r="P206" s="46" t="str">
        <x:f>IF(A206="SKIP","متجاوز",IF(C206="","مفتاح منتج ناقص",IF(D206="","منتج غير موجود",IF(E206="","كود مخزون ناقص",IF(F206="","مادة غير موجودة",IF(J206="","خطأ وحدة",IF(G206&lt;=0,"كمية غير صالحة","صالح")))))))</x:f>
        <x:v>صالح</x:v>
      </x:c>
    </x:row>
    <x:row r="207">
      <x:c r="A207" s="46" t="str">
        <x:v>UPSERT_INACTIVE</x:v>
      </x:c>
      <x:c r="B207" s="46" t="str">
        <x:v>بحاجة مراجعة</x:v>
      </x:c>
      <x:c r="C207" s="46" t="str">
        <x:v>masharib_iced_tea</x:v>
      </x:c>
      <x:c r="D207" s="46" t="str">
        <x:f>IFERROR(VLOOKUP(C207,'المنتجات'!$C$2:$D$500,2,FALSE),"")</x:f>
        <x:v>آيس تي مشاريب</x:v>
      </x:c>
      <x:c r="E207" s="46" t="str">
        <x:v>ING-SYRUP-SIMPLE</x:v>
      </x:c>
      <x:c r="F207" s="46" t="str">
        <x:f>IFERROR(VLOOKUP(E207,'مواد المخزون'!$C$2:$J$500,2,FALSE),"")</x:f>
        <x:v>سيروب سكر بسيط</x:v>
      </x:c>
      <x:c r="G207" s="104" t="n">
        <x:v>20</x:v>
      </x:c>
      <x:c r="H207" s="46" t="str">
        <x:v>مل</x:v>
      </x:c>
      <x:c r="I207" s="46" t="str">
        <x:f>IFERROR(VLOOKUP(E207,'مواد المخزون'!$C$2:$J$500,5,FALSE),"")</x:f>
        <x:v>لتر</x:v>
      </x:c>
      <x:c r="J207" s="104" t="n">
        <x:f>IF(OR(G207="",H207="",I207=""),"",IF(H207=I207,G207,IF(AND(H207="غ",I207="كغ"),G207/1000,IF(AND(H207="كغ",I207="غ"),G207*1000,IF(AND(H207="مل",I207="لتر"),G207/1000,IF(AND(H207="لتر",I207="مل"),G207*1000,""))))))</x:f>
        <x:v>0.02</x:v>
      </x:c>
      <x:c r="K207" s="108" t="n">
        <x:v>0</x:v>
      </x:c>
      <x:c r="L207" s="46" t="str">
        <x:v>لا</x:v>
      </x:c>
      <x:c r="M207" s="100" t="str">
        <x:f>IFERROR(VLOOKUP(E207,'مواد المخزون'!$C$2:$J$500,8,FALSE),"")</x:f>
      </x:c>
      <x:c r="N207" s="100" t="str">
        <x:f>IF(OR(J207="",M207=""),"",J207*M207*(1+K207/100))</x:f>
      </x:c>
      <x:c r="O207" s="46" t="str"/>
      <x:c r="P207" s="46" t="str">
        <x:f>IF(A207="SKIP","متجاوز",IF(C207="","مفتاح منتج ناقص",IF(D207="","منتج غير موجود",IF(E207="","كود مخزون ناقص",IF(F207="","مادة غير موجودة",IF(J207="","خطأ وحدة",IF(G207&lt;=0,"كمية غير صالحة","صالح")))))))</x:f>
        <x:v>صالح</x:v>
      </x:c>
    </x:row>
    <x:row r="208">
      <x:c r="A208" s="46" t="str">
        <x:v>UPSERT_INACTIVE</x:v>
      </x:c>
      <x:c r="B208" s="46" t="str">
        <x:v>بحاجة مراجعة</x:v>
      </x:c>
      <x:c r="C208" s="46" t="str">
        <x:v>masharib_iced_tea</x:v>
      </x:c>
      <x:c r="D208" s="46" t="str">
        <x:f>IFERROR(VLOOKUP(C208,'المنتجات'!$C$2:$D$500,2,FALSE),"")</x:f>
        <x:v>آيس تي مشاريب</x:v>
      </x:c>
      <x:c r="E208" s="46" t="str">
        <x:v>ING-FRT-LEMON</x:v>
      </x:c>
      <x:c r="F208" s="46" t="str">
        <x:f>IFERROR(VLOOKUP(E208,'مواد المخزون'!$C$2:$J$500,2,FALSE),"")</x:f>
        <x:v>ليمون</x:v>
      </x:c>
      <x:c r="G208" s="104" t="n">
        <x:v>20</x:v>
      </x:c>
      <x:c r="H208" s="46" t="str">
        <x:v>غ</x:v>
      </x:c>
      <x:c r="I208" s="46" t="str">
        <x:f>IFERROR(VLOOKUP(E208,'مواد المخزون'!$C$2:$J$500,5,FALSE),"")</x:f>
        <x:v>كغ</x:v>
      </x:c>
      <x:c r="J208" s="104" t="n">
        <x:f>IF(OR(G208="",H208="",I208=""),"",IF(H208=I208,G208,IF(AND(H208="غ",I208="كغ"),G208/1000,IF(AND(H208="كغ",I208="غ"),G208*1000,IF(AND(H208="مل",I208="لتر"),G208/1000,IF(AND(H208="لتر",I208="مل"),G208*1000,""))))))</x:f>
        <x:v>0.02</x:v>
      </x:c>
      <x:c r="K208" s="108" t="n">
        <x:v>0</x:v>
      </x:c>
      <x:c r="L208" s="46" t="str">
        <x:v>لا</x:v>
      </x:c>
      <x:c r="M208" s="100" t="n">
        <x:f>IFERROR(VLOOKUP(E208,'مواد المخزون'!$C$2:$J$500,8,FALSE),"")</x:f>
        <x:v>30000</x:v>
      </x:c>
      <x:c r="N208" s="100" t="n">
        <x:f>IF(OR(J208="",M208=""),"",J208*M208*(1+K208/100))</x:f>
        <x:v>600</x:v>
      </x:c>
      <x:c r="O208" s="46" t="str"/>
      <x:c r="P208" s="46" t="str">
        <x:f>IF(A208="SKIP","متجاوز",IF(C208="","مفتاح منتج ناقص",IF(D208="","منتج غير موجود",IF(E208="","كود مخزون ناقص",IF(F208="","مادة غير موجودة",IF(J208="","خطأ وحدة",IF(G208&lt;=0,"كمية غير صالحة","صالح")))))))</x:f>
        <x:v>صالح</x:v>
      </x:c>
    </x:row>
    <x:row r="209">
      <x:c r="A209" s="47" t="str">
        <x:v>UPSERT_INACTIVE</x:v>
      </x:c>
      <x:c r="B209" s="47" t="str">
        <x:v>بحاجة مراجعة</x:v>
      </x:c>
      <x:c r="C209" s="47" t="str">
        <x:v>masharib_iced_tea</x:v>
      </x:c>
      <x:c r="D209" s="47" t="str">
        <x:f>IFERROR(VLOOKUP(C209,'المنتجات'!$C$2:$D$500,2,FALSE),"")</x:f>
        <x:v>آيس تي مشاريب</x:v>
      </x:c>
      <x:c r="E209" s="47" t="str">
        <x:v>DRK-ICE</x:v>
      </x:c>
      <x:c r="F209" s="47" t="str">
        <x:f>IFERROR(VLOOKUP(E209,'مواد المخزون'!$C$2:$J$500,2,FALSE),"")</x:f>
        <x:v>ثلج</x:v>
      </x:c>
      <x:c r="G209" s="105" t="n">
        <x:v>150</x:v>
      </x:c>
      <x:c r="H209" s="47" t="str">
        <x:v>غ</x:v>
      </x:c>
      <x:c r="I209" s="47" t="str">
        <x:f>IFERROR(VLOOKUP(E209,'مواد المخزون'!$C$2:$J$500,5,FALSE),"")</x:f>
        <x:v>كغ</x:v>
      </x:c>
      <x:c r="J209" s="105" t="n">
        <x:f>IF(OR(G209="",H209="",I209=""),"",IF(H209=I209,G209,IF(AND(H209="غ",I209="كغ"),G209/1000,IF(AND(H209="كغ",I209="غ"),G209*1000,IF(AND(H209="مل",I209="لتر"),G209/1000,IF(AND(H209="لتر",I209="مل"),G209*1000,""))))))</x:f>
        <x:v>0.15</x:v>
      </x:c>
      <x:c r="K209" s="109" t="n">
        <x:v>0</x:v>
      </x:c>
      <x:c r="L209" s="47" t="str">
        <x:v>لا</x:v>
      </x:c>
      <x:c r="M209" s="101" t="n">
        <x:f>IFERROR(VLOOKUP(E209,'مواد المخزون'!$C$2:$J$500,8,FALSE),"")</x:f>
        <x:v>4000</x:v>
      </x:c>
      <x:c r="N209" s="101" t="n">
        <x:f>IF(OR(J209="",M209=""),"",J209*M209*(1+K209/100))</x:f>
        <x:v>600</x:v>
      </x:c>
      <x:c r="O209" s="47" t="str"/>
      <x:c r="P209" s="47" t="str">
        <x:f>IF(A209="SKIP","متجاوز",IF(C209="","مفتاح منتج ناقص",IF(D209="","منتج غير موجود",IF(E209="","كود مخزون ناقص",IF(F209="","مادة غير موجودة",IF(J209="","خطأ وحدة",IF(G209&lt;=0,"كمية غير صالحة","صالح")))))))</x:f>
        <x:v>صالح</x:v>
      </x:c>
    </x:row>
  </x:sheetData>
  <x:conditionalFormatting sqref="P2:P209">
    <x:cfRule type="expression" dxfId="6" priority="1">
      <x:formula>P2="صالح"</x:formula>
    </x:cfRule>
    <x:cfRule type="expression" dxfId="7" priority="2">
      <x:formula>P2&lt;&gt;"صالح"</x:formula>
    </x:cfRule>
  </x:conditionalFormatting>
  <x:conditionalFormatting sqref="B2:B209">
    <x:cfRule type="expression" dxfId="8" priority="3">
      <x:formula>B2="بحاجة مراجعة"</x:formula>
    </x:cfRule>
  </x:conditionalFormatting>
  <x:dataValidations count="4">
    <x:dataValidation type="list" sqref="A2:A209">
      <x:formula1>"UPSERT_INACTIVE,UPSERT_ACTIVE,SKIP"</x:formula1>
    </x:dataValidation>
    <x:dataValidation type="list" sqref="B2:B209">
      <x:formula1>"بحاجة مراجعة,مراجع"</x:formula1>
    </x:dataValidation>
    <x:dataValidation type="list" sqref="H2:H209">
      <x:formula1>"كغ,غ,لتر,مل,قطعة,عبوة,زجاجة,صندوق,حصة,أخرى"</x:formula1>
    </x:dataValidation>
    <x:dataValidation type="list" sqref="L2:L209">
      <x:formula1>"نعم,لا"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d112270bf24b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9" hidden="0" customWidth="1"/>
    <x:col min="7" max="7" width="10" hidden="0" customWidth="1"/>
    <x:col min="8" max="8" width="9" hidden="0" customWidth="1"/>
    <x:col min="9" max="9" width="38" hidden="0" customWidth="1"/>
  </x:cols>
  <x:sheetData>
    <x:row r="1" ht="36" customHeight="1">
      <x:c r="A1" s="81" t="str">
        <x:v>إجراء الاستيراد</x:v>
      </x:c>
      <x:c r="B1" s="82" t="str">
        <x:v>حالة المراجعة</x:v>
      </x:c>
      <x:c r="C1" s="82" t="str">
        <x:v>اسم الفئة</x:v>
      </x:c>
      <x:c r="D1" s="82" t="str">
        <x:v>Name EN</x:v>
      </x:c>
      <x:c r="E1" s="82" t="str">
        <x:v>اسم قسم القائمة</x:v>
      </x:c>
      <x:c r="F1" s="82" t="str">
        <x:v>نشط</x:v>
      </x:c>
      <x:c r="G1" s="82" t="str">
        <x:v>ظاهر QR</x:v>
      </x:c>
      <x:c r="H1" s="82" t="str">
        <x:v>الترتيب</x:v>
      </x:c>
      <x:c r="I1" s="83" t="str">
        <x:v>ملاحظات</x:v>
      </x:c>
    </x:row>
    <x:row r="2">
      <x:c r="A2" s="46" t="str">
        <x:v>MATCH_ONLY</x:v>
      </x:c>
      <x:c r="B2" s="46" t="str">
        <x:v>موجود في النظام</x:v>
      </x:c>
      <x:c r="C2" s="46" t="str">
        <x:v>مشروبات باردة</x:v>
      </x:c>
      <x:c r="D2" s="46" t="str">
        <x:v>Cold Drinks</x:v>
      </x:c>
      <x:c r="E2" s="46" t="str">
        <x:v>مشروبات باردة</x:v>
      </x:c>
      <x:c r="F2" s="46" t="str">
        <x:v>نعم</x:v>
      </x:c>
      <x:c r="G2" s="46" t="str">
        <x:v>نعم</x:v>
      </x:c>
      <x:c r="H2" s="46" t="n">
        <x:v>1</x:v>
      </x:c>
      <x:c r="I2" s="46" t="str"/>
    </x:row>
    <x:row r="3">
      <x:c r="A3" s="46" t="str">
        <x:v>MATCH_ONLY</x:v>
      </x:c>
      <x:c r="B3" s="46" t="str">
        <x:v>موجود في النظام</x:v>
      </x:c>
      <x:c r="C3" s="46" t="str">
        <x:v>البرميل الأسود</x:v>
      </x:c>
      <x:c r="D3" s="46" t="str">
        <x:v>Black Barrel</x:v>
      </x:c>
      <x:c r="E3" s="46" t="str">
        <x:v>البرميل الأسود</x:v>
      </x:c>
      <x:c r="F3" s="46" t="str">
        <x:v>نعم</x:v>
      </x:c>
      <x:c r="G3" s="46" t="str">
        <x:v>نعم</x:v>
      </x:c>
      <x:c r="H3" s="46" t="n">
        <x:v>2</x:v>
      </x:c>
      <x:c r="I3" s="46" t="str"/>
    </x:row>
    <x:row r="4">
      <x:c r="A4" s="46" t="str">
        <x:v>MATCH_ONLY</x:v>
      </x:c>
      <x:c r="B4" s="46" t="str">
        <x:v>موجود في النظام</x:v>
      </x:c>
      <x:c r="C4" s="46" t="str">
        <x:v>مشروبات كحولية</x:v>
      </x:c>
      <x:c r="D4" s="46" t="str">
        <x:v>Alcoholic Drinks</x:v>
      </x:c>
      <x:c r="E4" s="46" t="str">
        <x:v>مشروبات كحولية</x:v>
      </x:c>
      <x:c r="F4" s="46" t="str">
        <x:v>نعم</x:v>
      </x:c>
      <x:c r="G4" s="46" t="str">
        <x:v>لا</x:v>
      </x:c>
      <x:c r="H4" s="46" t="n">
        <x:v>3</x:v>
      </x:c>
      <x:c r="I4" s="46" t="str"/>
    </x:row>
    <x:row r="5">
      <x:c r="A5" s="46" t="str">
        <x:v>MATCH_ONLY</x:v>
      </x:c>
      <x:c r="B5" s="46" t="str">
        <x:v>موجود في النظام</x:v>
      </x:c>
      <x:c r="C5" s="46" t="str">
        <x:v>مشروبات ساخنة</x:v>
      </x:c>
      <x:c r="D5" s="46" t="str">
        <x:v>Hot Drinks</x:v>
      </x:c>
      <x:c r="E5" s="46" t="str">
        <x:v>مشروبات ساخنة</x:v>
      </x:c>
      <x:c r="F5" s="46" t="str">
        <x:v>نعم</x:v>
      </x:c>
      <x:c r="G5" s="46" t="str">
        <x:v>نعم</x:v>
      </x:c>
      <x:c r="H5" s="46" t="n">
        <x:v>4</x:v>
      </x:c>
      <x:c r="I5" s="46" t="str"/>
    </x:row>
    <x:row r="6">
      <x:c r="A6" s="46" t="str">
        <x:v>MATCH_ONLY</x:v>
      </x:c>
      <x:c r="B6" s="46" t="str">
        <x:v>موجود في النظام</x:v>
      </x:c>
      <x:c r="C6" s="46" t="str">
        <x:v>مشروبات توقيع</x:v>
      </x:c>
      <x:c r="D6" s="46" t="str">
        <x:v>Signature Drinks</x:v>
      </x:c>
      <x:c r="E6" s="46" t="str">
        <x:v>مشروبات توقيع</x:v>
      </x:c>
      <x:c r="F6" s="46" t="str">
        <x:v>نعم</x:v>
      </x:c>
      <x:c r="G6" s="46" t="str">
        <x:v>نعم</x:v>
      </x:c>
      <x:c r="H6" s="46" t="n">
        <x:v>5</x:v>
      </x:c>
      <x:c r="I6" s="46" t="str"/>
    </x:row>
    <x:row r="7">
      <x:c r="A7" s="46" t="str">
        <x:v>MATCH_ONLY</x:v>
      </x:c>
      <x:c r="B7" s="46" t="str">
        <x:v>موجود في النظام</x:v>
      </x:c>
      <x:c r="C7" s="46" t="str">
        <x:v>صواني وطلبات طاولة</x:v>
      </x:c>
      <x:c r="D7" s="46" t="str">
        <x:v>Trays &amp; Table Orders</x:v>
      </x:c>
      <x:c r="E7" s="46" t="str">
        <x:v>صواني وطلبات طاولة</x:v>
      </x:c>
      <x:c r="F7" s="46" t="str">
        <x:v>نعم</x:v>
      </x:c>
      <x:c r="G7" s="46" t="str">
        <x:v>نعم</x:v>
      </x:c>
      <x:c r="H7" s="46" t="n">
        <x:v>6</x:v>
      </x:c>
      <x:c r="I7" s="46" t="str"/>
    </x:row>
    <x:row r="8">
      <x:c r="A8" s="46" t="str">
        <x:v>MATCH_ONLY</x:v>
      </x:c>
      <x:c r="B8" s="46" t="str">
        <x:v>موجود في النظام</x:v>
      </x:c>
      <x:c r="C8" s="46" t="str">
        <x:v>الكيش</x:v>
      </x:c>
      <x:c r="D8" s="46" t="str">
        <x:v>Quiche</x:v>
      </x:c>
      <x:c r="E8" s="46" t="str">
        <x:v>الكيش</x:v>
      </x:c>
      <x:c r="F8" s="46" t="str">
        <x:v>نعم</x:v>
      </x:c>
      <x:c r="G8" s="46" t="str">
        <x:v>نعم</x:v>
      </x:c>
      <x:c r="H8" s="46" t="n">
        <x:v>7</x:v>
      </x:c>
      <x:c r="I8" s="46" t="str"/>
    </x:row>
    <x:row r="9">
      <x:c r="A9" s="46" t="str">
        <x:v>MATCH_ONLY</x:v>
      </x:c>
      <x:c r="B9" s="46" t="str">
        <x:v>موجود في النظام</x:v>
      </x:c>
      <x:c r="C9" s="46" t="str">
        <x:v>مناسبات فقط</x:v>
      </x:c>
      <x:c r="D9" s="46" t="str">
        <x:v>Events Only</x:v>
      </x:c>
      <x:c r="E9" s="46" t="str">
        <x:v>مناسبات فقط</x:v>
      </x:c>
      <x:c r="F9" s="46" t="str">
        <x:v>نعم</x:v>
      </x:c>
      <x:c r="G9" s="46" t="str">
        <x:v>لا</x:v>
      </x:c>
      <x:c r="H9" s="46" t="n">
        <x:v>8</x:v>
      </x:c>
      <x:c r="I9" s="46" t="str"/>
    </x:row>
    <x:row r="10">
      <x:c r="A10" s="46" t="str">
        <x:v>MATCH_ONLY</x:v>
      </x:c>
      <x:c r="B10" s="46" t="str">
        <x:v>موجود في النظام</x:v>
      </x:c>
      <x:c r="C10" s="46" t="str">
        <x:v>المازة</x:v>
      </x:c>
      <x:c r="D10" s="46" t="str">
        <x:v>Mezza</x:v>
      </x:c>
      <x:c r="E10" s="46" t="str">
        <x:v>المازة</x:v>
      </x:c>
      <x:c r="F10" s="46" t="str">
        <x:v>نعم</x:v>
      </x:c>
      <x:c r="G10" s="46" t="str">
        <x:v>نعم</x:v>
      </x:c>
      <x:c r="H10" s="46" t="n">
        <x:v>9</x:v>
      </x:c>
      <x:c r="I10" s="46" t="str"/>
    </x:row>
    <x:row r="11">
      <x:c r="A11" s="46" t="str">
        <x:v>MATCH_ONLY</x:v>
      </x:c>
      <x:c r="B11" s="46" t="str">
        <x:v>موجود في النظام</x:v>
      </x:c>
      <x:c r="C11" s="46" t="str">
        <x:v>كومبو الصباح</x:v>
      </x:c>
      <x:c r="D11" s="46" t="str">
        <x:v>Morning Combo</x:v>
      </x:c>
      <x:c r="E11" s="46" t="str">
        <x:v>كومبو الصباح</x:v>
      </x:c>
      <x:c r="F11" s="46" t="str">
        <x:v>نعم</x:v>
      </x:c>
      <x:c r="G11" s="46" t="str">
        <x:v>نعم</x:v>
      </x:c>
      <x:c r="H11" s="46" t="n">
        <x:v>10</x:v>
      </x:c>
      <x:c r="I11" s="46" t="str"/>
    </x:row>
    <x:row r="12">
      <x:c r="A12" s="46" t="str">
        <x:v>CREATE_HIDDEN</x:v>
      </x:c>
      <x:c r="B12" s="46" t="str">
        <x:v>بحاجة مراجعة</x:v>
      </x:c>
      <x:c r="C12" s="46" t="str">
        <x:v>سندويشات هَب</x:v>
      </x:c>
      <x:c r="D12" s="46" t="str">
        <x:v>Hub Sandwiches</x:v>
      </x:c>
      <x:c r="E12" s="46" t="str">
        <x:v>سندويشات هَب</x:v>
      </x:c>
      <x:c r="F12" s="46" t="str">
        <x:v>لا</x:v>
      </x:c>
      <x:c r="G12" s="46" t="str">
        <x:v>لا</x:v>
      </x:c>
      <x:c r="H12" s="46" t="n">
        <x:v>11</x:v>
      </x:c>
      <x:c r="I12" s="46" t="str">
        <x:v>يُنشأ القسم مخفياً حتى مراجعة المنتجات.</x:v>
      </x:c>
    </x:row>
    <x:row r="13">
      <x:c r="A13" s="46" t="str">
        <x:v>CREATE_HIDDEN</x:v>
      </x:c>
      <x:c r="B13" s="46" t="str">
        <x:v>بحاجة مراجعة</x:v>
      </x:c>
      <x:c r="C13" s="46" t="str">
        <x:v>طبق اليوم</x:v>
      </x:c>
      <x:c r="D13" s="46" t="str">
        <x:v>Daily Dish</x:v>
      </x:c>
      <x:c r="E13" s="46" t="str">
        <x:v>طبق اليوم</x:v>
      </x:c>
      <x:c r="F13" s="46" t="str">
        <x:v>لا</x:v>
      </x:c>
      <x:c r="G13" s="46" t="str">
        <x:v>لا</x:v>
      </x:c>
      <x:c r="H13" s="46" t="n">
        <x:v>12</x:v>
      </x:c>
      <x:c r="I13" s="46" t="str">
        <x:v>يُنشأ القسم مخفياً حتى مراجعة المنتجات.</x:v>
      </x:c>
    </x:row>
    <x:row r="14">
      <x:c r="A14" s="47" t="str">
        <x:v>CREATE_HIDDEN</x:v>
      </x:c>
      <x:c r="B14" s="47" t="str">
        <x:v>بحاجة مراجعة</x:v>
      </x:c>
      <x:c r="C14" s="47" t="str">
        <x:v>سناكات وحلويات</x:v>
      </x:c>
      <x:c r="D14" s="47" t="str">
        <x:v>Snacks &amp; Desserts</x:v>
      </x:c>
      <x:c r="E14" s="47" t="str">
        <x:v>سناكات وحلويات</x:v>
      </x:c>
      <x:c r="F14" s="47" t="str">
        <x:v>لا</x:v>
      </x:c>
      <x:c r="G14" s="47" t="str">
        <x:v>لا</x:v>
      </x:c>
      <x:c r="H14" s="47" t="n">
        <x:v>13</x:v>
      </x:c>
      <x:c r="I14" s="47" t="str">
        <x:v>يُنشأ القسم مخفياً حتى مراجعة المنتجات.</x:v>
      </x:c>
    </x:row>
  </x:sheetData>
  <x:conditionalFormatting sqref="A2:A14">
    <x:cfRule type="expression" dxfId="9" priority="1">
      <x:formula>A2="CREATE_HIDDEN"</x:formula>
    </x:cfRule>
  </x:conditionalFormatting>
  <x:dataValidations count="3">
    <x:dataValidation type="list" sqref="A2:A14">
      <x:formula1>"MATCH_ONLY,CREATE_HIDDEN,SKIP"</x:formula1>
    </x:dataValidation>
    <x:dataValidation type="list" sqref="F2:F14">
      <x:formula1>"نعم,لا"</x:formula1>
    </x:dataValidation>
    <x:dataValidation type="list" sqref="G2:G14">
      <x:formula1>"نعم,لا"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4ee12eee414d2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23" hidden="0" customWidth="1"/>
    <x:col min="5" max="5" width="14" hidden="0" customWidth="1"/>
    <x:col min="6" max="6" width="10" hidden="0" customWidth="1"/>
    <x:col min="7" max="7" width="10" hidden="0" customWidth="1"/>
    <x:col min="8" max="8" width="10" hidden="0" customWidth="1"/>
    <x:col min="9" max="9" width="24" hidden="0" customWidth="1"/>
    <x:col min="10" max="10" width="25" hidden="0" customWidth="1"/>
    <x:col min="11" max="11" width="13" hidden="0" customWidth="1"/>
    <x:col min="12" max="12" width="10" hidden="0" customWidth="1"/>
    <x:col min="13" max="13" width="9" hidden="0" customWidth="1"/>
    <x:col min="14" max="14" width="48" hidden="0" customWidth="1"/>
    <x:col min="15" max="15" width="36" hidden="0" customWidth="1"/>
  </x:cols>
  <x:sheetData>
    <x:row r="1" ht="36" customHeight="1">
      <x:c r="A1" s="81" t="str">
        <x:v>إجراء الاستيراد</x:v>
      </x:c>
      <x:c r="B1" s="82" t="str">
        <x:v>حالة المراجعة</x:v>
      </x:c>
      <x:c r="C1" s="82" t="str">
        <x:v>كود المجموعة</x:v>
      </x:c>
      <x:c r="D1" s="82" t="str">
        <x:v>اسم المجموعة</x:v>
      </x:c>
      <x:c r="E1" s="82" t="str">
        <x:v>نوع الاختيار</x:v>
      </x:c>
      <x:c r="F1" s="82" t="str">
        <x:v>إلزامي</x:v>
      </x:c>
      <x:c r="G1" s="82" t="str">
        <x:v>الحد الأدنى</x:v>
      </x:c>
      <x:c r="H1" s="82" t="str">
        <x:v>الحد الأقصى</x:v>
      </x:c>
      <x:c r="I1" s="82" t="str">
        <x:v>كود الخيار</x:v>
      </x:c>
      <x:c r="J1" s="82" t="str">
        <x:v>اسم الخيار</x:v>
      </x:c>
      <x:c r="K1" s="82" t="str">
        <x:v>فرق السعر</x:v>
      </x:c>
      <x:c r="L1" s="82" t="str">
        <x:v>افتراضي</x:v>
      </x:c>
      <x:c r="M1" s="82" t="str">
        <x:v>نشط</x:v>
      </x:c>
      <x:c r="N1" s="82" t="str">
        <x:v>مفاتيح المنتجات</x:v>
      </x:c>
      <x:c r="O1" s="83" t="str">
        <x:v>ملاحظات</x:v>
      </x:c>
    </x:row>
    <x:row r="2">
      <x:c r="A2" s="46" t="str">
        <x:v>MATCH_ONLY</x:v>
      </x:c>
      <x:c r="B2" s="46" t="str">
        <x:v>موجود في النظام</x:v>
      </x:c>
      <x:c r="C2" s="46" t="str">
        <x:v>masharib_sugar</x:v>
      </x:c>
      <x:c r="D2" s="46" t="str">
        <x:v>السكر</x:v>
      </x:c>
      <x:c r="E2" s="46" t="str">
        <x:v>single</x:v>
      </x:c>
      <x:c r="F2" s="46" t="str">
        <x:v>لا</x:v>
      </x:c>
      <x:c r="G2" s="46" t="n">
        <x:v>0</x:v>
      </x:c>
      <x:c r="H2" s="46" t="n">
        <x:v>1</x:v>
      </x:c>
      <x:c r="I2" s="46" t="str">
        <x:v>no_sugar</x:v>
      </x:c>
      <x:c r="J2" s="46" t="str">
        <x:v>بدون سكر</x:v>
      </x:c>
      <x:c r="K2" s="92" t="n">
        <x:v>0</x:v>
      </x:c>
      <x:c r="L2" s="46" t="str">
        <x:v>نعم</x:v>
      </x:c>
      <x:c r="M2" s="46" t="str">
        <x:v>نعم</x:v>
      </x:c>
      <x:c r="N2" s="46" t="str">
        <x:v>regular_tea,fruit_flavored_tea,mint_tea,sage_tea,earl_grey_tea</x:v>
      </x:c>
      <x:c r="O2" s="46" t="str"/>
    </x:row>
    <x:row r="3">
      <x:c r="A3" s="46" t="str">
        <x:v>MATCH_ONLY</x:v>
      </x:c>
      <x:c r="B3" s="46" t="str">
        <x:v>موجود في النظام</x:v>
      </x:c>
      <x:c r="C3" s="46" t="str">
        <x:v>masharib_sugar</x:v>
      </x:c>
      <x:c r="D3" s="46" t="str">
        <x:v>السكر</x:v>
      </x:c>
      <x:c r="E3" s="46" t="str">
        <x:v>single</x:v>
      </x:c>
      <x:c r="F3" s="46" t="str">
        <x:v>لا</x:v>
      </x:c>
      <x:c r="G3" s="46" t="n">
        <x:v>0</x:v>
      </x:c>
      <x:c r="H3" s="46" t="n">
        <x:v>1</x:v>
      </x:c>
      <x:c r="I3" s="46" t="str">
        <x:v>light_sugar</x:v>
      </x:c>
      <x:c r="J3" s="46" t="str">
        <x:v>سكر خفيف</x:v>
      </x:c>
      <x:c r="K3" s="92" t="n">
        <x:v>0</x:v>
      </x:c>
      <x:c r="L3" s="46" t="str">
        <x:v>لا</x:v>
      </x:c>
      <x:c r="M3" s="46" t="str">
        <x:v>نعم</x:v>
      </x:c>
      <x:c r="N3" s="46" t="str">
        <x:v>regular_tea,fruit_flavored_tea,mint_tea,sage_tea,earl_grey_tea</x:v>
      </x:c>
      <x:c r="O3" s="46" t="str"/>
    </x:row>
    <x:row r="4">
      <x:c r="A4" s="46" t="str">
        <x:v>MATCH_ONLY</x:v>
      </x:c>
      <x:c r="B4" s="46" t="str">
        <x:v>موجود في النظام</x:v>
      </x:c>
      <x:c r="C4" s="46" t="str">
        <x:v>masharib_sugar</x:v>
      </x:c>
      <x:c r="D4" s="46" t="str">
        <x:v>السكر</x:v>
      </x:c>
      <x:c r="E4" s="46" t="str">
        <x:v>single</x:v>
      </x:c>
      <x:c r="F4" s="46" t="str">
        <x:v>لا</x:v>
      </x:c>
      <x:c r="G4" s="46" t="n">
        <x:v>0</x:v>
      </x:c>
      <x:c r="H4" s="46" t="n">
        <x:v>1</x:v>
      </x:c>
      <x:c r="I4" s="46" t="str">
        <x:v>normal</x:v>
      </x:c>
      <x:c r="J4" s="46" t="str">
        <x:v>عادي</x:v>
      </x:c>
      <x:c r="K4" s="92" t="n">
        <x:v>0</x:v>
      </x:c>
      <x:c r="L4" s="46" t="str">
        <x:v>لا</x:v>
      </x:c>
      <x:c r="M4" s="46" t="str">
        <x:v>نعم</x:v>
      </x:c>
      <x:c r="N4" s="46" t="str">
        <x:v>regular_tea,fruit_flavored_tea,mint_tea,sage_tea,earl_grey_tea</x:v>
      </x:c>
      <x:c r="O4" s="46" t="str"/>
    </x:row>
    <x:row r="5">
      <x:c r="A5" s="46" t="str">
        <x:v>MATCH_ONLY</x:v>
      </x:c>
      <x:c r="B5" s="46" t="str">
        <x:v>موجود في النظام</x:v>
      </x:c>
      <x:c r="C5" s="46" t="str">
        <x:v>masharib_sugar</x:v>
      </x:c>
      <x:c r="D5" s="46" t="str">
        <x:v>السكر</x:v>
      </x:c>
      <x:c r="E5" s="46" t="str">
        <x:v>single</x:v>
      </x:c>
      <x:c r="F5" s="46" t="str">
        <x:v>لا</x:v>
      </x:c>
      <x:c r="G5" s="46" t="n">
        <x:v>0</x:v>
      </x:c>
      <x:c r="H5" s="46" t="n">
        <x:v>1</x:v>
      </x:c>
      <x:c r="I5" s="46" t="str">
        <x:v>extra_sugar</x:v>
      </x:c>
      <x:c r="J5" s="46" t="str">
        <x:v>زيادة سكر</x:v>
      </x:c>
      <x:c r="K5" s="92" t="n">
        <x:v>0</x:v>
      </x:c>
      <x:c r="L5" s="46" t="str">
        <x:v>لا</x:v>
      </x:c>
      <x:c r="M5" s="46" t="str">
        <x:v>نعم</x:v>
      </x:c>
      <x:c r="N5" s="46" t="str">
        <x:v>regular_tea,fruit_flavored_tea,mint_tea,sage_tea,earl_grey_tea</x:v>
      </x:c>
      <x:c r="O5" s="46" t="str"/>
    </x:row>
    <x:row r="6">
      <x:c r="A6" s="46" t="str">
        <x:v>MATCH_ONLY</x:v>
      </x:c>
      <x:c r="B6" s="46" t="str">
        <x:v>موجود في النظام</x:v>
      </x:c>
      <x:c r="C6" s="46" t="str">
        <x:v>masharib_serving</x:v>
      </x:c>
      <x:c r="D6" s="46" t="str">
        <x:v>التقديم</x:v>
      </x:c>
      <x:c r="E6" s="46" t="str">
        <x:v>single</x:v>
      </x:c>
      <x:c r="F6" s="46" t="str">
        <x:v>لا</x:v>
      </x:c>
      <x:c r="G6" s="46" t="n">
        <x:v>0</x:v>
      </x:c>
      <x:c r="H6" s="46" t="n">
        <x:v>1</x:v>
      </x:c>
      <x:c r="I6" s="46" t="str">
        <x:v>with_ice</x:v>
      </x:c>
      <x:c r="J6" s="46" t="str">
        <x:v>مع ثلج</x:v>
      </x:c>
      <x:c r="K6" s="92" t="n">
        <x:v>0</x:v>
      </x:c>
      <x:c r="L6" s="46" t="str">
        <x:v>نعم</x:v>
      </x:c>
      <x:c r="M6" s="46" t="str">
        <x:v>نعم</x:v>
      </x:c>
      <x:c r="N6" s="46" t="str">
        <x:v>cola_7up_glass</x:v>
      </x:c>
      <x:c r="O6" s="46" t="str"/>
    </x:row>
    <x:row r="7">
      <x:c r="A7" s="46" t="str">
        <x:v>MATCH_ONLY</x:v>
      </x:c>
      <x:c r="B7" s="46" t="str">
        <x:v>موجود في النظام</x:v>
      </x:c>
      <x:c r="C7" s="46" t="str">
        <x:v>masharib_serving</x:v>
      </x:c>
      <x:c r="D7" s="46" t="str">
        <x:v>التقديم</x:v>
      </x:c>
      <x:c r="E7" s="46" t="str">
        <x:v>single</x:v>
      </x:c>
      <x:c r="F7" s="46" t="str">
        <x:v>لا</x:v>
      </x:c>
      <x:c r="G7" s="46" t="n">
        <x:v>0</x:v>
      </x:c>
      <x:c r="H7" s="46" t="n">
        <x:v>1</x:v>
      </x:c>
      <x:c r="I7" s="46" t="str">
        <x:v>no_ice</x:v>
      </x:c>
      <x:c r="J7" s="46" t="str">
        <x:v>بدون ثلج</x:v>
      </x:c>
      <x:c r="K7" s="92" t="n">
        <x:v>0</x:v>
      </x:c>
      <x:c r="L7" s="46" t="str">
        <x:v>لا</x:v>
      </x:c>
      <x:c r="M7" s="46" t="str">
        <x:v>نعم</x:v>
      </x:c>
      <x:c r="N7" s="46" t="str">
        <x:v>cola_7up_glass</x:v>
      </x:c>
      <x:c r="O7" s="46" t="str"/>
    </x:row>
    <x:row r="8">
      <x:c r="A8" s="46" t="str">
        <x:v>MATCH_ONLY</x:v>
      </x:c>
      <x:c r="B8" s="46" t="str">
        <x:v>موجود في النظام</x:v>
      </x:c>
      <x:c r="C8" s="46" t="str">
        <x:v>masharib_serving</x:v>
      </x:c>
      <x:c r="D8" s="46" t="str">
        <x:v>التقديم</x:v>
      </x:c>
      <x:c r="E8" s="46" t="str">
        <x:v>single</x:v>
      </x:c>
      <x:c r="F8" s="46" t="str">
        <x:v>لا</x:v>
      </x:c>
      <x:c r="G8" s="46" t="n">
        <x:v>0</x:v>
      </x:c>
      <x:c r="H8" s="46" t="n">
        <x:v>1</x:v>
      </x:c>
      <x:c r="I8" s="46" t="str">
        <x:v>lemon</x:v>
      </x:c>
      <x:c r="J8" s="46" t="str">
        <x:v>ليمون</x:v>
      </x:c>
      <x:c r="K8" s="92" t="n">
        <x:v>1000</x:v>
      </x:c>
      <x:c r="L8" s="46" t="str">
        <x:v>لا</x:v>
      </x:c>
      <x:c r="M8" s="46" t="str">
        <x:v>نعم</x:v>
      </x:c>
      <x:c r="N8" s="46" t="str">
        <x:v>cola_7up_glass</x:v>
      </x:c>
      <x:c r="O8" s="46" t="str"/>
    </x:row>
    <x:row r="9">
      <x:c r="A9" s="46" t="str">
        <x:v>MATCH_ONLY</x:v>
      </x:c>
      <x:c r="B9" s="46" t="str">
        <x:v>موجود في النظام</x:v>
      </x:c>
      <x:c r="C9" s="46" t="str">
        <x:v>masharib_additions</x:v>
      </x:c>
      <x:c r="D9" s="46" t="str">
        <x:v>إضافات</x:v>
      </x:c>
      <x:c r="E9" s="46" t="str">
        <x:v>single</x:v>
      </x:c>
      <x:c r="F9" s="46" t="str">
        <x:v>لا</x:v>
      </x:c>
      <x:c r="G9" s="46" t="n">
        <x:v>0</x:v>
      </x:c>
      <x:c r="H9" s="46" t="n">
        <x:v>1</x:v>
      </x:c>
      <x:c r="I9" s="46" t="str">
        <x:v>no_additions</x:v>
      </x:c>
      <x:c r="J9" s="46" t="str">
        <x:v>بدون إضافات</x:v>
      </x:c>
      <x:c r="K9" s="92" t="n">
        <x:v>0</x:v>
      </x:c>
      <x:c r="L9" s="46" t="str">
        <x:v>نعم</x:v>
      </x:c>
      <x:c r="M9" s="46" t="str">
        <x:v>نعم</x:v>
      </x:c>
      <x:c r="N9" s="46" t="str">
        <x:v>karma_jallab</x:v>
      </x:c>
      <x:c r="O9" s="46" t="str"/>
    </x:row>
    <x:row r="10">
      <x:c r="A10" s="46" t="str">
        <x:v>MATCH_ONLY</x:v>
      </x:c>
      <x:c r="B10" s="46" t="str">
        <x:v>موجود في النظام</x:v>
      </x:c>
      <x:c r="C10" s="46" t="str">
        <x:v>masharib_additions</x:v>
      </x:c>
      <x:c r="D10" s="46" t="str">
        <x:v>إضافات</x:v>
      </x:c>
      <x:c r="E10" s="46" t="str">
        <x:v>single</x:v>
      </x:c>
      <x:c r="F10" s="46" t="str">
        <x:v>لا</x:v>
      </x:c>
      <x:c r="G10" s="46" t="n">
        <x:v>0</x:v>
      </x:c>
      <x:c r="H10" s="46" t="n">
        <x:v>1</x:v>
      </x:c>
      <x:c r="I10" s="46" t="str">
        <x:v>nuts</x:v>
      </x:c>
      <x:c r="J10" s="46" t="str">
        <x:v>مكسرات</x:v>
      </x:c>
      <x:c r="K10" s="92" t="n">
        <x:v>3000</x:v>
      </x:c>
      <x:c r="L10" s="46" t="str">
        <x:v>لا</x:v>
      </x:c>
      <x:c r="M10" s="46" t="str">
        <x:v>نعم</x:v>
      </x:c>
      <x:c r="N10" s="46" t="str">
        <x:v>karma_jallab</x:v>
      </x:c>
      <x:c r="O10" s="46" t="str"/>
    </x:row>
    <x:row r="11">
      <x:c r="A11" s="46" t="str">
        <x:v>MATCH_ONLY</x:v>
      </x:c>
      <x:c r="B11" s="46" t="str">
        <x:v>موجود في النظام</x:v>
      </x:c>
      <x:c r="C11" s="46" t="str">
        <x:v>masharib_drink_upgrade</x:v>
      </x:c>
      <x:c r="D11" s="46" t="str">
        <x:v>ترقية المشروب</x:v>
      </x:c>
      <x:c r="E11" s="46" t="str">
        <x:v>single</x:v>
      </x:c>
      <x:c r="F11" s="46" t="str">
        <x:v>لا</x:v>
      </x:c>
      <x:c r="G11" s="46" t="n">
        <x:v>0</x:v>
      </x:c>
      <x:c r="H11" s="46" t="n">
        <x:v>1</x:v>
      </x:c>
      <x:c r="I11" s="46" t="str">
        <x:v>regular_tea</x:v>
      </x:c>
      <x:c r="J11" s="46" t="str">
        <x:v>شاي عادي</x:v>
      </x:c>
      <x:c r="K11" s="92" t="n">
        <x:v>0</x:v>
      </x:c>
      <x:c r="L11" s="46" t="str">
        <x:v>نعم</x:v>
      </x:c>
      <x:c r="M11" s="46" t="str">
        <x:v>نعم</x:v>
      </x:c>
      <x:c r="N11" s="46" t="str">
        <x:v>morning_combo</x:v>
      </x:c>
      <x:c r="O11" s="46" t="str"/>
    </x:row>
    <x:row r="12">
      <x:c r="A12" s="46" t="str">
        <x:v>MATCH_ONLY</x:v>
      </x:c>
      <x:c r="B12" s="46" t="str">
        <x:v>موجود في النظام</x:v>
      </x:c>
      <x:c r="C12" s="46" t="str">
        <x:v>masharib_drink_upgrade</x:v>
      </x:c>
      <x:c r="D12" s="46" t="str">
        <x:v>ترقية المشروب</x:v>
      </x:c>
      <x:c r="E12" s="46" t="str">
        <x:v>single</x:v>
      </x:c>
      <x:c r="F12" s="46" t="str">
        <x:v>لا</x:v>
      </x:c>
      <x:c r="G12" s="46" t="n">
        <x:v>0</x:v>
      </x:c>
      <x:c r="H12" s="46" t="n">
        <x:v>1</x:v>
      </x:c>
      <x:c r="I12" s="46" t="str">
        <x:v>coffee</x:v>
      </x:c>
      <x:c r="J12" s="46" t="str">
        <x:v>قهوة</x:v>
      </x:c>
      <x:c r="K12" s="92" t="n">
        <x:v>0</x:v>
      </x:c>
      <x:c r="L12" s="46" t="str">
        <x:v>لا</x:v>
      </x:c>
      <x:c r="M12" s="46" t="str">
        <x:v>نعم</x:v>
      </x:c>
      <x:c r="N12" s="46" t="str">
        <x:v>morning_combo</x:v>
      </x:c>
      <x:c r="O12" s="46" t="str"/>
    </x:row>
    <x:row r="13">
      <x:c r="A13" s="46" t="str">
        <x:v>MATCH_ONLY</x:v>
      </x:c>
      <x:c r="B13" s="46" t="str">
        <x:v>موجود في النظام</x:v>
      </x:c>
      <x:c r="C13" s="46" t="str">
        <x:v>masharib_drink_upgrade</x:v>
      </x:c>
      <x:c r="D13" s="46" t="str">
        <x:v>ترقية المشروب</x:v>
      </x:c>
      <x:c r="E13" s="46" t="str">
        <x:v>single</x:v>
      </x:c>
      <x:c r="F13" s="46" t="str">
        <x:v>لا</x:v>
      </x:c>
      <x:c r="G13" s="46" t="n">
        <x:v>0</x:v>
      </x:c>
      <x:c r="H13" s="46" t="n">
        <x:v>1</x:v>
      </x:c>
      <x:c r="I13" s="46" t="str">
        <x:v>canned_drink</x:v>
      </x:c>
      <x:c r="J13" s="46" t="str">
        <x:v>مشروب معلب</x:v>
      </x:c>
      <x:c r="K13" s="92" t="n">
        <x:v>0</x:v>
      </x:c>
      <x:c r="L13" s="46" t="str">
        <x:v>لا</x:v>
      </x:c>
      <x:c r="M13" s="46" t="str">
        <x:v>نعم</x:v>
      </x:c>
      <x:c r="N13" s="46" t="str">
        <x:v>morning_combo</x:v>
      </x:c>
      <x:c r="O13" s="46" t="str"/>
    </x:row>
    <x:row r="14">
      <x:c r="A14" s="46" t="str">
        <x:v>MATCH_ONLY</x:v>
      </x:c>
      <x:c r="B14" s="46" t="str">
        <x:v>موجود في النظام</x:v>
      </x:c>
      <x:c r="C14" s="46" t="str">
        <x:v>masharib_drink_upgrade</x:v>
      </x:c>
      <x:c r="D14" s="46" t="str">
        <x:v>ترقية المشروب</x:v>
      </x:c>
      <x:c r="E14" s="46" t="str">
        <x:v>single</x:v>
      </x:c>
      <x:c r="F14" s="46" t="str">
        <x:v>لا</x:v>
      </x:c>
      <x:c r="G14" s="46" t="n">
        <x:v>0</x:v>
      </x:c>
      <x:c r="H14" s="46" t="n">
        <x:v>1</x:v>
      </x:c>
      <x:c r="I14" s="46" t="str">
        <x:v>mint_or_sage_tea</x:v>
      </x:c>
      <x:c r="J14" s="46" t="str">
        <x:v>شاي نعنع أو ميرمية</x:v>
      </x:c>
      <x:c r="K14" s="92" t="n">
        <x:v>1000</x:v>
      </x:c>
      <x:c r="L14" s="46" t="str">
        <x:v>لا</x:v>
      </x:c>
      <x:c r="M14" s="46" t="str">
        <x:v>نعم</x:v>
      </x:c>
      <x:c r="N14" s="46" t="str">
        <x:v>morning_combo</x:v>
      </x:c>
      <x:c r="O14" s="46" t="str"/>
    </x:row>
    <x:row r="15">
      <x:c r="A15" s="46" t="str">
        <x:v>MATCH_ONLY</x:v>
      </x:c>
      <x:c r="B15" s="46" t="str">
        <x:v>موجود في النظام</x:v>
      </x:c>
      <x:c r="C15" s="46" t="str">
        <x:v>masharib_drink_upgrade</x:v>
      </x:c>
      <x:c r="D15" s="46" t="str">
        <x:v>ترقية المشروب</x:v>
      </x:c>
      <x:c r="E15" s="46" t="str">
        <x:v>single</x:v>
      </x:c>
      <x:c r="F15" s="46" t="str">
        <x:v>لا</x:v>
      </x:c>
      <x:c r="G15" s="46" t="n">
        <x:v>0</x:v>
      </x:c>
      <x:c r="H15" s="46" t="n">
        <x:v>1</x:v>
      </x:c>
      <x:c r="I15" s="46" t="str">
        <x:v>zhourat</x:v>
      </x:c>
      <x:c r="J15" s="46" t="str">
        <x:v>زهورات</x:v>
      </x:c>
      <x:c r="K15" s="92" t="n">
        <x:v>3000</x:v>
      </x:c>
      <x:c r="L15" s="46" t="str">
        <x:v>لا</x:v>
      </x:c>
      <x:c r="M15" s="46" t="str">
        <x:v>نعم</x:v>
      </x:c>
      <x:c r="N15" s="46" t="str">
        <x:v>morning_combo</x:v>
      </x:c>
      <x:c r="O15" s="46" t="str"/>
    </x:row>
    <x:row r="16">
      <x:c r="A16" s="46" t="str">
        <x:v>MATCH_ONLY</x:v>
      </x:c>
      <x:c r="B16" s="46" t="str">
        <x:v>موجود في النظام</x:v>
      </x:c>
      <x:c r="C16" s="46" t="str">
        <x:v>masharib_drink_upgrade</x:v>
      </x:c>
      <x:c r="D16" s="46" t="str">
        <x:v>ترقية المشروب</x:v>
      </x:c>
      <x:c r="E16" s="46" t="str">
        <x:v>single</x:v>
      </x:c>
      <x:c r="F16" s="46" t="str">
        <x:v>لا</x:v>
      </x:c>
      <x:c r="G16" s="46" t="n">
        <x:v>0</x:v>
      </x:c>
      <x:c r="H16" s="46" t="n">
        <x:v>1</x:v>
      </x:c>
      <x:c r="I16" s="46" t="str">
        <x:v>hot_chocolate</x:v>
      </x:c>
      <x:c r="J16" s="46" t="str">
        <x:v>هوت شوكليت</x:v>
      </x:c>
      <x:c r="K16" s="92" t="n">
        <x:v>4000</x:v>
      </x:c>
      <x:c r="L16" s="46" t="str">
        <x:v>لا</x:v>
      </x:c>
      <x:c r="M16" s="46" t="str">
        <x:v>نعم</x:v>
      </x:c>
      <x:c r="N16" s="46" t="str">
        <x:v>morning_combo</x:v>
      </x:c>
      <x:c r="O16" s="46" t="str"/>
    </x:row>
    <x:row r="17">
      <x:c r="A17" s="46" t="str">
        <x:v>MATCH_ONLY</x:v>
      </x:c>
      <x:c r="B17" s="46" t="str">
        <x:v>موجود في النظام</x:v>
      </x:c>
      <x:c r="C17" s="46" t="str">
        <x:v>masharib_drink_upgrade</x:v>
      </x:c>
      <x:c r="D17" s="46" t="str">
        <x:v>ترقية المشروب</x:v>
      </x:c>
      <x:c r="E17" s="46" t="str">
        <x:v>single</x:v>
      </x:c>
      <x:c r="F17" s="46" t="str">
        <x:v>لا</x:v>
      </x:c>
      <x:c r="G17" s="46" t="n">
        <x:v>0</x:v>
      </x:c>
      <x:c r="H17" s="46" t="n">
        <x:v>1</x:v>
      </x:c>
      <x:c r="I17" s="46" t="str">
        <x:v>dibs_lemon</x:v>
      </x:c>
      <x:c r="J17" s="46" t="str">
        <x:v>دبس وليمون</x:v>
      </x:c>
      <x:c r="K17" s="92" t="n">
        <x:v>6000</x:v>
      </x:c>
      <x:c r="L17" s="46" t="str">
        <x:v>لا</x:v>
      </x:c>
      <x:c r="M17" s="46" t="str">
        <x:v>نعم</x:v>
      </x:c>
      <x:c r="N17" s="46" t="str">
        <x:v>morning_combo</x:v>
      </x:c>
      <x:c r="O17" s="46" t="str"/>
    </x:row>
    <x:row r="18">
      <x:c r="A18" s="46" t="str">
        <x:v>MATCH_ONLY</x:v>
      </x:c>
      <x:c r="B18" s="46" t="str">
        <x:v>موجود في النظام</x:v>
      </x:c>
      <x:c r="C18" s="46" t="str">
        <x:v>masharib_drink_upgrade</x:v>
      </x:c>
      <x:c r="D18" s="46" t="str">
        <x:v>ترقية المشروب</x:v>
      </x:c>
      <x:c r="E18" s="46" t="str">
        <x:v>single</x:v>
      </x:c>
      <x:c r="F18" s="46" t="str">
        <x:v>لا</x:v>
      </x:c>
      <x:c r="G18" s="46" t="n">
        <x:v>0</x:v>
      </x:c>
      <x:c r="H18" s="46" t="n">
        <x:v>1</x:v>
      </x:c>
      <x:c r="I18" s="46" t="str">
        <x:v>matcha</x:v>
      </x:c>
      <x:c r="J18" s="46" t="str">
        <x:v>ماتشا</x:v>
      </x:c>
      <x:c r="K18" s="92" t="n">
        <x:v>10000</x:v>
      </x:c>
      <x:c r="L18" s="46" t="str">
        <x:v>لا</x:v>
      </x:c>
      <x:c r="M18" s="46" t="str">
        <x:v>نعم</x:v>
      </x:c>
      <x:c r="N18" s="46" t="str">
        <x:v>morning_combo</x:v>
      </x:c>
      <x:c r="O18" s="46" t="str"/>
    </x:row>
    <x:row r="19">
      <x:c r="A19" s="46" t="str">
        <x:v>MATCH_ONLY</x:v>
      </x:c>
      <x:c r="B19" s="46" t="str">
        <x:v>موجود في النظام</x:v>
      </x:c>
      <x:c r="C19" s="46" t="str">
        <x:v>masharib_drink_upgrade</x:v>
      </x:c>
      <x:c r="D19" s="46" t="str">
        <x:v>ترقية المشروب</x:v>
      </x:c>
      <x:c r="E19" s="46" t="str">
        <x:v>single</x:v>
      </x:c>
      <x:c r="F19" s="46" t="str">
        <x:v>لا</x:v>
      </x:c>
      <x:c r="G19" s="46" t="n">
        <x:v>0</x:v>
      </x:c>
      <x:c r="H19" s="46" t="n">
        <x:v>1</x:v>
      </x:c>
      <x:c r="I19" s="46" t="str">
        <x:v>iced_matcha_latte</x:v>
      </x:c>
      <x:c r="J19" s="46" t="str">
        <x:v>آيس ماتشا لاتيه</x:v>
      </x:c>
      <x:c r="K19" s="92" t="n">
        <x:v>16000</x:v>
      </x:c>
      <x:c r="L19" s="46" t="str">
        <x:v>لا</x:v>
      </x:c>
      <x:c r="M19" s="46" t="str">
        <x:v>نعم</x:v>
      </x:c>
      <x:c r="N19" s="46" t="str">
        <x:v>morning_combo</x:v>
      </x:c>
      <x:c r="O19" s="46" t="str"/>
    </x:row>
    <x:row r="20">
      <x:c r="A20" s="46" t="str">
        <x:v>MATCH_ONLY</x:v>
      </x:c>
      <x:c r="B20" s="46" t="str">
        <x:v>موجود في النظام</x:v>
      </x:c>
      <x:c r="C20" s="46" t="str">
        <x:v>masharib_mezza_type</x:v>
      </x:c>
      <x:c r="D20" s="46" t="str">
        <x:v>نوع المازا</x:v>
      </x:c>
      <x:c r="E20" s="46" t="str">
        <x:v>single</x:v>
      </x:c>
      <x:c r="F20" s="46" t="str">
        <x:v>لا</x:v>
      </x:c>
      <x:c r="G20" s="46" t="n">
        <x:v>0</x:v>
      </x:c>
      <x:c r="H20" s="46" t="n">
        <x:v>1</x:v>
      </x:c>
      <x:c r="I20" s="46" t="str">
        <x:v>herb_potatoes</x:v>
      </x:c>
      <x:c r="J20" s="46" t="str">
        <x:v>بطاطا بالأعشاب</x:v>
      </x:c>
      <x:c r="K20" s="92" t="n">
        <x:v>0</x:v>
      </x:c>
      <x:c r="L20" s="46" t="str">
        <x:v>نعم</x:v>
      </x:c>
      <x:c r="M20" s="46" t="str">
        <x:v>نعم</x:v>
      </x:c>
      <x:c r="N20" s="46" t="str">
        <x:v>small_mezza,single_mezza</x:v>
      </x:c>
      <x:c r="O20" s="46" t="str"/>
    </x:row>
    <x:row r="21">
      <x:c r="A21" s="46" t="str">
        <x:v>MATCH_ONLY</x:v>
      </x:c>
      <x:c r="B21" s="46" t="str">
        <x:v>موجود في النظام</x:v>
      </x:c>
      <x:c r="C21" s="46" t="str">
        <x:v>masharib_mezza_type</x:v>
      </x:c>
      <x:c r="D21" s="46" t="str">
        <x:v>نوع المازا</x:v>
      </x:c>
      <x:c r="E21" s="46" t="str">
        <x:v>single</x:v>
      </x:c>
      <x:c r="F21" s="46" t="str">
        <x:v>لا</x:v>
      </x:c>
      <x:c r="G21" s="46" t="n">
        <x:v>0</x:v>
      </x:c>
      <x:c r="H21" s="46" t="n">
        <x:v>1</x:v>
      </x:c>
      <x:c r="I21" s="46" t="str">
        <x:v>herb_yogurt</x:v>
      </x:c>
      <x:c r="J21" s="46" t="str">
        <x:v>لبن بالأعشاب</x:v>
      </x:c>
      <x:c r="K21" s="92" t="n">
        <x:v>0</x:v>
      </x:c>
      <x:c r="L21" s="46" t="str">
        <x:v>لا</x:v>
      </x:c>
      <x:c r="M21" s="46" t="str">
        <x:v>نعم</x:v>
      </x:c>
      <x:c r="N21" s="46" t="str">
        <x:v>small_mezza,single_mezza</x:v>
      </x:c>
      <x:c r="O21" s="46" t="str"/>
    </x:row>
    <x:row r="22">
      <x:c r="A22" s="46" t="str">
        <x:v>MATCH_ONLY</x:v>
      </x:c>
      <x:c r="B22" s="46" t="str">
        <x:v>موجود في النظام</x:v>
      </x:c>
      <x:c r="C22" s="46" t="str">
        <x:v>masharib_mezza_type</x:v>
      </x:c>
      <x:c r="D22" s="46" t="str">
        <x:v>نوع المازا</x:v>
      </x:c>
      <x:c r="E22" s="46" t="str">
        <x:v>single</x:v>
      </x:c>
      <x:c r="F22" s="46" t="str">
        <x:v>لا</x:v>
      </x:c>
      <x:c r="G22" s="46" t="n">
        <x:v>0</x:v>
      </x:c>
      <x:c r="H22" s="46" t="n">
        <x:v>1</x:v>
      </x:c>
      <x:c r="I22" s="46" t="str">
        <x:v>mutabbal_eggplant</x:v>
      </x:c>
      <x:c r="J22" s="46" t="str">
        <x:v>متبّل باذنجان</x:v>
      </x:c>
      <x:c r="K22" s="92" t="n">
        <x:v>0</x:v>
      </x:c>
      <x:c r="L22" s="46" t="str">
        <x:v>لا</x:v>
      </x:c>
      <x:c r="M22" s="46" t="str">
        <x:v>نعم</x:v>
      </x:c>
      <x:c r="N22" s="46" t="str">
        <x:v>small_mezza,single_mezza</x:v>
      </x:c>
      <x:c r="O22" s="46" t="str"/>
    </x:row>
    <x:row r="23">
      <x:c r="A23" s="46" t="str">
        <x:v>MATCH_ONLY</x:v>
      </x:c>
      <x:c r="B23" s="46" t="str">
        <x:v>موجود في النظام</x:v>
      </x:c>
      <x:c r="C23" s="46" t="str">
        <x:v>masharib_mezza_type</x:v>
      </x:c>
      <x:c r="D23" s="46" t="str">
        <x:v>نوع المازا</x:v>
      </x:c>
      <x:c r="E23" s="46" t="str">
        <x:v>single</x:v>
      </x:c>
      <x:c r="F23" s="46" t="str">
        <x:v>لا</x:v>
      </x:c>
      <x:c r="G23" s="46" t="n">
        <x:v>0</x:v>
      </x:c>
      <x:c r="H23" s="46" t="n">
        <x:v>1</x:v>
      </x:c>
      <x:c r="I23" s="46" t="str">
        <x:v>cabbage_yogurt_salad</x:v>
      </x:c>
      <x:c r="J23" s="46" t="str">
        <x:v>سلطة ملفوف ولبن</x:v>
      </x:c>
      <x:c r="K23" s="92" t="n">
        <x:v>0</x:v>
      </x:c>
      <x:c r="L23" s="46" t="str">
        <x:v>لا</x:v>
      </x:c>
      <x:c r="M23" s="46" t="str">
        <x:v>نعم</x:v>
      </x:c>
      <x:c r="N23" s="46" t="str">
        <x:v>small_mezza,single_mezza</x:v>
      </x:c>
      <x:c r="O23" s="46" t="str"/>
    </x:row>
    <x:row r="24">
      <x:c r="A24" s="46" t="str">
        <x:v>MATCH_ONLY</x:v>
      </x:c>
      <x:c r="B24" s="46" t="str">
        <x:v>موجود في النظام</x:v>
      </x:c>
      <x:c r="C24" s="46" t="str">
        <x:v>masharib_mezza_type</x:v>
      </x:c>
      <x:c r="D24" s="46" t="str">
        <x:v>نوع المازا</x:v>
      </x:c>
      <x:c r="E24" s="46" t="str">
        <x:v>single</x:v>
      </x:c>
      <x:c r="F24" s="46" t="str">
        <x:v>لا</x:v>
      </x:c>
      <x:c r="G24" s="46" t="n">
        <x:v>0</x:v>
      </x:c>
      <x:c r="H24" s="46" t="n">
        <x:v>1</x:v>
      </x:c>
      <x:c r="I24" s="46" t="str">
        <x:v>pickles_vegetables</x:v>
      </x:c>
      <x:c r="J24" s="46" t="str">
        <x:v>مخللات وخضار</x:v>
      </x:c>
      <x:c r="K24" s="92" t="n">
        <x:v>0</x:v>
      </x:c>
      <x:c r="L24" s="46" t="str">
        <x:v>لا</x:v>
      </x:c>
      <x:c r="M24" s="46" t="str">
        <x:v>نعم</x:v>
      </x:c>
      <x:c r="N24" s="46" t="str">
        <x:v>small_mezza,single_mezza</x:v>
      </x:c>
      <x:c r="O24" s="46" t="str"/>
    </x:row>
    <x:row r="25">
      <x:c r="A25" s="46" t="str">
        <x:v>MATCH_ONLY</x:v>
      </x:c>
      <x:c r="B25" s="46" t="str">
        <x:v>موجود في النظام</x:v>
      </x:c>
      <x:c r="C25" s="46" t="str">
        <x:v>masharib_mezza_type</x:v>
      </x:c>
      <x:c r="D25" s="46" t="str">
        <x:v>نوع المازا</x:v>
      </x:c>
      <x:c r="E25" s="46" t="str">
        <x:v>single</x:v>
      </x:c>
      <x:c r="F25" s="46" t="str">
        <x:v>لا</x:v>
      </x:c>
      <x:c r="G25" s="46" t="n">
        <x:v>0</x:v>
      </x:c>
      <x:c r="H25" s="46" t="n">
        <x:v>1</x:v>
      </x:c>
      <x:c r="I25" s="46" t="str">
        <x:v>tomato_mint_salad</x:v>
      </x:c>
      <x:c r="J25" s="46" t="str">
        <x:v>سلطة بندورة ونعنع</x:v>
      </x:c>
      <x:c r="K25" s="92" t="n">
        <x:v>0</x:v>
      </x:c>
      <x:c r="L25" s="46" t="str">
        <x:v>لا</x:v>
      </x:c>
      <x:c r="M25" s="46" t="str">
        <x:v>نعم</x:v>
      </x:c>
      <x:c r="N25" s="46" t="str">
        <x:v>small_mezza,single_mezza</x:v>
      </x:c>
      <x:c r="O25" s="46" t="str"/>
    </x:row>
    <x:row r="26">
      <x:c r="A26" s="46" t="str">
        <x:v>MATCH_ONLY</x:v>
      </x:c>
      <x:c r="B26" s="46" t="str">
        <x:v>موجود في النظام</x:v>
      </x:c>
      <x:c r="C26" s="46" t="str">
        <x:v>masharib_mezza_type</x:v>
      </x:c>
      <x:c r="D26" s="46" t="str">
        <x:v>نوع المازا</x:v>
      </x:c>
      <x:c r="E26" s="46" t="str">
        <x:v>single</x:v>
      </x:c>
      <x:c r="F26" s="46" t="str">
        <x:v>لا</x:v>
      </x:c>
      <x:c r="G26" s="46" t="n">
        <x:v>0</x:v>
      </x:c>
      <x:c r="H26" s="46" t="n">
        <x:v>1</x:v>
      </x:c>
      <x:c r="I26" s="46" t="str">
        <x:v>radish_lemon_sumac</x:v>
      </x:c>
      <x:c r="J26" s="46" t="str">
        <x:v>فجل وليمون وسماق</x:v>
      </x:c>
      <x:c r="K26" s="92" t="n">
        <x:v>0</x:v>
      </x:c>
      <x:c r="L26" s="46" t="str">
        <x:v>لا</x:v>
      </x:c>
      <x:c r="M26" s="46" t="str">
        <x:v>نعم</x:v>
      </x:c>
      <x:c r="N26" s="46" t="str">
        <x:v>small_mezza,single_mezza</x:v>
      </x:c>
      <x:c r="O26" s="46" t="str"/>
    </x:row>
    <x:row r="27">
      <x:c r="A27" s="46" t="str">
        <x:v>MATCH_ONLY</x:v>
      </x:c>
      <x:c r="B27" s="46" t="str">
        <x:v>موجود في النظام</x:v>
      </x:c>
      <x:c r="C27" s="46" t="str">
        <x:v>masharib_mezza_type</x:v>
      </x:c>
      <x:c r="D27" s="46" t="str">
        <x:v>نوع المازا</x:v>
      </x:c>
      <x:c r="E27" s="46" t="str">
        <x:v>single</x:v>
      </x:c>
      <x:c r="F27" s="46" t="str">
        <x:v>لا</x:v>
      </x:c>
      <x:c r="G27" s="46" t="n">
        <x:v>0</x:v>
      </x:c>
      <x:c r="H27" s="46" t="n">
        <x:v>1</x:v>
      </x:c>
      <x:c r="I27" s="46" t="str">
        <x:v>tahini_lemon</x:v>
      </x:c>
      <x:c r="J27" s="46" t="str">
        <x:v>طحينية وليمون</x:v>
      </x:c>
      <x:c r="K27" s="92" t="n">
        <x:v>0</x:v>
      </x:c>
      <x:c r="L27" s="46" t="str">
        <x:v>لا</x:v>
      </x:c>
      <x:c r="M27" s="46" t="str">
        <x:v>نعم</x:v>
      </x:c>
      <x:c r="N27" s="46" t="str">
        <x:v>small_mezza,single_mezza</x:v>
      </x:c>
      <x:c r="O27" s="46" t="str"/>
    </x:row>
    <x:row r="28">
      <x:c r="A28" s="46" t="str">
        <x:v>MATCH_ONLY</x:v>
      </x:c>
      <x:c r="B28" s="46" t="str">
        <x:v>موجود في النظام</x:v>
      </x:c>
      <x:c r="C28" s="46" t="str">
        <x:v>masharib_mezza_type</x:v>
      </x:c>
      <x:c r="D28" s="46" t="str">
        <x:v>نوع المازا</x:v>
      </x:c>
      <x:c r="E28" s="46" t="str">
        <x:v>single</x:v>
      </x:c>
      <x:c r="F28" s="46" t="str">
        <x:v>لا</x:v>
      </x:c>
      <x:c r="G28" s="46" t="n">
        <x:v>0</x:v>
      </x:c>
      <x:c r="H28" s="46" t="n">
        <x:v>1</x:v>
      </x:c>
      <x:c r="I28" s="46" t="str">
        <x:v>mild_spicy_potatoes</x:v>
      </x:c>
      <x:c r="J28" s="46" t="str">
        <x:v>بطاطا حارة خفيفة</x:v>
      </x:c>
      <x:c r="K28" s="92" t="n">
        <x:v>0</x:v>
      </x:c>
      <x:c r="L28" s="46" t="str">
        <x:v>لا</x:v>
      </x:c>
      <x:c r="M28" s="46" t="str">
        <x:v>نعم</x:v>
      </x:c>
      <x:c r="N28" s="46" t="str">
        <x:v>small_mezza,single_mezza</x:v>
      </x:c>
      <x:c r="O28" s="46" t="str"/>
    </x:row>
    <x:row r="29">
      <x:c r="A29" s="46" t="str">
        <x:v>MATCH_ONLY</x:v>
      </x:c>
      <x:c r="B29" s="46" t="str">
        <x:v>موجود في النظام</x:v>
      </x:c>
      <x:c r="C29" s="46" t="str">
        <x:v>masharib_mezza_type</x:v>
      </x:c>
      <x:c r="D29" s="46" t="str">
        <x:v>نوع المازا</x:v>
      </x:c>
      <x:c r="E29" s="46" t="str">
        <x:v>single</x:v>
      </x:c>
      <x:c r="F29" s="46" t="str">
        <x:v>لا</x:v>
      </x:c>
      <x:c r="G29" s="46" t="n">
        <x:v>0</x:v>
      </x:c>
      <x:c r="H29" s="46" t="n">
        <x:v>1</x:v>
      </x:c>
      <x:c r="I29" s="46" t="str">
        <x:v>pomegranate_molasses_eggplant</x:v>
      </x:c>
      <x:c r="J29" s="46" t="str">
        <x:v>باذنجان بدبس رمان</x:v>
      </x:c>
      <x:c r="K29" s="92" t="n">
        <x:v>0</x:v>
      </x:c>
      <x:c r="L29" s="46" t="str">
        <x:v>لا</x:v>
      </x:c>
      <x:c r="M29" s="46" t="str">
        <x:v>نعم</x:v>
      </x:c>
      <x:c r="N29" s="46" t="str">
        <x:v>small_mezza,single_mezza</x:v>
      </x:c>
      <x:c r="O29" s="46" t="str"/>
    </x:row>
    <x:row r="30">
      <x:c r="A30" s="46" t="str">
        <x:v>CREATE_INACTIVE</x:v>
      </x:c>
      <x:c r="B30" s="46" t="str">
        <x:v>بحاجة مراجعة</x:v>
      </x:c>
      <x:c r="C30" s="46" t="str">
        <x:v>hub_sandwich_bread</x:v>
      </x:c>
      <x:c r="D30" s="46" t="str">
        <x:v>نوع الخبز</x:v>
      </x:c>
      <x:c r="E30" s="46" t="str">
        <x:v>single</x:v>
      </x:c>
      <x:c r="F30" s="46" t="str">
        <x:v>نعم</x:v>
      </x:c>
      <x:c r="G30" s="46" t="n">
        <x:v>1</x:v>
      </x:c>
      <x:c r="H30" s="46" t="n">
        <x:v>1</x:v>
      </x:c>
      <x:c r="I30" s="46" t="str">
        <x:v>samoon</x:v>
      </x:c>
      <x:c r="J30" s="46" t="str">
        <x:v>خبز سمون</x:v>
      </x:c>
      <x:c r="K30" s="92" t="n">
        <x:v>0</x:v>
      </x:c>
      <x:c r="L30" s="46" t="str">
        <x:v>نعم</x:v>
      </x:c>
      <x:c r="M30" s="46" t="str">
        <x:v>لا</x:v>
      </x:c>
      <x:c r="N30" s="46" t="str">
        <x:v>hub_labneh_herbs,hub_zaatar_olive_oil,hub_muhammara,hub_baladi_cheese,hub_grilled_shalal,hub_qashqawan_toast,hub_egg_cheese,hub_mortadella,hub_smoked_turkey,hub_mediterranean_tuna,hub_chicken_garlic,hub_spicy_chicken,hub_butter_jam</x:v>
      </x:c>
      <x:c r="O30" s="46" t="str"/>
    </x:row>
    <x:row r="31">
      <x:c r="A31" s="46" t="str">
        <x:v>CREATE_INACTIVE</x:v>
      </x:c>
      <x:c r="B31" s="46" t="str">
        <x:v>بحاجة مراجعة</x:v>
      </x:c>
      <x:c r="C31" s="46" t="str">
        <x:v>hub_sandwich_bread</x:v>
      </x:c>
      <x:c r="D31" s="46" t="str">
        <x:v>نوع الخبز</x:v>
      </x:c>
      <x:c r="E31" s="46" t="str">
        <x:v>single</x:v>
      </x:c>
      <x:c r="F31" s="46" t="str">
        <x:v>نعم</x:v>
      </x:c>
      <x:c r="G31" s="46" t="n">
        <x:v>1</x:v>
      </x:c>
      <x:c r="H31" s="46" t="n">
        <x:v>1</x:v>
      </x:c>
      <x:c r="I31" s="46" t="str">
        <x:v>baguette</x:v>
      </x:c>
      <x:c r="J31" s="46" t="str">
        <x:v>خبز باغيت</x:v>
      </x:c>
      <x:c r="K31" s="92" t="n">
        <x:v>0</x:v>
      </x:c>
      <x:c r="L31" s="46" t="str">
        <x:v>لا</x:v>
      </x:c>
      <x:c r="M31" s="46" t="str">
        <x:v>لا</x:v>
      </x:c>
      <x:c r="N31" s="46" t="str">
        <x:v>hub_labneh_herbs,hub_zaatar_olive_oil,hub_muhammara,hub_baladi_cheese,hub_grilled_shalal,hub_qashqawan_toast,hub_egg_cheese,hub_mortadella,hub_smoked_turkey,hub_mediterranean_tuna,hub_chicken_garlic,hub_spicy_chicken,hub_butter_jam</x:v>
      </x:c>
      <x:c r="O31" s="46" t="str"/>
    </x:row>
    <x:row r="32">
      <x:c r="A32" s="46" t="str">
        <x:v>CREATE_INACTIVE</x:v>
      </x:c>
      <x:c r="B32" s="46" t="str">
        <x:v>بحاجة مراجعة</x:v>
      </x:c>
      <x:c r="C32" s="46" t="str">
        <x:v>hub_sandwich_bread</x:v>
      </x:c>
      <x:c r="D32" s="46" t="str">
        <x:v>نوع الخبز</x:v>
      </x:c>
      <x:c r="E32" s="46" t="str">
        <x:v>single</x:v>
      </x:c>
      <x:c r="F32" s="46" t="str">
        <x:v>نعم</x:v>
      </x:c>
      <x:c r="G32" s="46" t="n">
        <x:v>1</x:v>
      </x:c>
      <x:c r="H32" s="46" t="n">
        <x:v>1</x:v>
      </x:c>
      <x:c r="I32" s="46" t="str">
        <x:v>pita</x:v>
      </x:c>
      <x:c r="J32" s="46" t="str">
        <x:v>خبز عربي</x:v>
      </x:c>
      <x:c r="K32" s="92" t="n">
        <x:v>0</x:v>
      </x:c>
      <x:c r="L32" s="46" t="str">
        <x:v>لا</x:v>
      </x:c>
      <x:c r="M32" s="46" t="str">
        <x:v>لا</x:v>
      </x:c>
      <x:c r="N32" s="46" t="str">
        <x:v>hub_labneh_herbs,hub_zaatar_olive_oil,hub_muhammara,hub_baladi_cheese,hub_grilled_shalal,hub_qashqawan_toast,hub_egg_cheese,hub_mortadella,hub_smoked_turkey,hub_mediterranean_tuna,hub_chicken_garlic,hub_spicy_chicken,hub_butter_jam</x:v>
      </x:c>
      <x:c r="O32" s="46" t="str"/>
    </x:row>
    <x:row r="33">
      <x:c r="A33" s="46" t="str">
        <x:v>CREATE_INACTIVE</x:v>
      </x:c>
      <x:c r="B33" s="46" t="str">
        <x:v>بحاجة مراجعة</x:v>
      </x:c>
      <x:c r="C33" s="46" t="str">
        <x:v>hub_sandwich_addons</x:v>
      </x:c>
      <x:c r="D33" s="46" t="str">
        <x:v>إضافات السندويش</x:v>
      </x:c>
      <x:c r="E33" s="46" t="str">
        <x:v>multiple</x:v>
      </x:c>
      <x:c r="F33" s="46" t="str">
        <x:v>لا</x:v>
      </x:c>
      <x:c r="G33" s="46" t="n">
        <x:v>0</x:v>
      </x:c>
      <x:c r="H33" s="46" t="n">
        <x:v>3</x:v>
      </x:c>
      <x:c r="I33" s="46" t="str">
        <x:v>chili</x:v>
      </x:c>
      <x:c r="J33" s="46" t="str">
        <x:v>شطة خفيفة</x:v>
      </x:c>
      <x:c r="K33" s="92" t="n">
        <x:v>0</x:v>
      </x:c>
      <x:c r="L33" s="46" t="str">
        <x:v>لا</x:v>
      </x:c>
      <x:c r="M33" s="46" t="str">
        <x:v>لا</x:v>
      </x:c>
      <x:c r="N33" s="46" t="str">
        <x:v>hub_labneh_herbs,hub_zaatar_olive_oil,hub_muhammara,hub_baladi_cheese,hub_grilled_shalal,hub_qashqawan_toast,hub_egg_cheese,hub_mortadella,hub_smoked_turkey,hub_mediterranean_tuna,hub_chicken_garlic,hub_spicy_chicken,hub_butter_jam</x:v>
      </x:c>
      <x:c r="O33" s="46" t="str">
        <x:v>الأسعار تحتاج مراجعة.</x:v>
      </x:c>
    </x:row>
    <x:row r="34">
      <x:c r="A34" s="46" t="str">
        <x:v>CREATE_INACTIVE</x:v>
      </x:c>
      <x:c r="B34" s="46" t="str">
        <x:v>بحاجة مراجعة</x:v>
      </x:c>
      <x:c r="C34" s="46" t="str">
        <x:v>hub_sandwich_addons</x:v>
      </x:c>
      <x:c r="D34" s="46" t="str">
        <x:v>إضافات السندويش</x:v>
      </x:c>
      <x:c r="E34" s="46" t="str">
        <x:v>multiple</x:v>
      </x:c>
      <x:c r="F34" s="46" t="str">
        <x:v>لا</x:v>
      </x:c>
      <x:c r="G34" s="46" t="n">
        <x:v>0</x:v>
      </x:c>
      <x:c r="H34" s="46" t="n">
        <x:v>3</x:v>
      </x:c>
      <x:c r="I34" s="46" t="str">
        <x:v>pickles</x:v>
      </x:c>
      <x:c r="J34" s="46" t="str">
        <x:v>مخلل إضافي</x:v>
      </x:c>
      <x:c r="K34" s="92" t="n">
        <x:v>0</x:v>
      </x:c>
      <x:c r="L34" s="46" t="str">
        <x:v>لا</x:v>
      </x:c>
      <x:c r="M34" s="46" t="str">
        <x:v>لا</x:v>
      </x:c>
      <x:c r="N34" s="46" t="str">
        <x:v>hub_labneh_herbs,hub_zaatar_olive_oil,hub_muhammara,hub_baladi_cheese,hub_grilled_shalal,hub_qashqawan_toast,hub_egg_cheese,hub_mortadella,hub_smoked_turkey,hub_mediterranean_tuna,hub_chicken_garlic,hub_spicy_chicken,hub_butter_jam</x:v>
      </x:c>
      <x:c r="O34" s="46" t="str">
        <x:v>الأسعار تحتاج مراجعة.</x:v>
      </x:c>
    </x:row>
    <x:row r="35">
      <x:c r="A35" s="46" t="str">
        <x:v>CREATE_INACTIVE</x:v>
      </x:c>
      <x:c r="B35" s="46" t="str">
        <x:v>بحاجة مراجعة</x:v>
      </x:c>
      <x:c r="C35" s="46" t="str">
        <x:v>hub_sandwich_addons</x:v>
      </x:c>
      <x:c r="D35" s="46" t="str">
        <x:v>إضافات السندويش</x:v>
      </x:c>
      <x:c r="E35" s="46" t="str">
        <x:v>multiple</x:v>
      </x:c>
      <x:c r="F35" s="46" t="str">
        <x:v>لا</x:v>
      </x:c>
      <x:c r="G35" s="46" t="n">
        <x:v>0</x:v>
      </x:c>
      <x:c r="H35" s="46" t="n">
        <x:v>3</x:v>
      </x:c>
      <x:c r="I35" s="46" t="str">
        <x:v>olives</x:v>
      </x:c>
      <x:c r="J35" s="46" t="str">
        <x:v>زيتون</x:v>
      </x:c>
      <x:c r="K35" s="92" t="n">
        <x:v>0</x:v>
      </x:c>
      <x:c r="L35" s="46" t="str">
        <x:v>لا</x:v>
      </x:c>
      <x:c r="M35" s="46" t="str">
        <x:v>لا</x:v>
      </x:c>
      <x:c r="N35" s="46" t="str">
        <x:v>hub_labneh_herbs,hub_zaatar_olive_oil,hub_muhammara,hub_baladi_cheese,hub_grilled_shalal,hub_qashqawan_toast,hub_egg_cheese,hub_mortadella,hub_smoked_turkey,hub_mediterranean_tuna,hub_chicken_garlic,hub_spicy_chicken,hub_butter_jam</x:v>
      </x:c>
      <x:c r="O35" s="46" t="str">
        <x:v>الأسعار تحتاج مراجعة.</x:v>
      </x:c>
    </x:row>
    <x:row r="36">
      <x:c r="A36" s="46" t="str">
        <x:v>CREATE_INACTIVE</x:v>
      </x:c>
      <x:c r="B36" s="46" t="str">
        <x:v>بحاجة مراجعة</x:v>
      </x:c>
      <x:c r="C36" s="46" t="str">
        <x:v>hub_sandwich_addons</x:v>
      </x:c>
      <x:c r="D36" s="46" t="str">
        <x:v>إضافات السندويش</x:v>
      </x:c>
      <x:c r="E36" s="46" t="str">
        <x:v>multiple</x:v>
      </x:c>
      <x:c r="F36" s="46" t="str">
        <x:v>لا</x:v>
      </x:c>
      <x:c r="G36" s="46" t="n">
        <x:v>0</x:v>
      </x:c>
      <x:c r="H36" s="46" t="n">
        <x:v>3</x:v>
      </x:c>
      <x:c r="I36" s="46" t="str">
        <x:v>egg</x:v>
      </x:c>
      <x:c r="J36" s="46" t="str">
        <x:v>بيضة إضافية</x:v>
      </x:c>
      <x:c r="K36" s="92" t="n">
        <x:v>0</x:v>
      </x:c>
      <x:c r="L36" s="46" t="str">
        <x:v>لا</x:v>
      </x:c>
      <x:c r="M36" s="46" t="str">
        <x:v>لا</x:v>
      </x:c>
      <x:c r="N36" s="46" t="str">
        <x:v>hub_labneh_herbs,hub_zaatar_olive_oil,hub_muhammara,hub_baladi_cheese,hub_grilled_shalal,hub_qashqawan_toast,hub_egg_cheese,hub_mortadella,hub_smoked_turkey,hub_mediterranean_tuna,hub_chicken_garlic,hub_spicy_chicken,hub_butter_jam</x:v>
      </x:c>
      <x:c r="O36" s="46" t="str">
        <x:v>الأسعار تحتاج مراجعة.</x:v>
      </x:c>
    </x:row>
    <x:row r="37">
      <x:c r="A37" s="46" t="str">
        <x:v>CREATE_INACTIVE</x:v>
      </x:c>
      <x:c r="B37" s="46" t="str">
        <x:v>بحاجة مراجعة</x:v>
      </x:c>
      <x:c r="C37" s="46" t="str">
        <x:v>hub_sandwich_addons</x:v>
      </x:c>
      <x:c r="D37" s="46" t="str">
        <x:v>إضافات السندويش</x:v>
      </x:c>
      <x:c r="E37" s="46" t="str">
        <x:v>multiple</x:v>
      </x:c>
      <x:c r="F37" s="46" t="str">
        <x:v>لا</x:v>
      </x:c>
      <x:c r="G37" s="46" t="n">
        <x:v>0</x:v>
      </x:c>
      <x:c r="H37" s="46" t="n">
        <x:v>3</x:v>
      </x:c>
      <x:c r="I37" s="46" t="str">
        <x:v>cheese</x:v>
      </x:c>
      <x:c r="J37" s="46" t="str">
        <x:v>جبنة إضافية</x:v>
      </x:c>
      <x:c r="K37" s="92" t="n">
        <x:v>0</x:v>
      </x:c>
      <x:c r="L37" s="46" t="str">
        <x:v>لا</x:v>
      </x:c>
      <x:c r="M37" s="46" t="str">
        <x:v>لا</x:v>
      </x:c>
      <x:c r="N37" s="46" t="str">
        <x:v>hub_labneh_herbs,hub_zaatar_olive_oil,hub_muhammara,hub_baladi_cheese,hub_grilled_shalal,hub_qashqawan_toast,hub_egg_cheese,hub_mortadella,hub_smoked_turkey,hub_mediterranean_tuna,hub_chicken_garlic,hub_spicy_chicken,hub_butter_jam</x:v>
      </x:c>
      <x:c r="O37" s="46" t="str">
        <x:v>الأسعار تحتاج مراجعة.</x:v>
      </x:c>
    </x:row>
    <x:row r="38">
      <x:c r="A38" s="46" t="str">
        <x:v>CREATE_INACTIVE</x:v>
      </x:c>
      <x:c r="B38" s="46" t="str">
        <x:v>بحاجة مراجعة</x:v>
      </x:c>
      <x:c r="C38" s="46" t="str">
        <x:v>black_barrel_addons</x:v>
      </x:c>
      <x:c r="D38" s="46" t="str">
        <x:v>إضافات البرميل</x:v>
      </x:c>
      <x:c r="E38" s="46" t="str">
        <x:v>multiple</x:v>
      </x:c>
      <x:c r="F38" s="46" t="str">
        <x:v>لا</x:v>
      </x:c>
      <x:c r="G38" s="46" t="n">
        <x:v>0</x:v>
      </x:c>
      <x:c r="H38" s="46" t="n">
        <x:v>3</x:v>
      </x:c>
      <x:c r="I38" s="46" t="str">
        <x:v>extra_cheese</x:v>
      </x:c>
      <x:c r="J38" s="46" t="str">
        <x:v>جبنة إضافية</x:v>
      </x:c>
      <x:c r="K38" s="92" t="n">
        <x:v>0</x:v>
      </x:c>
      <x:c r="L38" s="46" t="str">
        <x:v>لا</x:v>
      </x:c>
      <x:c r="M38" s="46" t="str">
        <x:v>لا</x:v>
      </x:c>
      <x:c r="N38" s="46" t="str">
        <x:v>regular_hotdog,spicy_hotdog,cheese_hotdog,black_barrel_special,double_barrel_hotdog,crunchy_halloumi_dog</x:v>
      </x:c>
      <x:c r="O38" s="46" t="str">
        <x:v>الأسعار تحتاج مراجعة.</x:v>
      </x:c>
    </x:row>
    <x:row r="39">
      <x:c r="A39" s="46" t="str">
        <x:v>CREATE_INACTIVE</x:v>
      </x:c>
      <x:c r="B39" s="46" t="str">
        <x:v>بحاجة مراجعة</x:v>
      </x:c>
      <x:c r="C39" s="46" t="str">
        <x:v>black_barrel_addons</x:v>
      </x:c>
      <x:c r="D39" s="46" t="str">
        <x:v>إضافات البرميل</x:v>
      </x:c>
      <x:c r="E39" s="46" t="str">
        <x:v>multiple</x:v>
      </x:c>
      <x:c r="F39" s="46" t="str">
        <x:v>لا</x:v>
      </x:c>
      <x:c r="G39" s="46" t="n">
        <x:v>0</x:v>
      </x:c>
      <x:c r="H39" s="46" t="n">
        <x:v>3</x:v>
      </x:c>
      <x:c r="I39" s="46" t="str">
        <x:v>crispy_onion</x:v>
      </x:c>
      <x:c r="J39" s="46" t="str">
        <x:v>بصل مقرمش</x:v>
      </x:c>
      <x:c r="K39" s="92" t="n">
        <x:v>0</x:v>
      </x:c>
      <x:c r="L39" s="46" t="str">
        <x:v>لا</x:v>
      </x:c>
      <x:c r="M39" s="46" t="str">
        <x:v>لا</x:v>
      </x:c>
      <x:c r="N39" s="46" t="str">
        <x:v>regular_hotdog,spicy_hotdog,cheese_hotdog,black_barrel_special,double_barrel_hotdog,crunchy_halloumi_dog</x:v>
      </x:c>
      <x:c r="O39" s="46" t="str">
        <x:v>الأسعار تحتاج مراجعة.</x:v>
      </x:c>
    </x:row>
    <x:row r="40">
      <x:c r="A40" s="46" t="str">
        <x:v>CREATE_INACTIVE</x:v>
      </x:c>
      <x:c r="B40" s="46" t="str">
        <x:v>بحاجة مراجعة</x:v>
      </x:c>
      <x:c r="C40" s="46" t="str">
        <x:v>black_barrel_addons</x:v>
      </x:c>
      <x:c r="D40" s="46" t="str">
        <x:v>إضافات البرميل</x:v>
      </x:c>
      <x:c r="E40" s="46" t="str">
        <x:v>multiple</x:v>
      </x:c>
      <x:c r="F40" s="46" t="str">
        <x:v>لا</x:v>
      </x:c>
      <x:c r="G40" s="46" t="n">
        <x:v>0</x:v>
      </x:c>
      <x:c r="H40" s="46" t="n">
        <x:v>3</x:v>
      </x:c>
      <x:c r="I40" s="46" t="str">
        <x:v>extra_sausage</x:v>
      </x:c>
      <x:c r="J40" s="46" t="str">
        <x:v>نقانق إضافية</x:v>
      </x:c>
      <x:c r="K40" s="92" t="n">
        <x:v>0</x:v>
      </x:c>
      <x:c r="L40" s="46" t="str">
        <x:v>لا</x:v>
      </x:c>
      <x:c r="M40" s="46" t="str">
        <x:v>لا</x:v>
      </x:c>
      <x:c r="N40" s="46" t="str">
        <x:v>regular_hotdog,spicy_hotdog,cheese_hotdog,black_barrel_special,double_barrel_hotdog,crunchy_halloumi_dog</x:v>
      </x:c>
      <x:c r="O40" s="46" t="str">
        <x:v>الأسعار تحتاج مراجعة.</x:v>
      </x:c>
    </x:row>
    <x:row r="41">
      <x:c r="A41" s="47" t="str">
        <x:v>CREATE_INACTIVE</x:v>
      </x:c>
      <x:c r="B41" s="47" t="str">
        <x:v>بحاجة مراجعة</x:v>
      </x:c>
      <x:c r="C41" s="47" t="str">
        <x:v>black_barrel_addons</x:v>
      </x:c>
      <x:c r="D41" s="47" t="str">
        <x:v>إضافات البرميل</x:v>
      </x:c>
      <x:c r="E41" s="47" t="str">
        <x:v>multiple</x:v>
      </x:c>
      <x:c r="F41" s="47" t="str">
        <x:v>لا</x:v>
      </x:c>
      <x:c r="G41" s="47" t="n">
        <x:v>0</x:v>
      </x:c>
      <x:c r="H41" s="47" t="n">
        <x:v>3</x:v>
      </x:c>
      <x:c r="I41" s="47" t="str">
        <x:v>extra_sauce</x:v>
      </x:c>
      <x:c r="J41" s="47" t="str">
        <x:v>صوص إضافي</x:v>
      </x:c>
      <x:c r="K41" s="93" t="n">
        <x:v>0</x:v>
      </x:c>
      <x:c r="L41" s="47" t="str">
        <x:v>لا</x:v>
      </x:c>
      <x:c r="M41" s="47" t="str">
        <x:v>لا</x:v>
      </x:c>
      <x:c r="N41" s="47" t="str">
        <x:v>regular_hotdog,spicy_hotdog,cheese_hotdog,black_barrel_special,double_barrel_hotdog,crunchy_halloumi_dog</x:v>
      </x:c>
      <x:c r="O41" s="47" t="str">
        <x:v>الأسعار تحتاج مراجعة.</x:v>
      </x:c>
    </x:row>
  </x:sheetData>
  <x:conditionalFormatting sqref="A2:A41">
    <x:cfRule type="expression" dxfId="10" priority="1">
      <x:formula>A2="CREATE_INACTIVE"</x:formula>
    </x:cfRule>
  </x:conditionalFormatting>
  <x:dataValidations count="5">
    <x:dataValidation type="list" sqref="A2:A41">
      <x:formula1>"MATCH_ONLY,CREATE_INACTIVE,SKIP"</x:formula1>
    </x:dataValidation>
    <x:dataValidation type="list" sqref="E2:E41">
      <x:formula1>"single,multiple"</x:formula1>
    </x:dataValidation>
    <x:dataValidation type="list" sqref="F2:F41">
      <x:formula1>"نعم,لا"</x:formula1>
    </x:dataValidation>
    <x:dataValidation type="list" sqref="L2:L41">
      <x:formula1>"نعم,لا"</x:formula1>
    </x:dataValidation>
    <x:dataValidation type="list" sqref="M2:M41">
      <x:formula1>"نعم,لا"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6f2b267c6249a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48" hidden="0" customWidth="1"/>
    <x:col min="5" max="5" width="12" hidden="0" customWidth="1"/>
    <x:col min="6" max="6" width="16" hidden="0" customWidth="1"/>
  </x:cols>
  <x:sheetData>
    <x:row r="1">
      <x:c r="A1" s="5" t="str">
        <x:v>قائمة عمل الفريق قبل التفعيل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81" t="str">
        <x:v>النوع</x:v>
      </x:c>
      <x:c r="B4" s="82" t="str">
        <x:v>النطاق</x:v>
      </x:c>
      <x:c r="C4" s="82" t="str">
        <x:v>عدد الصفوف</x:v>
      </x:c>
      <x:c r="D4" s="82" t="str">
        <x:v>الإجراء المطلوب</x:v>
      </x:c>
      <x:c r="E4" s="82" t="str">
        <x:v>الأولوية</x:v>
      </x:c>
      <x:c r="F4" s="83" t="str">
        <x:v>الحالة</x:v>
      </x:c>
    </x:row>
    <x:row r="5">
      <x:c r="A5" s="46" t="str">
        <x:v>منتجات جديدة</x:v>
      </x:c>
      <x:c r="B5" s="46" t="str">
        <x:v>المنتجات / CREATE_INACTIVE</x:v>
      </x:c>
      <x:c r="C5" s="46" t="n">
        <x:v>63</x:v>
      </x:c>
      <x:c r="D5" s="46" t="str">
        <x:v>اعتماد الاسم والسعر والصورة والقسم</x:v>
      </x:c>
      <x:c r="E5" s="46" t="str">
        <x:v>عالية</x:v>
      </x:c>
      <x:c r="F5" s="46" t="str">
        <x:v>غير منجز</x:v>
      </x:c>
    </x:row>
    <x:row r="6">
      <x:c r="A6" s="46" t="str">
        <x:v>مفاتيح منتجات موجودة</x:v>
      </x:c>
      <x:c r="B6" s="46" t="str">
        <x:v>المنتجات / UPDATE_KEY_ONLY</x:v>
      </x:c>
      <x:c r="C6" s="46" t="n">
        <x:v>18</x:v>
      </x:c>
      <x:c r="D6" s="46" t="str">
        <x:v>مراجعة المفتاح ثم إضافته فقط</x:v>
      </x:c>
      <x:c r="E6" s="46" t="str">
        <x:v>عالية</x:v>
      </x:c>
      <x:c r="F6" s="46" t="str">
        <x:v>غير منجز</x:v>
      </x:c>
    </x:row>
    <x:row r="7">
      <x:c r="A7" s="46" t="str">
        <x:v>مواد جديدة</x:v>
      </x:c>
      <x:c r="B7" s="46" t="str">
        <x:v>مواد المخزون / CREATE_INACTIVE</x:v>
      </x:c>
      <x:c r="C7" s="46" t="n">
        <x:v>11</x:v>
      </x:c>
      <x:c r="D7" s="46" t="str">
        <x:v>اعتماد الوحدة والكلفة والمورد</x:v>
      </x:c>
      <x:c r="E7" s="46" t="str">
        <x:v>عالية</x:v>
      </x:c>
      <x:c r="F7" s="46" t="str">
        <x:v>غير منجز</x:v>
      </x:c>
    </x:row>
    <x:row r="8">
      <x:c r="A8" s="46" t="str">
        <x:v>وصفات مبدئية</x:v>
      </x:c>
      <x:c r="B8" s="46" t="str">
        <x:v>الوصفات</x:v>
      </x:c>
      <x:c r="C8" s="46" t="n">
        <x:v>208</x:v>
      </x:c>
      <x:c r="D8" s="46" t="str">
        <x:v>قياس الحصة ثم تحويل نشط إلى نعم</x:v>
      </x:c>
      <x:c r="E8" s="46" t="str">
        <x:v>عالية</x:v>
      </x:c>
      <x:c r="F8" s="46" t="str">
        <x:v>غير منجز</x:v>
      </x:c>
    </x:row>
    <x:row r="9">
      <x:c r="A9" s="46" t="str">
        <x:v>خيارات جديدة</x:v>
      </x:c>
      <x:c r="B9" s="46" t="str">
        <x:v>خيارات المنتجات / CREATE_INACTIVE</x:v>
      </x:c>
      <x:c r="C9" s="46" t="n">
        <x:v>12</x:v>
      </x:c>
      <x:c r="D9" s="46" t="str">
        <x:v>اعتماد الأسعار وحدود الاختيار</x:v>
      </x:c>
      <x:c r="E9" s="46" t="str">
        <x:v>متوسطة</x:v>
      </x:c>
      <x:c r="F9" s="46" t="str">
        <x:v>غير منجز</x:v>
      </x:c>
    </x:row>
    <x:row r="10">
      <x:c r="A10" s="47" t="str">
        <x:v>أطباق اليوم</x:v>
      </x:c>
      <x:c r="B10" s="47" t="str">
        <x:v>المنتجات / category=طبق اليوم</x:v>
      </x:c>
      <x:c r="C10" s="47" t="n">
        <x:v>18</x:v>
      </x:c>
      <x:c r="D10" s="47" t="str">
        <x:v>اختيار القائمة الفعلية ثم إضافة الوصفات</x:v>
      </x:c>
      <x:c r="E10" s="47" t="str">
        <x:v>متوسطة</x:v>
      </x:c>
      <x:c r="F10" s="47" t="str">
        <x:v>غير منجز</x:v>
      </x:c>
    </x:row>
  </x:sheetData>
  <x:mergeCells>
    <x:mergeCell ref="A1:F2"/>
  </x:mergeCells>
  <x:conditionalFormatting sqref="F5:F10">
    <x:cfRule type="expression" dxfId="11" priority="1">
      <x:formula>F5="مكتمل"</x:formula>
    </x:cfRule>
    <x:cfRule type="expression" dxfId="12" priority="2">
      <x:formula>F5="غير منجز"</x:formula>
    </x:cfRule>
  </x:conditionalFormatting>
  <x:dataValidations count="2">
    <x:dataValidation type="list" sqref="F5:F10">
      <x:formula1>"غير منجز,قيد المراجعة,مكتمل"</x:formula1>
    </x:dataValidation>
    <x:dataValidation type="list" sqref="E5:E10">
      <x:formula1>"عالية,متوسطة,منخفضة"</x:formula1>
    </x:dataValidation>
  </x:dataValidations>
  <x:pageMargins left="0.7" right="0.7" top="0.75" bottom="0.75" header="0.3" footer="0.3"/>
</x:worksheet>
</file>